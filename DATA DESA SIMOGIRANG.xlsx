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KRIPSI\data simogirang\"/>
    </mc:Choice>
  </mc:AlternateContent>
  <xr:revisionPtr revIDLastSave="0" documentId="13_ncr:1_{14F9806B-2CEF-4E85-8AE5-7C604F258CEE}" xr6:coauthVersionLast="47" xr6:coauthVersionMax="47" xr10:uidLastSave="{00000000-0000-0000-0000-000000000000}"/>
  <bookViews>
    <workbookView xWindow="-840" yWindow="2988" windowWidth="17280" windowHeight="8964" xr2:uid="{6EE933C1-8541-4EEA-ACD1-4DE6922278AC}"/>
  </bookViews>
  <sheets>
    <sheet name="data simogirang" sheetId="1" r:id="rId1"/>
    <sheet name="data tambahan" sheetId="2" r:id="rId2"/>
    <sheet name="data fiks" sheetId="3" r:id="rId3"/>
  </sheets>
  <definedNames>
    <definedName name="_xlnm._FilterDatabase" localSheetId="2" hidden="1">'data fiks'!$O$1:$O$1667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667" i="3" l="1"/>
  <c r="O1666" i="3"/>
  <c r="O1665" i="3"/>
  <c r="O1664" i="3"/>
  <c r="O1663" i="3"/>
  <c r="O1662" i="3"/>
  <c r="O1661" i="3"/>
  <c r="O1660" i="3"/>
  <c r="O1659" i="3"/>
  <c r="O1658" i="3"/>
  <c r="O1657" i="3"/>
  <c r="O1656" i="3"/>
  <c r="O1655" i="3"/>
  <c r="O1654" i="3"/>
  <c r="O1653" i="3"/>
  <c r="O1652" i="3"/>
  <c r="O1651" i="3"/>
  <c r="O1650" i="3"/>
  <c r="O1649" i="3"/>
  <c r="O1648" i="3"/>
  <c r="O1647" i="3"/>
  <c r="O1646" i="3"/>
  <c r="O1645" i="3"/>
  <c r="O1644" i="3"/>
  <c r="O1643" i="3"/>
  <c r="O1642" i="3"/>
  <c r="O1641" i="3"/>
  <c r="O1640" i="3"/>
  <c r="O1639" i="3"/>
  <c r="O1638" i="3"/>
  <c r="O1637" i="3"/>
  <c r="O1636" i="3"/>
  <c r="O1635" i="3"/>
  <c r="O1634" i="3"/>
  <c r="O1633" i="3"/>
  <c r="O1632" i="3"/>
  <c r="O1631" i="3"/>
  <c r="O1630" i="3"/>
  <c r="O1629" i="3"/>
  <c r="O1628" i="3"/>
  <c r="O1627" i="3"/>
  <c r="O1626" i="3"/>
  <c r="O1625" i="3"/>
  <c r="O1624" i="3"/>
  <c r="O1623" i="3"/>
  <c r="O1622" i="3"/>
  <c r="O1621" i="3"/>
  <c r="O1620" i="3"/>
  <c r="O1619" i="3"/>
  <c r="O1618" i="3"/>
  <c r="O1617" i="3"/>
  <c r="O1616" i="3"/>
  <c r="O1615" i="3"/>
  <c r="O1614" i="3"/>
  <c r="O1613" i="3"/>
  <c r="O1612" i="3"/>
  <c r="O1611" i="3"/>
  <c r="O1610" i="3"/>
  <c r="O1609" i="3"/>
  <c r="O1608" i="3"/>
  <c r="O1607" i="3"/>
  <c r="O1606" i="3"/>
  <c r="O1605" i="3"/>
  <c r="O1604" i="3"/>
  <c r="O1603" i="3"/>
  <c r="O1602" i="3"/>
  <c r="O1601" i="3"/>
  <c r="O1600" i="3"/>
  <c r="O1599" i="3"/>
  <c r="O1598" i="3"/>
  <c r="O1597" i="3"/>
  <c r="O1596" i="3"/>
  <c r="O1595" i="3"/>
  <c r="O1594" i="3"/>
  <c r="O1593" i="3"/>
  <c r="O1592" i="3"/>
  <c r="O1591" i="3"/>
  <c r="O1590" i="3"/>
  <c r="O1589" i="3"/>
  <c r="O1588" i="3"/>
  <c r="O1587" i="3"/>
  <c r="O1586" i="3"/>
  <c r="O1585" i="3"/>
  <c r="O1584" i="3"/>
  <c r="O1583" i="3"/>
  <c r="O1582" i="3"/>
  <c r="O1581" i="3"/>
  <c r="O1580" i="3"/>
  <c r="O1579" i="3"/>
  <c r="O1578" i="3"/>
  <c r="O1577" i="3"/>
  <c r="O1576" i="3"/>
  <c r="O1575" i="3"/>
  <c r="O1574" i="3"/>
  <c r="O1573" i="3"/>
  <c r="O1572" i="3"/>
  <c r="O1571" i="3"/>
  <c r="O1570" i="3"/>
  <c r="O1569" i="3"/>
  <c r="O1568" i="3"/>
  <c r="O1567" i="3"/>
  <c r="O1566" i="3"/>
  <c r="O1565" i="3"/>
  <c r="O1564" i="3"/>
  <c r="O1563" i="3"/>
  <c r="O1562" i="3"/>
  <c r="O1561" i="3"/>
  <c r="O1560" i="3"/>
  <c r="O1559" i="3"/>
  <c r="O1558" i="3"/>
  <c r="O1557" i="3"/>
  <c r="O1556" i="3"/>
  <c r="O1555" i="3"/>
  <c r="O1554" i="3"/>
  <c r="O1553" i="3"/>
  <c r="O1552" i="3"/>
  <c r="O1551" i="3"/>
  <c r="O1550" i="3"/>
  <c r="O1549" i="3"/>
  <c r="O1548" i="3"/>
  <c r="O1547" i="3"/>
  <c r="O1546" i="3"/>
  <c r="O1545" i="3"/>
  <c r="O1544" i="3"/>
  <c r="O1543" i="3"/>
  <c r="O1542" i="3"/>
  <c r="O1541" i="3"/>
  <c r="O1540" i="3"/>
  <c r="O1539" i="3"/>
  <c r="O1538" i="3"/>
  <c r="O1537" i="3"/>
  <c r="O1536" i="3"/>
  <c r="O1535" i="3"/>
  <c r="O1534" i="3"/>
  <c r="O1533" i="3"/>
  <c r="O1532" i="3"/>
  <c r="O1531" i="3"/>
  <c r="O1530" i="3"/>
  <c r="O1529" i="3"/>
  <c r="O1528" i="3"/>
  <c r="O1527" i="3"/>
  <c r="O1526" i="3"/>
  <c r="O1525" i="3"/>
  <c r="O1524" i="3"/>
  <c r="O1523" i="3"/>
  <c r="O1522" i="3"/>
  <c r="O1521" i="3"/>
  <c r="O1520" i="3"/>
  <c r="O1519" i="3"/>
  <c r="O1518" i="3"/>
  <c r="O1517" i="3"/>
  <c r="O1516" i="3"/>
  <c r="O1515" i="3"/>
  <c r="O1514" i="3"/>
  <c r="O1513" i="3"/>
  <c r="O1512" i="3"/>
  <c r="O1511" i="3"/>
  <c r="O1510" i="3"/>
  <c r="O1509" i="3"/>
  <c r="O1508" i="3"/>
  <c r="O1507" i="3"/>
  <c r="O1506" i="3"/>
  <c r="O1505" i="3"/>
  <c r="O1504" i="3"/>
  <c r="O1503" i="3"/>
  <c r="O1502" i="3"/>
  <c r="O1501" i="3"/>
  <c r="O1500" i="3"/>
  <c r="O1499" i="3"/>
  <c r="O1498" i="3"/>
  <c r="O1497" i="3"/>
  <c r="O1496" i="3"/>
  <c r="O1495" i="3"/>
  <c r="O1494" i="3"/>
  <c r="O1493" i="3"/>
  <c r="O1492" i="3"/>
  <c r="O1491" i="3"/>
  <c r="O1490" i="3"/>
  <c r="O1489" i="3"/>
  <c r="O1488" i="3"/>
  <c r="O1487" i="3"/>
  <c r="O1486" i="3"/>
  <c r="O1485" i="3"/>
  <c r="O1484" i="3"/>
  <c r="O1483" i="3"/>
  <c r="O1482" i="3"/>
  <c r="O1481" i="3"/>
  <c r="O1480" i="3"/>
  <c r="O1479" i="3"/>
  <c r="O1478" i="3"/>
  <c r="O1477" i="3"/>
  <c r="O1476" i="3"/>
  <c r="O1475" i="3"/>
  <c r="O1474" i="3"/>
  <c r="O1473" i="3"/>
  <c r="O1472" i="3"/>
  <c r="O1471" i="3"/>
  <c r="O1470" i="3"/>
  <c r="O1469" i="3"/>
  <c r="O1468" i="3"/>
  <c r="O1467" i="3"/>
  <c r="O1466" i="3"/>
  <c r="O1465" i="3"/>
  <c r="O1464" i="3"/>
  <c r="O1463" i="3"/>
  <c r="O1462" i="3"/>
  <c r="O1461" i="3"/>
  <c r="O1460" i="3"/>
  <c r="O1459" i="3"/>
  <c r="O1458" i="3"/>
  <c r="O1457" i="3"/>
  <c r="O1456" i="3"/>
  <c r="O1455" i="3"/>
  <c r="O1454" i="3"/>
  <c r="O1453" i="3"/>
  <c r="O1452" i="3"/>
  <c r="O1451" i="3"/>
  <c r="O1450" i="3"/>
  <c r="O1449" i="3"/>
  <c r="O1448" i="3"/>
  <c r="O1447" i="3"/>
  <c r="O1446" i="3"/>
  <c r="O1445" i="3"/>
  <c r="O1444" i="3"/>
  <c r="O1443" i="3"/>
  <c r="O1442" i="3"/>
  <c r="O1441" i="3"/>
  <c r="O1440" i="3"/>
  <c r="O1439" i="3"/>
  <c r="O1438" i="3"/>
  <c r="O1437" i="3"/>
  <c r="O1436" i="3"/>
  <c r="O1435" i="3"/>
  <c r="O1434" i="3"/>
  <c r="O1433" i="3"/>
  <c r="O1432" i="3"/>
  <c r="O1431" i="3"/>
  <c r="O1430" i="3"/>
  <c r="O1429" i="3"/>
  <c r="O1428" i="3"/>
  <c r="O1427" i="3"/>
  <c r="O1426" i="3"/>
  <c r="O1425" i="3"/>
  <c r="O1424" i="3"/>
  <c r="O1423" i="3"/>
  <c r="O1422" i="3"/>
  <c r="O1421" i="3"/>
  <c r="O1420" i="3"/>
  <c r="O1419" i="3"/>
  <c r="O1418" i="3"/>
  <c r="O1417" i="3"/>
  <c r="O1416" i="3"/>
  <c r="O1415" i="3"/>
  <c r="O1414" i="3"/>
  <c r="O1413" i="3"/>
  <c r="O1412" i="3"/>
  <c r="O1411" i="3"/>
  <c r="O1410" i="3"/>
  <c r="O1409" i="3"/>
  <c r="O1408" i="3"/>
  <c r="O1407" i="3"/>
  <c r="O1406" i="3"/>
  <c r="O1405" i="3"/>
  <c r="O1404" i="3"/>
  <c r="O1403" i="3"/>
  <c r="O1402" i="3"/>
  <c r="O1401" i="3"/>
  <c r="O1400" i="3"/>
  <c r="O1399" i="3"/>
  <c r="O1398" i="3"/>
  <c r="O1397" i="3"/>
  <c r="O1396" i="3"/>
  <c r="O1395" i="3"/>
  <c r="O1394" i="3"/>
  <c r="O1393" i="3"/>
  <c r="O1392" i="3"/>
  <c r="O1391" i="3"/>
  <c r="O1390" i="3"/>
  <c r="O1389" i="3"/>
  <c r="O1388" i="3"/>
  <c r="O1387" i="3"/>
  <c r="O1386" i="3"/>
  <c r="O1385" i="3"/>
  <c r="O1384" i="3"/>
  <c r="O1383" i="3"/>
  <c r="O1382" i="3"/>
  <c r="O1381" i="3"/>
  <c r="O1380" i="3"/>
  <c r="O1379" i="3"/>
  <c r="O1378" i="3"/>
  <c r="O1377" i="3"/>
  <c r="O1376" i="3"/>
  <c r="O1375" i="3"/>
  <c r="O1374" i="3"/>
  <c r="O1373" i="3"/>
  <c r="O1372" i="3"/>
  <c r="O1371" i="3"/>
  <c r="O1370" i="3"/>
  <c r="O1369" i="3"/>
  <c r="O1368" i="3"/>
  <c r="O1367" i="3"/>
  <c r="O1366" i="3"/>
  <c r="O1365" i="3"/>
  <c r="O1364" i="3"/>
  <c r="O1363" i="3"/>
  <c r="O1362" i="3"/>
  <c r="O1361" i="3"/>
  <c r="O1360" i="3"/>
  <c r="O1359" i="3"/>
  <c r="O1358" i="3"/>
  <c r="O1357" i="3"/>
  <c r="O1356" i="3"/>
  <c r="O1355" i="3"/>
  <c r="O1354" i="3"/>
  <c r="O1353" i="3"/>
  <c r="O1352" i="3"/>
  <c r="O1351" i="3"/>
  <c r="O1350" i="3"/>
  <c r="O1349" i="3"/>
  <c r="O1348" i="3"/>
  <c r="O1347" i="3"/>
  <c r="O1346" i="3"/>
  <c r="O1345" i="3"/>
  <c r="O1344" i="3"/>
  <c r="O1343" i="3"/>
  <c r="O1342" i="3"/>
  <c r="O1341" i="3"/>
  <c r="O1340" i="3"/>
  <c r="O1339" i="3"/>
  <c r="O1338" i="3"/>
  <c r="O1337" i="3"/>
  <c r="O1336" i="3"/>
  <c r="O1335" i="3"/>
  <c r="O1334" i="3"/>
  <c r="O1333" i="3"/>
  <c r="O1332" i="3"/>
  <c r="O1331" i="3"/>
  <c r="O1330" i="3"/>
  <c r="O1329" i="3"/>
  <c r="O1328" i="3"/>
  <c r="O1327" i="3"/>
  <c r="O1326" i="3"/>
  <c r="O1325" i="3"/>
  <c r="O1324" i="3"/>
  <c r="O1323" i="3"/>
  <c r="O1322" i="3"/>
  <c r="O1321" i="3"/>
  <c r="O1320" i="3"/>
  <c r="O1319" i="3"/>
  <c r="O1318" i="3"/>
  <c r="O1317" i="3"/>
  <c r="O1316" i="3"/>
  <c r="O1315" i="3"/>
  <c r="O1314" i="3"/>
  <c r="O1313" i="3"/>
  <c r="O1312" i="3"/>
  <c r="O1311" i="3"/>
  <c r="O1310" i="3"/>
  <c r="O1309" i="3"/>
  <c r="O1308" i="3"/>
  <c r="O1307" i="3"/>
  <c r="O1306" i="3"/>
  <c r="O1305" i="3"/>
  <c r="O1304" i="3"/>
  <c r="O1303" i="3"/>
  <c r="O1302" i="3"/>
  <c r="O1301" i="3"/>
  <c r="O1300" i="3"/>
  <c r="O1299" i="3"/>
  <c r="O1298" i="3"/>
  <c r="O1297" i="3"/>
  <c r="O1296" i="3"/>
  <c r="O1295" i="3"/>
  <c r="O1294" i="3"/>
  <c r="O1293" i="3"/>
  <c r="O1292" i="3"/>
  <c r="O1291" i="3"/>
  <c r="O1290" i="3"/>
  <c r="L1573" i="3"/>
  <c r="L1335" i="3"/>
  <c r="AH14" i="1"/>
  <c r="AH15" i="1"/>
  <c r="AH5" i="1"/>
  <c r="AH6" i="1"/>
  <c r="AH7" i="1"/>
  <c r="AH8" i="1"/>
  <c r="AH9" i="1"/>
  <c r="AH10" i="1"/>
  <c r="AH11" i="1"/>
  <c r="AH12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162" i="1"/>
  <c r="AI163" i="1"/>
  <c r="AI164" i="1"/>
  <c r="AI165" i="1"/>
  <c r="AI166" i="1"/>
  <c r="AI167" i="1"/>
  <c r="AI168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I184" i="1"/>
  <c r="AI185" i="1"/>
  <c r="AI186" i="1"/>
  <c r="AI187" i="1"/>
  <c r="AI188" i="1"/>
  <c r="AI189" i="1"/>
  <c r="AI190" i="1"/>
  <c r="AI191" i="1"/>
  <c r="AI192" i="1"/>
  <c r="AI193" i="1"/>
  <c r="AI194" i="1"/>
  <c r="AI195" i="1"/>
  <c r="AI196" i="1"/>
  <c r="AI197" i="1"/>
  <c r="AI198" i="1"/>
  <c r="AI199" i="1"/>
  <c r="AI200" i="1"/>
  <c r="AI201" i="1"/>
  <c r="AI202" i="1"/>
  <c r="AI203" i="1"/>
  <c r="AI204" i="1"/>
  <c r="AI205" i="1"/>
  <c r="AI206" i="1"/>
  <c r="AI207" i="1"/>
  <c r="AI208" i="1"/>
  <c r="AI209" i="1"/>
  <c r="AI210" i="1"/>
  <c r="AI211" i="1"/>
  <c r="AI212" i="1"/>
  <c r="AI213" i="1"/>
  <c r="AI214" i="1"/>
  <c r="AI215" i="1"/>
  <c r="AI216" i="1"/>
  <c r="AI217" i="1"/>
  <c r="AI218" i="1"/>
  <c r="AI219" i="1"/>
  <c r="AI220" i="1"/>
  <c r="AI221" i="1"/>
  <c r="AI222" i="1"/>
  <c r="AI223" i="1"/>
  <c r="AI224" i="1"/>
  <c r="AI225" i="1"/>
  <c r="AI226" i="1"/>
  <c r="AI227" i="1"/>
  <c r="AI228" i="1"/>
  <c r="AI229" i="1"/>
  <c r="AI230" i="1"/>
  <c r="AI231" i="1"/>
  <c r="AI232" i="1"/>
  <c r="AI233" i="1"/>
  <c r="AI234" i="1"/>
  <c r="AI235" i="1"/>
  <c r="AI236" i="1"/>
  <c r="AI237" i="1"/>
  <c r="AI238" i="1"/>
  <c r="AI239" i="1"/>
  <c r="AI240" i="1"/>
  <c r="AI241" i="1"/>
  <c r="AI242" i="1"/>
  <c r="AI243" i="1"/>
  <c r="AI244" i="1"/>
  <c r="AI245" i="1"/>
  <c r="AI246" i="1"/>
  <c r="AI247" i="1"/>
  <c r="AI248" i="1"/>
  <c r="AI249" i="1"/>
  <c r="AI250" i="1"/>
  <c r="AI251" i="1"/>
  <c r="AI252" i="1"/>
  <c r="AI253" i="1"/>
  <c r="AI254" i="1"/>
  <c r="AI255" i="1"/>
  <c r="AI256" i="1"/>
  <c r="AI257" i="1"/>
  <c r="AI258" i="1"/>
  <c r="AI259" i="1"/>
  <c r="AI260" i="1"/>
  <c r="AI261" i="1"/>
  <c r="AI262" i="1"/>
  <c r="AI263" i="1"/>
  <c r="AI264" i="1"/>
  <c r="AI265" i="1"/>
  <c r="AI266" i="1"/>
  <c r="AI267" i="1"/>
  <c r="AI268" i="1"/>
  <c r="AI269" i="1"/>
  <c r="AI270" i="1"/>
  <c r="AI271" i="1"/>
  <c r="AI272" i="1"/>
  <c r="AI273" i="1"/>
  <c r="AI274" i="1"/>
  <c r="AI275" i="1"/>
  <c r="AI276" i="1"/>
  <c r="AI277" i="1"/>
  <c r="AI278" i="1"/>
  <c r="AI279" i="1"/>
  <c r="AI280" i="1"/>
  <c r="AI281" i="1"/>
  <c r="AI282" i="1"/>
  <c r="AI283" i="1"/>
  <c r="AI284" i="1"/>
  <c r="AI285" i="1"/>
  <c r="AI286" i="1"/>
  <c r="AI287" i="1"/>
  <c r="AI288" i="1"/>
  <c r="AI289" i="1"/>
  <c r="AI290" i="1"/>
  <c r="AI291" i="1"/>
  <c r="AI292" i="1"/>
  <c r="AI293" i="1"/>
  <c r="AI294" i="1"/>
  <c r="AI295" i="1"/>
  <c r="AI296" i="1"/>
  <c r="AI297" i="1"/>
  <c r="AI298" i="1"/>
  <c r="AI299" i="1"/>
  <c r="AI300" i="1"/>
  <c r="AI301" i="1"/>
  <c r="AI302" i="1"/>
  <c r="AI303" i="1"/>
  <c r="AI304" i="1"/>
  <c r="AI305" i="1"/>
  <c r="AI306" i="1"/>
  <c r="AI307" i="1"/>
  <c r="AI308" i="1"/>
  <c r="AI309" i="1"/>
  <c r="AI310" i="1"/>
  <c r="AI311" i="1"/>
  <c r="AI312" i="1"/>
  <c r="AI313" i="1"/>
  <c r="AI314" i="1"/>
  <c r="AI315" i="1"/>
  <c r="AI316" i="1"/>
  <c r="AI317" i="1"/>
  <c r="AI318" i="1"/>
  <c r="AI319" i="1"/>
  <c r="AI320" i="1"/>
  <c r="AI321" i="1"/>
  <c r="AI322" i="1"/>
  <c r="AI323" i="1"/>
  <c r="AI324" i="1"/>
  <c r="AI325" i="1"/>
  <c r="AI326" i="1"/>
  <c r="AI327" i="1"/>
  <c r="AI328" i="1"/>
  <c r="AI329" i="1"/>
  <c r="AI330" i="1"/>
  <c r="AI331" i="1"/>
  <c r="AI332" i="1"/>
  <c r="AI333" i="1"/>
  <c r="AI334" i="1"/>
  <c r="AI335" i="1"/>
  <c r="AI336" i="1"/>
  <c r="AI337" i="1"/>
  <c r="AI338" i="1"/>
  <c r="AI339" i="1"/>
  <c r="AI340" i="1"/>
  <c r="AI341" i="1"/>
  <c r="AI342" i="1"/>
  <c r="AI343" i="1"/>
  <c r="AI344" i="1"/>
  <c r="AI345" i="1"/>
  <c r="AI346" i="1"/>
  <c r="AI347" i="1"/>
  <c r="AI348" i="1"/>
  <c r="AI349" i="1"/>
  <c r="AI350" i="1"/>
  <c r="AI351" i="1"/>
  <c r="AI352" i="1"/>
  <c r="AI353" i="1"/>
  <c r="AI354" i="1"/>
  <c r="AI355" i="1"/>
  <c r="AI356" i="1"/>
  <c r="AI357" i="1"/>
  <c r="AI358" i="1"/>
  <c r="AI359" i="1"/>
  <c r="AI360" i="1"/>
  <c r="AI361" i="1"/>
  <c r="AI362" i="1"/>
  <c r="AI363" i="1"/>
  <c r="AI364" i="1"/>
  <c r="AI365" i="1"/>
  <c r="AI366" i="1"/>
  <c r="AI367" i="1"/>
  <c r="AI368" i="1"/>
  <c r="AI369" i="1"/>
  <c r="AI370" i="1"/>
  <c r="AI371" i="1"/>
  <c r="AI372" i="1"/>
  <c r="AI373" i="1"/>
  <c r="AI374" i="1"/>
  <c r="AI375" i="1"/>
  <c r="AI376" i="1"/>
  <c r="AI377" i="1"/>
  <c r="AI378" i="1"/>
  <c r="AI379" i="1"/>
  <c r="AI380" i="1"/>
  <c r="AI381" i="1"/>
  <c r="AI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AG184" i="1"/>
  <c r="AG185" i="1"/>
  <c r="AG186" i="1"/>
  <c r="AG187" i="1"/>
  <c r="AG188" i="1"/>
  <c r="AG189" i="1"/>
  <c r="AG190" i="1"/>
  <c r="AG191" i="1"/>
  <c r="AG192" i="1"/>
  <c r="AG193" i="1"/>
  <c r="AG194" i="1"/>
  <c r="AG195" i="1"/>
  <c r="AG196" i="1"/>
  <c r="AG197" i="1"/>
  <c r="AG198" i="1"/>
  <c r="AG199" i="1"/>
  <c r="AG200" i="1"/>
  <c r="AG201" i="1"/>
  <c r="AG202" i="1"/>
  <c r="AG203" i="1"/>
  <c r="AG204" i="1"/>
  <c r="AG205" i="1"/>
  <c r="AG206" i="1"/>
  <c r="AG207" i="1"/>
  <c r="AG208" i="1"/>
  <c r="AG209" i="1"/>
  <c r="AG210" i="1"/>
  <c r="AG211" i="1"/>
  <c r="AG212" i="1"/>
  <c r="AG213" i="1"/>
  <c r="AG214" i="1"/>
  <c r="AG215" i="1"/>
  <c r="AG216" i="1"/>
  <c r="AG217" i="1"/>
  <c r="AG218" i="1"/>
  <c r="AG219" i="1"/>
  <c r="AG220" i="1"/>
  <c r="AG221" i="1"/>
  <c r="AG222" i="1"/>
  <c r="AG223" i="1"/>
  <c r="AG224" i="1"/>
  <c r="AG225" i="1"/>
  <c r="AG226" i="1"/>
  <c r="AG227" i="1"/>
  <c r="AG228" i="1"/>
  <c r="AG229" i="1"/>
  <c r="AG230" i="1"/>
  <c r="AG231" i="1"/>
  <c r="AG232" i="1"/>
  <c r="AG233" i="1"/>
  <c r="AG234" i="1"/>
  <c r="AG235" i="1"/>
  <c r="AG236" i="1"/>
  <c r="AG237" i="1"/>
  <c r="AG238" i="1"/>
  <c r="AG239" i="1"/>
  <c r="AG240" i="1"/>
  <c r="AG241" i="1"/>
  <c r="AG242" i="1"/>
  <c r="AG243" i="1"/>
  <c r="AG244" i="1"/>
  <c r="AG245" i="1"/>
  <c r="AG246" i="1"/>
  <c r="AG247" i="1"/>
  <c r="AG248" i="1"/>
  <c r="AG249" i="1"/>
  <c r="AG250" i="1"/>
  <c r="AG251" i="1"/>
  <c r="AG252" i="1"/>
  <c r="AG253" i="1"/>
  <c r="AG254" i="1"/>
  <c r="AG255" i="1"/>
  <c r="AG256" i="1"/>
  <c r="AG257" i="1"/>
  <c r="AG258" i="1"/>
  <c r="AG259" i="1"/>
  <c r="AG260" i="1"/>
  <c r="AG261" i="1"/>
  <c r="AG262" i="1"/>
  <c r="AG263" i="1"/>
  <c r="AG264" i="1"/>
  <c r="AG265" i="1"/>
  <c r="AG266" i="1"/>
  <c r="AG267" i="1"/>
  <c r="AG268" i="1"/>
  <c r="AG269" i="1"/>
  <c r="AG270" i="1"/>
  <c r="AG271" i="1"/>
  <c r="AG272" i="1"/>
  <c r="AG273" i="1"/>
  <c r="AG274" i="1"/>
  <c r="AG275" i="1"/>
  <c r="AG276" i="1"/>
  <c r="AG277" i="1"/>
  <c r="AG278" i="1"/>
  <c r="AG279" i="1"/>
  <c r="AG280" i="1"/>
  <c r="AG281" i="1"/>
  <c r="AG282" i="1"/>
  <c r="AG283" i="1"/>
  <c r="AG284" i="1"/>
  <c r="AG285" i="1"/>
  <c r="AG286" i="1"/>
  <c r="AG287" i="1"/>
  <c r="AG288" i="1"/>
  <c r="AG289" i="1"/>
  <c r="AG290" i="1"/>
  <c r="AG291" i="1"/>
  <c r="AG292" i="1"/>
  <c r="AG293" i="1"/>
  <c r="AG294" i="1"/>
  <c r="AG295" i="1"/>
  <c r="AG296" i="1"/>
  <c r="AG297" i="1"/>
  <c r="AG298" i="1"/>
  <c r="AG299" i="1"/>
  <c r="AG300" i="1"/>
  <c r="AG301" i="1"/>
  <c r="AG302" i="1"/>
  <c r="AG303" i="1"/>
  <c r="AG304" i="1"/>
  <c r="AG305" i="1"/>
  <c r="AG306" i="1"/>
  <c r="AG307" i="1"/>
  <c r="AG308" i="1"/>
  <c r="AG309" i="1"/>
  <c r="AG310" i="1"/>
  <c r="AG311" i="1"/>
  <c r="AG312" i="1"/>
  <c r="AG313" i="1"/>
  <c r="AG314" i="1"/>
  <c r="AG315" i="1"/>
  <c r="AG316" i="1"/>
  <c r="AG317" i="1"/>
  <c r="AG318" i="1"/>
  <c r="AG319" i="1"/>
  <c r="AG320" i="1"/>
  <c r="AG321" i="1"/>
  <c r="AG322" i="1"/>
  <c r="AG323" i="1"/>
  <c r="AG324" i="1"/>
  <c r="AG325" i="1"/>
  <c r="AG326" i="1"/>
  <c r="AG327" i="1"/>
  <c r="AG328" i="1"/>
  <c r="AG329" i="1"/>
  <c r="AG330" i="1"/>
  <c r="AG331" i="1"/>
  <c r="AG332" i="1"/>
  <c r="AG333" i="1"/>
  <c r="AG334" i="1"/>
  <c r="AG335" i="1"/>
  <c r="AG336" i="1"/>
  <c r="AG337" i="1"/>
  <c r="AG338" i="1"/>
  <c r="AG339" i="1"/>
  <c r="AG340" i="1"/>
  <c r="AG341" i="1"/>
  <c r="AG342" i="1"/>
  <c r="AG343" i="1"/>
  <c r="AG344" i="1"/>
  <c r="AG345" i="1"/>
  <c r="AG346" i="1"/>
  <c r="AG347" i="1"/>
  <c r="AG348" i="1"/>
  <c r="AG349" i="1"/>
  <c r="AG350" i="1"/>
  <c r="AG351" i="1"/>
  <c r="AG352" i="1"/>
  <c r="AG353" i="1"/>
  <c r="AG354" i="1"/>
  <c r="AG355" i="1"/>
  <c r="AG356" i="1"/>
  <c r="AG357" i="1"/>
  <c r="AG358" i="1"/>
  <c r="AG359" i="1"/>
  <c r="AG360" i="1"/>
  <c r="AG361" i="1"/>
  <c r="AG362" i="1"/>
  <c r="AG363" i="1"/>
  <c r="AG364" i="1"/>
  <c r="AG365" i="1"/>
  <c r="AG366" i="1"/>
  <c r="AG367" i="1"/>
  <c r="AG368" i="1"/>
  <c r="AG369" i="1"/>
  <c r="AG370" i="1"/>
  <c r="AG371" i="1"/>
  <c r="AG372" i="1"/>
  <c r="AG373" i="1"/>
  <c r="AG374" i="1"/>
  <c r="AG375" i="1"/>
  <c r="AG376" i="1"/>
  <c r="AG377" i="1"/>
  <c r="AG378" i="1"/>
  <c r="AG379" i="1"/>
  <c r="AG380" i="1"/>
  <c r="AG381" i="1"/>
  <c r="AH13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46" i="1"/>
  <c r="AH247" i="1"/>
  <c r="AH248" i="1"/>
  <c r="AH249" i="1"/>
  <c r="AH250" i="1"/>
  <c r="AH251" i="1"/>
  <c r="AH252" i="1"/>
  <c r="AH253" i="1"/>
  <c r="AH254" i="1"/>
  <c r="AH255" i="1"/>
  <c r="AH256" i="1"/>
  <c r="AH257" i="1"/>
  <c r="AH258" i="1"/>
  <c r="AH259" i="1"/>
  <c r="AH260" i="1"/>
  <c r="AH261" i="1"/>
  <c r="AH262" i="1"/>
  <c r="AH263" i="1"/>
  <c r="AH264" i="1"/>
  <c r="AH265" i="1"/>
  <c r="AH266" i="1"/>
  <c r="AH267" i="1"/>
  <c r="AH268" i="1"/>
  <c r="AH269" i="1"/>
  <c r="AH270" i="1"/>
  <c r="AH271" i="1"/>
  <c r="AH272" i="1"/>
  <c r="AH273" i="1"/>
  <c r="AH274" i="1"/>
  <c r="AH275" i="1"/>
  <c r="AH276" i="1"/>
  <c r="AH277" i="1"/>
  <c r="AH278" i="1"/>
  <c r="AH279" i="1"/>
  <c r="AH280" i="1"/>
  <c r="AH281" i="1"/>
  <c r="AH282" i="1"/>
  <c r="AH283" i="1"/>
  <c r="AH284" i="1"/>
  <c r="AH285" i="1"/>
  <c r="AH286" i="1"/>
  <c r="AH287" i="1"/>
  <c r="AH288" i="1"/>
  <c r="AH289" i="1"/>
  <c r="AH290" i="1"/>
  <c r="AH291" i="1"/>
  <c r="AH292" i="1"/>
  <c r="AH293" i="1"/>
  <c r="AH294" i="1"/>
  <c r="AH295" i="1"/>
  <c r="AH296" i="1"/>
  <c r="AH297" i="1"/>
  <c r="AH299" i="1"/>
  <c r="AH300" i="1"/>
  <c r="AH301" i="1"/>
  <c r="AH302" i="1"/>
  <c r="AH303" i="1"/>
  <c r="AH304" i="1"/>
  <c r="AH305" i="1"/>
  <c r="AH306" i="1"/>
  <c r="AH307" i="1"/>
  <c r="AH308" i="1"/>
  <c r="AH309" i="1"/>
  <c r="AH310" i="1"/>
  <c r="AH311" i="1"/>
  <c r="AH312" i="1"/>
  <c r="AH313" i="1"/>
  <c r="AH314" i="1"/>
  <c r="AH315" i="1"/>
  <c r="AH316" i="1"/>
  <c r="AH317" i="1"/>
  <c r="AH318" i="1"/>
  <c r="AH319" i="1"/>
  <c r="AH320" i="1"/>
  <c r="AH321" i="1"/>
  <c r="AH322" i="1"/>
  <c r="AH323" i="1"/>
  <c r="AH324" i="1"/>
  <c r="AH325" i="1"/>
  <c r="AH326" i="1"/>
  <c r="AH327" i="1"/>
  <c r="AH328" i="1"/>
  <c r="AH329" i="1"/>
  <c r="AH330" i="1"/>
  <c r="AH331" i="1"/>
  <c r="AH332" i="1"/>
  <c r="AH333" i="1"/>
  <c r="AH334" i="1"/>
  <c r="AH335" i="1"/>
  <c r="AH336" i="1"/>
  <c r="AH337" i="1"/>
  <c r="AH338" i="1"/>
  <c r="AH339" i="1"/>
  <c r="AH340" i="1"/>
  <c r="AH341" i="1"/>
  <c r="AH342" i="1"/>
  <c r="AH343" i="1"/>
  <c r="AH344" i="1"/>
  <c r="AH345" i="1"/>
  <c r="AH346" i="1"/>
  <c r="AH347" i="1"/>
  <c r="AH348" i="1"/>
  <c r="AH349" i="1"/>
  <c r="AH350" i="1"/>
  <c r="AH351" i="1"/>
  <c r="AH352" i="1"/>
  <c r="AH353" i="1"/>
  <c r="AH354" i="1"/>
  <c r="AH355" i="1"/>
  <c r="AH356" i="1"/>
  <c r="AH357" i="1"/>
  <c r="AH358" i="1"/>
  <c r="AH359" i="1"/>
  <c r="AH360" i="1"/>
  <c r="AH361" i="1"/>
  <c r="AH362" i="1"/>
  <c r="AH363" i="1"/>
  <c r="AH364" i="1"/>
  <c r="AH365" i="1"/>
  <c r="AH366" i="1"/>
  <c r="AH367" i="1"/>
  <c r="AH368" i="1"/>
  <c r="AH369" i="1"/>
  <c r="AH370" i="1"/>
  <c r="AH371" i="1"/>
  <c r="AH372" i="1"/>
  <c r="AH373" i="1"/>
  <c r="AH374" i="1"/>
  <c r="AH375" i="1"/>
  <c r="AH376" i="1"/>
  <c r="AH377" i="1"/>
  <c r="AH378" i="1"/>
  <c r="AH379" i="1"/>
  <c r="AH380" i="1"/>
  <c r="AH381" i="1"/>
  <c r="W341" i="1" l="1"/>
  <c r="W340" i="1"/>
  <c r="W339" i="1"/>
  <c r="W338" i="1"/>
  <c r="W337" i="1"/>
  <c r="W336" i="1"/>
  <c r="W335" i="1"/>
  <c r="W334" i="1"/>
  <c r="W333" i="1"/>
  <c r="W332" i="1"/>
  <c r="W331" i="1"/>
  <c r="W330" i="1"/>
  <c r="W329" i="1"/>
  <c r="W328" i="1"/>
  <c r="W327" i="1"/>
  <c r="W326" i="1"/>
  <c r="W325" i="1"/>
  <c r="W324" i="1"/>
  <c r="W323" i="1"/>
  <c r="W322" i="1"/>
  <c r="W321" i="1"/>
  <c r="W320" i="1"/>
  <c r="W319" i="1"/>
  <c r="W318" i="1"/>
  <c r="W317" i="1"/>
  <c r="W316" i="1"/>
  <c r="W315" i="1"/>
  <c r="W314" i="1"/>
  <c r="W313" i="1"/>
  <c r="W312" i="1"/>
  <c r="W311" i="1"/>
  <c r="W310" i="1"/>
  <c r="W309" i="1"/>
  <c r="W308" i="1"/>
  <c r="W307" i="1"/>
  <c r="W306" i="1"/>
  <c r="W305" i="1"/>
  <c r="W304" i="1"/>
  <c r="W303" i="1"/>
  <c r="W302" i="1"/>
  <c r="W301" i="1"/>
  <c r="W300" i="1"/>
  <c r="W299" i="1"/>
  <c r="AH298" i="1"/>
  <c r="W298" i="1"/>
  <c r="W297" i="1"/>
  <c r="W296" i="1"/>
  <c r="W295" i="1"/>
  <c r="W294" i="1"/>
  <c r="W293" i="1"/>
  <c r="W292" i="1"/>
  <c r="W291" i="1"/>
  <c r="W290" i="1"/>
  <c r="W289" i="1"/>
  <c r="W288" i="1"/>
  <c r="AE287" i="1"/>
  <c r="W287" i="1"/>
  <c r="W286" i="1"/>
  <c r="W285" i="1"/>
  <c r="W284" i="1"/>
  <c r="W283" i="1"/>
  <c r="W282" i="1"/>
  <c r="W281" i="1"/>
  <c r="W280" i="1"/>
  <c r="W279" i="1"/>
  <c r="W278" i="1"/>
  <c r="W277" i="1"/>
  <c r="W276" i="1"/>
  <c r="W275" i="1"/>
  <c r="W274" i="1"/>
  <c r="W273" i="1"/>
  <c r="W272" i="1"/>
  <c r="W271" i="1"/>
  <c r="W270" i="1"/>
  <c r="W269" i="1"/>
  <c r="W160" i="1"/>
  <c r="W159" i="1"/>
  <c r="W158" i="1"/>
  <c r="W157" i="1"/>
  <c r="W156" i="1"/>
  <c r="W155" i="1"/>
  <c r="W154" i="1"/>
  <c r="W153" i="1"/>
  <c r="W152" i="1"/>
  <c r="W151" i="1"/>
  <c r="W150" i="1"/>
  <c r="W149" i="1"/>
  <c r="W148" i="1"/>
  <c r="W147" i="1"/>
  <c r="W146" i="1"/>
  <c r="W145" i="1"/>
  <c r="W144" i="1"/>
  <c r="W143" i="1"/>
  <c r="AE49" i="1" l="1"/>
  <c r="W49" i="1"/>
  <c r="W48" i="1"/>
  <c r="W47" i="1"/>
  <c r="W46" i="1"/>
  <c r="W45" i="1"/>
  <c r="AG44" i="1"/>
  <c r="W44" i="1"/>
  <c r="AG43" i="1"/>
  <c r="W43" i="1"/>
  <c r="AG42" i="1"/>
  <c r="W42" i="1"/>
  <c r="A42" i="1"/>
  <c r="A43" i="1" s="1"/>
  <c r="A44" i="1" s="1"/>
  <c r="A45" i="1" s="1"/>
  <c r="AG41" i="1"/>
  <c r="W41" i="1"/>
  <c r="AG40" i="1"/>
  <c r="W40" i="1"/>
  <c r="AG39" i="1"/>
  <c r="W39" i="1"/>
  <c r="AG38" i="1"/>
  <c r="W38" i="1"/>
  <c r="A38" i="1"/>
  <c r="A39" i="1" s="1"/>
  <c r="AG37" i="1"/>
  <c r="W37" i="1"/>
  <c r="AG36" i="1"/>
  <c r="W36" i="1"/>
  <c r="AG35" i="1"/>
  <c r="W35" i="1"/>
  <c r="AG34" i="1"/>
  <c r="W34" i="1"/>
  <c r="AG33" i="1"/>
  <c r="W33" i="1"/>
  <c r="AG32" i="1"/>
  <c r="W32" i="1"/>
  <c r="AG31" i="1"/>
  <c r="W31" i="1"/>
  <c r="AG30" i="1"/>
  <c r="W30" i="1"/>
  <c r="A30" i="1"/>
  <c r="A31" i="1" s="1"/>
  <c r="A32" i="1" s="1"/>
  <c r="A33" i="1" s="1"/>
  <c r="AG29" i="1"/>
  <c r="W29" i="1"/>
  <c r="AG28" i="1"/>
  <c r="W28" i="1"/>
  <c r="AG27" i="1"/>
  <c r="W27" i="1"/>
  <c r="A27" i="1"/>
  <c r="AG26" i="1"/>
  <c r="W26" i="1"/>
  <c r="AG25" i="1"/>
  <c r="W25" i="1"/>
  <c r="AG24" i="1"/>
  <c r="W24" i="1"/>
  <c r="AG23" i="1"/>
  <c r="W23" i="1"/>
  <c r="AG22" i="1"/>
  <c r="W22" i="1"/>
  <c r="AG21" i="1"/>
  <c r="W21" i="1"/>
  <c r="AG20" i="1"/>
  <c r="W20" i="1"/>
  <c r="AG19" i="1"/>
  <c r="W19" i="1"/>
  <c r="AG18" i="1"/>
  <c r="W18" i="1"/>
  <c r="A18" i="1"/>
  <c r="A19" i="1" s="1"/>
  <c r="A20" i="1" s="1"/>
  <c r="A21" i="1" s="1"/>
  <c r="AG17" i="1"/>
  <c r="W17" i="1"/>
  <c r="AG16" i="1"/>
  <c r="W16" i="1"/>
  <c r="AG15" i="1"/>
  <c r="W15" i="1"/>
  <c r="AG14" i="1"/>
  <c r="W14" i="1"/>
  <c r="A14" i="1"/>
  <c r="A15" i="1" s="1"/>
  <c r="AG13" i="1"/>
  <c r="W13" i="1"/>
  <c r="AG12" i="1"/>
  <c r="W12" i="1"/>
  <c r="AG11" i="1"/>
  <c r="W11" i="1"/>
  <c r="AG10" i="1"/>
  <c r="W10" i="1"/>
  <c r="AG9" i="1"/>
  <c r="W9" i="1"/>
  <c r="AG8" i="1"/>
  <c r="W8" i="1"/>
  <c r="AG7" i="1"/>
  <c r="W7" i="1"/>
  <c r="AG6" i="1"/>
  <c r="W6" i="1"/>
  <c r="A6" i="1"/>
  <c r="A7" i="1" s="1"/>
  <c r="A8" i="1" s="1"/>
  <c r="A9" i="1" s="1"/>
  <c r="AG5" i="1"/>
  <c r="W5" i="1"/>
  <c r="AH4" i="1"/>
  <c r="AG4" i="1"/>
  <c r="W4" i="1"/>
</calcChain>
</file>

<file path=xl/sharedStrings.xml><?xml version="1.0" encoding="utf-8"?>
<sst xmlns="http://schemas.openxmlformats.org/spreadsheetml/2006/main" count="21061" uniqueCount="4012">
  <si>
    <t>No</t>
  </si>
  <si>
    <t>Anak ke-</t>
  </si>
  <si>
    <t>Tgl Lahir Manual</t>
  </si>
  <si>
    <t>Jenis Kelamin</t>
  </si>
  <si>
    <t>Kualifikasi Jenis Kelamin</t>
  </si>
  <si>
    <t>NIK Balita</t>
  </si>
  <si>
    <t>Nama Balita</t>
  </si>
  <si>
    <t>Berat Lahir</t>
  </si>
  <si>
    <t>Panjang Badan Lahir</t>
  </si>
  <si>
    <t>Punya Buku KIA</t>
  </si>
  <si>
    <t>IMD</t>
  </si>
  <si>
    <t>Nama Ibu</t>
  </si>
  <si>
    <t>NIK Ibu</t>
  </si>
  <si>
    <t>Alamat</t>
  </si>
  <si>
    <t>RT</t>
  </si>
  <si>
    <t>RW</t>
  </si>
  <si>
    <t>Tg.Timbang</t>
  </si>
  <si>
    <t>Tgl.Lahir</t>
  </si>
  <si>
    <t>Umur</t>
  </si>
  <si>
    <t>BB</t>
  </si>
  <si>
    <t>TB</t>
  </si>
  <si>
    <t>Cara Ukur</t>
  </si>
  <si>
    <t>LIKA (Cm)</t>
  </si>
  <si>
    <t>LILA (Cm)</t>
  </si>
  <si>
    <t>ASI EKSKLUSIF</t>
  </si>
  <si>
    <t>NILAI Z_SCORE</t>
  </si>
  <si>
    <t>STATUS  GIZI</t>
  </si>
  <si>
    <t xml:space="preserve">Tg </t>
  </si>
  <si>
    <t>Bln</t>
  </si>
  <si>
    <t>Thn</t>
  </si>
  <si>
    <t>(Bln)</t>
  </si>
  <si>
    <t>(Kg)</t>
  </si>
  <si>
    <t>(Cm)</t>
  </si>
  <si>
    <t>TB / U</t>
  </si>
  <si>
    <t>BB / U</t>
  </si>
  <si>
    <t>BB / TB</t>
  </si>
  <si>
    <t>2</t>
  </si>
  <si>
    <t>P</t>
  </si>
  <si>
    <t>3515024805200002</t>
  </si>
  <si>
    <t>NAJWA</t>
  </si>
  <si>
    <t>Ya</t>
  </si>
  <si>
    <t>SUWARNI</t>
  </si>
  <si>
    <t>Posy. Bandilan Desa SIMOGIRANG</t>
  </si>
  <si>
    <t>Berdiri</t>
  </si>
  <si>
    <t>3</t>
  </si>
  <si>
    <t>3515026606200002</t>
  </si>
  <si>
    <t>AURA TSABITA AYUDIA</t>
  </si>
  <si>
    <t>ASRIATUN</t>
  </si>
  <si>
    <t>L</t>
  </si>
  <si>
    <t>AKHMAD ALIF HAKIKI</t>
  </si>
  <si>
    <t>SURYATI</t>
  </si>
  <si>
    <t>3515114809200001</t>
  </si>
  <si>
    <t>AYNAH MARWAH</t>
  </si>
  <si>
    <t>ya</t>
  </si>
  <si>
    <t>TRIMUSARI</t>
  </si>
  <si>
    <t>3515026007950005</t>
  </si>
  <si>
    <t>IBRAHIM</t>
  </si>
  <si>
    <t>YA</t>
  </si>
  <si>
    <t>EKA TIARA</t>
  </si>
  <si>
    <t>3515024410200002</t>
  </si>
  <si>
    <t>KANAYA BENING</t>
  </si>
  <si>
    <t>FARIDA NUR AFIFAH</t>
  </si>
  <si>
    <t>3515026011200004</t>
  </si>
  <si>
    <t>NAYARA</t>
  </si>
  <si>
    <t>DWI KURNIASARI</t>
  </si>
  <si>
    <t>3515025803210001</t>
  </si>
  <si>
    <t>KAYRA ZAIDA</t>
  </si>
  <si>
    <t>MANDA</t>
  </si>
  <si>
    <t>3515026208010001</t>
  </si>
  <si>
    <t>3516086903210003</t>
  </si>
  <si>
    <t>MYKAYLA</t>
  </si>
  <si>
    <t>NUR CHORIDA</t>
  </si>
  <si>
    <t>3515026601960003</t>
  </si>
  <si>
    <t>NAFIZA RAMADANI</t>
  </si>
  <si>
    <t>TRI INDRAYANI</t>
  </si>
  <si>
    <t>M.AMMAR FATIH</t>
  </si>
  <si>
    <t>DIANA KUSUMAWATI</t>
  </si>
  <si>
    <t>3515020408210001</t>
  </si>
  <si>
    <t>AL BARRA ARGA PRATAMA</t>
  </si>
  <si>
    <t>AINUN JARIYAH</t>
  </si>
  <si>
    <t>3515026808210001</t>
  </si>
  <si>
    <t>AZKIA RAHMA</t>
  </si>
  <si>
    <t>BETY OKTASARI</t>
  </si>
  <si>
    <t>BERDIRI</t>
  </si>
  <si>
    <t>3515024811210001</t>
  </si>
  <si>
    <t>FERA FANIA</t>
  </si>
  <si>
    <t>WULAN PUJI</t>
  </si>
  <si>
    <t>3515025811210001</t>
  </si>
  <si>
    <t>RENATA NOVELIA</t>
  </si>
  <si>
    <t>RIRIN ULFIANI</t>
  </si>
  <si>
    <t>3515026801940002</t>
  </si>
  <si>
    <t>3515025201220001</t>
  </si>
  <si>
    <t>MAULIA HALIMATUS</t>
  </si>
  <si>
    <t>MUFAROKHATUN NIKHLAH</t>
  </si>
  <si>
    <t>3515026103920001</t>
  </si>
  <si>
    <t>3515020502220003</t>
  </si>
  <si>
    <t>ARSYAKA ZIDAN</t>
  </si>
  <si>
    <t>NUR EVA YULIANA</t>
  </si>
  <si>
    <t>3517116504900007</t>
  </si>
  <si>
    <t>3515115804220001</t>
  </si>
  <si>
    <t>SHAFA RAMADHANI</t>
  </si>
  <si>
    <t>TRI MUSARI</t>
  </si>
  <si>
    <t>3515025504220001</t>
  </si>
  <si>
    <t>NAZIRA APRIELLE</t>
  </si>
  <si>
    <t>ROSIDAH</t>
  </si>
  <si>
    <t>3515025310930002</t>
  </si>
  <si>
    <t>l</t>
  </si>
  <si>
    <t>M.ALFAREZA WIJAYA</t>
  </si>
  <si>
    <t>NINIS MUJAIROTUN</t>
  </si>
  <si>
    <t>3515025607220001</t>
  </si>
  <si>
    <t>ANINDITA KEYSA</t>
  </si>
  <si>
    <t>NILAM KUTMALASARI</t>
  </si>
  <si>
    <t>3515025902010003</t>
  </si>
  <si>
    <t>3515025009220002</t>
  </si>
  <si>
    <t>FALLONA SAFA KHALISA</t>
  </si>
  <si>
    <t>TIA CONNY NURFADILA</t>
  </si>
  <si>
    <t>3515025010960004</t>
  </si>
  <si>
    <t>ALISHA ZAKIYAH</t>
  </si>
  <si>
    <t>MIFTAKHUL ILMIYAH</t>
  </si>
  <si>
    <t>3514147004960002</t>
  </si>
  <si>
    <t>M.HABIBUROHMAN</t>
  </si>
  <si>
    <t>MUSRIFAH</t>
  </si>
  <si>
    <t>3515020910220001</t>
  </si>
  <si>
    <t>MUH.DILAN ALFARIZKY</t>
  </si>
  <si>
    <t>MAUDY SYAFAATIN</t>
  </si>
  <si>
    <t>3515022212220001</t>
  </si>
  <si>
    <t>ARSAKA KENZO ILYAS</t>
  </si>
  <si>
    <t>NUR ISMI MAULIDIYAH</t>
  </si>
  <si>
    <t>3515024908960001</t>
  </si>
  <si>
    <t>MUH.SALSA BAKHRI</t>
  </si>
  <si>
    <t>HENI NURUL HIDAYATI</t>
  </si>
  <si>
    <t>Terlentang</t>
  </si>
  <si>
    <t>3515025604230002</t>
  </si>
  <si>
    <t>ANISA AFIQOH RAMADANIA</t>
  </si>
  <si>
    <t>ZIYADATUL</t>
  </si>
  <si>
    <t>3515024710970001</t>
  </si>
  <si>
    <t>3578125205230001</t>
  </si>
  <si>
    <t>AQILAH PUTRI</t>
  </si>
  <si>
    <t>NUR HAYATI</t>
  </si>
  <si>
    <t>3578125406970002</t>
  </si>
  <si>
    <t>3515022306230002</t>
  </si>
  <si>
    <t>M.HAIDAR A</t>
  </si>
  <si>
    <t>KHORIATUL</t>
  </si>
  <si>
    <t>3515021007230002</t>
  </si>
  <si>
    <t>MUH.RAFAN SAUQI</t>
  </si>
  <si>
    <t>ANISA DWI</t>
  </si>
  <si>
    <t>3515024505010001</t>
  </si>
  <si>
    <t>3515025808230001</t>
  </si>
  <si>
    <t>DHEANITA ANINDA</t>
  </si>
  <si>
    <t>SILVI OKTAVIANTI</t>
  </si>
  <si>
    <t>3515025405010002</t>
  </si>
  <si>
    <t>3515024409230002</t>
  </si>
  <si>
    <t xml:space="preserve">ZEA KHALISA </t>
  </si>
  <si>
    <t>TITIK ALFIONITA</t>
  </si>
  <si>
    <t>3525155501980001</t>
  </si>
  <si>
    <t>MUHAMMAD DEVAN</t>
  </si>
  <si>
    <t>AHMAD MUMTAZAM</t>
  </si>
  <si>
    <t>UMMI RAHMA</t>
  </si>
  <si>
    <t>3515024103240002</t>
  </si>
  <si>
    <t>GLADEA CHERYL</t>
  </si>
  <si>
    <t>ULIANA LESTARI</t>
  </si>
  <si>
    <t>3515016703920003</t>
  </si>
  <si>
    <t>3515020304240001</t>
  </si>
  <si>
    <t>MUH.AGAM BIANTARA</t>
  </si>
  <si>
    <t>FITRIYAH</t>
  </si>
  <si>
    <t>3525134412020002</t>
  </si>
  <si>
    <t>3515024804240002</t>
  </si>
  <si>
    <t>MAZAYA SAFIYAH ANWAR</t>
  </si>
  <si>
    <t>AFIATUN NAZILAH</t>
  </si>
  <si>
    <t>3516094402930001</t>
  </si>
  <si>
    <t>3515020105240003</t>
  </si>
  <si>
    <t>MUH.RAFASYA ELVANO</t>
  </si>
  <si>
    <t>NUR HALIMAH</t>
  </si>
  <si>
    <t>3515026911990005</t>
  </si>
  <si>
    <t>MUH.HANAN GHANI</t>
  </si>
  <si>
    <t>ROHMATUL</t>
  </si>
  <si>
    <t>M.DIRGA MAULANA</t>
  </si>
  <si>
    <t>TITIK MULIYANI</t>
  </si>
  <si>
    <t>3515096202880001</t>
  </si>
  <si>
    <t>3515024709240002</t>
  </si>
  <si>
    <t>NAZIRAH SYAFA</t>
  </si>
  <si>
    <t>ISMI NUR</t>
  </si>
  <si>
    <t>3515025106990002</t>
  </si>
  <si>
    <t>3515020509240003</t>
  </si>
  <si>
    <t>M.ZEIN SAUQIBILLAH</t>
  </si>
  <si>
    <t>SAHRUL MAGHFIROH</t>
  </si>
  <si>
    <t>3515026311020004</t>
  </si>
  <si>
    <t>ARCHIO DAVION GIOVANO</t>
  </si>
  <si>
    <t>NUR ELLISA</t>
  </si>
  <si>
    <t>3515024101990001</t>
  </si>
  <si>
    <t>3515021110240001</t>
  </si>
  <si>
    <t>M.GUSTIAN FELIX</t>
  </si>
  <si>
    <t>FIFIT CHILVIA</t>
  </si>
  <si>
    <t>3523175709990001</t>
  </si>
  <si>
    <t>3515105111240002</t>
  </si>
  <si>
    <t xml:space="preserve">NAZIA NAVARINA </t>
  </si>
  <si>
    <t>SRI WIJAYANTI</t>
  </si>
  <si>
    <t>3515024504940002</t>
  </si>
  <si>
    <t>1</t>
  </si>
  <si>
    <t>HALIMATUS SA'DIYAH</t>
  </si>
  <si>
    <t>Contoh : 1, 2, 3</t>
  </si>
  <si>
    <t>Format : 01/12/2024</t>
  </si>
  <si>
    <t>Contoh : L, P</t>
  </si>
  <si>
    <t>Contoh : L =1, P = 2</t>
  </si>
  <si>
    <t>Contoh : '3515023011230001</t>
  </si>
  <si>
    <t>Harap ditulis nama lengkap dan menggunakan huruf KAPITAL (Contoh : M. ARSHAKA DANENDRA)</t>
  </si>
  <si>
    <t>Contoh : 3,5 (tdk perlu ditambah satuan "kg", cukup angka saja)</t>
  </si>
  <si>
    <t>Contoh : 50 (tdk perlu ditambah satuan "cm), cukup angka saja)</t>
  </si>
  <si>
    <t>Jika punya isi angka 1, jika tidak punya isi angka 0</t>
  </si>
  <si>
    <t>Contoh : Ya, Tidak</t>
  </si>
  <si>
    <t>Contoh : Harap ditulis nama lengkap dan menggunakan huruf KAPITAL (Contoh : SRI WIDYANINGSIH)</t>
  </si>
  <si>
    <t>Contoh : '3515087602900001</t>
  </si>
  <si>
    <t>Contoh : Posy. Melati 1 Desa GAMPANG</t>
  </si>
  <si>
    <t>Contoh : Berdiri /Terlentang</t>
  </si>
  <si>
    <t>Contoh : Ya/Tidak (diisi khusus bayi usia 0-6 bulan saja)</t>
  </si>
  <si>
    <t>06/04/2020</t>
  </si>
  <si>
    <t>3515020604200001</t>
  </si>
  <si>
    <t>FANDY NUR SYABAN</t>
  </si>
  <si>
    <t>ELLY KOMARIYAH</t>
  </si>
  <si>
    <t>3515024101950011</t>
  </si>
  <si>
    <t>Posy. Clumprit Desa SIMOGIRANG</t>
  </si>
  <si>
    <t>berdiri</t>
  </si>
  <si>
    <t>tidak</t>
  </si>
  <si>
    <t/>
  </si>
  <si>
    <t>12/04/2020</t>
  </si>
  <si>
    <t>3515021204200003</t>
  </si>
  <si>
    <t>M.DAFFA IKHSAN</t>
  </si>
  <si>
    <t>FEBRI WULANDARI</t>
  </si>
  <si>
    <t>3516085602930002</t>
  </si>
  <si>
    <t>14/04/2020</t>
  </si>
  <si>
    <t>3515021404200001</t>
  </si>
  <si>
    <t>RAHANDIKA</t>
  </si>
  <si>
    <t>SISKA ANGGRAENI</t>
  </si>
  <si>
    <t>3515016205910002</t>
  </si>
  <si>
    <t>25/05/2020</t>
  </si>
  <si>
    <t>3515026505200002</t>
  </si>
  <si>
    <t>NAHDHIFA AL MAYRA</t>
  </si>
  <si>
    <t>NUNUK DWI.A</t>
  </si>
  <si>
    <t>3515025504950002</t>
  </si>
  <si>
    <t>27/06/2020</t>
  </si>
  <si>
    <t>FIONELLA KHAIRA</t>
  </si>
  <si>
    <t>FLOSSY.P.R</t>
  </si>
  <si>
    <t>3515026703970002</t>
  </si>
  <si>
    <t>22/07/2020</t>
  </si>
  <si>
    <t>3515026207200003</t>
  </si>
  <si>
    <t>MALIKA MUNTIARA HASNA</t>
  </si>
  <si>
    <t>3515025912950003</t>
  </si>
  <si>
    <t>11/09/2020</t>
  </si>
  <si>
    <t>3515026811960002</t>
  </si>
  <si>
    <t>ARSHAKA DEVA ANGGA</t>
  </si>
  <si>
    <t>ERLIN NOVITA</t>
  </si>
  <si>
    <t>16/11/2020</t>
  </si>
  <si>
    <t>3515025611200003</t>
  </si>
  <si>
    <t>KASYIFAH HUMAIROH</t>
  </si>
  <si>
    <t>DEBY SINTYA DEWI</t>
  </si>
  <si>
    <t>3515024205940001</t>
  </si>
  <si>
    <t>13/12/2020</t>
  </si>
  <si>
    <t>3515025312200001</t>
  </si>
  <si>
    <t>DESINTA NAURA CEISYA</t>
  </si>
  <si>
    <t>YUNI PUJI LESTARI</t>
  </si>
  <si>
    <t>3515024606970004</t>
  </si>
  <si>
    <t>09/01/2021</t>
  </si>
  <si>
    <t>3515020901210001</t>
  </si>
  <si>
    <t>M.MARCEL AL QORNI</t>
  </si>
  <si>
    <t>SRI ASTUTIK</t>
  </si>
  <si>
    <t>3515025401920004</t>
  </si>
  <si>
    <t>25/04/2021</t>
  </si>
  <si>
    <t>3515022504210003</t>
  </si>
  <si>
    <t>M.WAHYU RAMADHAN</t>
  </si>
  <si>
    <t>RATIH TRI LESTARI</t>
  </si>
  <si>
    <t>3515026810930003</t>
  </si>
  <si>
    <t>21/05/2021</t>
  </si>
  <si>
    <t>3515022105210001</t>
  </si>
  <si>
    <t>FAUZAN ATHAR RAYHAN</t>
  </si>
  <si>
    <t>NANING SUHARLINA</t>
  </si>
  <si>
    <t>3515027112850003</t>
  </si>
  <si>
    <t>tidal</t>
  </si>
  <si>
    <t>11/10/2021</t>
  </si>
  <si>
    <t>3515021110210002</t>
  </si>
  <si>
    <t>ABRYAN CANDRA VISAKA</t>
  </si>
  <si>
    <t>RINA RONA SARI</t>
  </si>
  <si>
    <t>6472056007820001</t>
  </si>
  <si>
    <t>21/10/2021</t>
  </si>
  <si>
    <t>3515022110210003</t>
  </si>
  <si>
    <t>ARSYAKA VIRENDRA</t>
  </si>
  <si>
    <t>RETNO DWI SUSIANA</t>
  </si>
  <si>
    <t>3515114208910004</t>
  </si>
  <si>
    <t>02/12/2021</t>
  </si>
  <si>
    <t>3515110212210001</t>
  </si>
  <si>
    <t>M.IRSYAD AF GHORIZ</t>
  </si>
  <si>
    <t>RIMA</t>
  </si>
  <si>
    <t>3515025903000006</t>
  </si>
  <si>
    <t>4</t>
  </si>
  <si>
    <t>20/12/2021</t>
  </si>
  <si>
    <t>3515022012210001</t>
  </si>
  <si>
    <t>DEVANO DIO SAPUTRA</t>
  </si>
  <si>
    <t>SUSIANA</t>
  </si>
  <si>
    <t>3516164808810001</t>
  </si>
  <si>
    <t>04/04/2022</t>
  </si>
  <si>
    <t>3515024404220001</t>
  </si>
  <si>
    <t>RAVANIA SYAFIA RAMADHANI</t>
  </si>
  <si>
    <t>AGUSTIN RAHAYU</t>
  </si>
  <si>
    <t>3515026907870001</t>
  </si>
  <si>
    <t>16/05/2022</t>
  </si>
  <si>
    <t>3515021605220001</t>
  </si>
  <si>
    <t>IVORY AFTA BAGHAWANTA</t>
  </si>
  <si>
    <t>DWI NOVITA SARI</t>
  </si>
  <si>
    <t>3525085911900001</t>
  </si>
  <si>
    <t>12/07/2022</t>
  </si>
  <si>
    <t>3515021207220003</t>
  </si>
  <si>
    <t>ABIMANYU</t>
  </si>
  <si>
    <t>KURNIAWATI</t>
  </si>
  <si>
    <t>6404054510990003</t>
  </si>
  <si>
    <t>15/07/2022</t>
  </si>
  <si>
    <t>3515025507220002</t>
  </si>
  <si>
    <t>KHAIFIYAH HAFSHAH.A</t>
  </si>
  <si>
    <t>17/09/2022</t>
  </si>
  <si>
    <t>3515021709220001</t>
  </si>
  <si>
    <t>AHMAD GIBRAN SEPTIAN.N</t>
  </si>
  <si>
    <t>SUPARIYATI</t>
  </si>
  <si>
    <t>3515026805800006</t>
  </si>
  <si>
    <t>03/10/2022</t>
  </si>
  <si>
    <t>3515020310220005</t>
  </si>
  <si>
    <t>MOCH.KEVIN MAULANA.H</t>
  </si>
  <si>
    <t>RANI DWI LESTARI</t>
  </si>
  <si>
    <t>3515025103980001</t>
  </si>
  <si>
    <t>13/03/2023</t>
  </si>
  <si>
    <t>3515025303230002</t>
  </si>
  <si>
    <t>AISHA SHANUM CIKA BASAE</t>
  </si>
  <si>
    <t>DWI ENDAH ARYATI</t>
  </si>
  <si>
    <t>3515027105860001</t>
  </si>
  <si>
    <t>25/03/2023</t>
  </si>
  <si>
    <t>3515022503230002</t>
  </si>
  <si>
    <t>ARROYYAN DYLAN.A.R</t>
  </si>
  <si>
    <t>12/04/2023</t>
  </si>
  <si>
    <t>3515021204230002</t>
  </si>
  <si>
    <t>M.ALVARO RAMADHAN</t>
  </si>
  <si>
    <t>JAUHAROTUNISA</t>
  </si>
  <si>
    <t>3515024403980003</t>
  </si>
  <si>
    <t>terlentang</t>
  </si>
  <si>
    <t>14/04/2023</t>
  </si>
  <si>
    <t>3515025404230003</t>
  </si>
  <si>
    <t>ASTA ABRINA PUTRI.Y</t>
  </si>
  <si>
    <t>ERNA DWI.F</t>
  </si>
  <si>
    <t>3515025202890001</t>
  </si>
  <si>
    <t>05/06/2023</t>
  </si>
  <si>
    <t>3515020506230002</t>
  </si>
  <si>
    <t>AKHMAR NIZAMA SUBAGIO</t>
  </si>
  <si>
    <t>AGUSTIN DWI RAHAYU</t>
  </si>
  <si>
    <t>3515025508850001</t>
  </si>
  <si>
    <t>08/06/2023</t>
  </si>
  <si>
    <t>M.IZZAM ALFARIZKY</t>
  </si>
  <si>
    <t>LINA OKTAVIA</t>
  </si>
  <si>
    <t>3515025810970001</t>
  </si>
  <si>
    <t>12/07/2023</t>
  </si>
  <si>
    <t>3515021207230001</t>
  </si>
  <si>
    <t>TRISTAN ELVARO YULIANTO</t>
  </si>
  <si>
    <t>EKA ARI NINGRUM</t>
  </si>
  <si>
    <t>3515024201910002</t>
  </si>
  <si>
    <t>21/09/2023</t>
  </si>
  <si>
    <t>3515022109230002</t>
  </si>
  <si>
    <t>KENZIE ALVARO SYAILENDRA</t>
  </si>
  <si>
    <t>INDRI WIDIANTI</t>
  </si>
  <si>
    <t>3515024206900002</t>
  </si>
  <si>
    <t>03/11/2023</t>
  </si>
  <si>
    <t>3515020311230001</t>
  </si>
  <si>
    <t>ZAVION QEYTWO NOVABION</t>
  </si>
  <si>
    <t>RULI YESICA.P.P</t>
  </si>
  <si>
    <t>3516045508960002</t>
  </si>
  <si>
    <t>16/12/2023</t>
  </si>
  <si>
    <t>3515025612230001</t>
  </si>
  <si>
    <t>SITI NURAINI</t>
  </si>
  <si>
    <t>KHUSNUL JANNATIN</t>
  </si>
  <si>
    <t>3515027112980004</t>
  </si>
  <si>
    <t>3515025612230002</t>
  </si>
  <si>
    <t>TANIA ELVIRA PUTRI</t>
  </si>
  <si>
    <t>RIRIK MARIASIH</t>
  </si>
  <si>
    <t>3515024703840002</t>
  </si>
  <si>
    <t>08/01/2024</t>
  </si>
  <si>
    <t>3515020801240001</t>
  </si>
  <si>
    <t>ELVAN FARANDRA ARYANA</t>
  </si>
  <si>
    <t>3516026903930002</t>
  </si>
  <si>
    <t>08/05/2024</t>
  </si>
  <si>
    <t>3515020805240001</t>
  </si>
  <si>
    <t>M.ZAYN AL FATIH</t>
  </si>
  <si>
    <t>PUTRI AYU MARETA</t>
  </si>
  <si>
    <t>3515026403900002</t>
  </si>
  <si>
    <t>28/05/2024</t>
  </si>
  <si>
    <t>ZHIAN ATTARAZKA RAMEEZA</t>
  </si>
  <si>
    <t>WINANGSIH</t>
  </si>
  <si>
    <t>3515026704970003</t>
  </si>
  <si>
    <t>04/09/2024</t>
  </si>
  <si>
    <t>M.SALAHUDIN KHALIF ZULMI</t>
  </si>
  <si>
    <t>VIRGINIA EKA VIVI.o</t>
  </si>
  <si>
    <t>3515024309970001</t>
  </si>
  <si>
    <t>20/01/2020</t>
  </si>
  <si>
    <t>3578092001200002</t>
  </si>
  <si>
    <t>IZZAN YUSUF CIPTADI</t>
  </si>
  <si>
    <t xml:space="preserve">ADITYA CIPTADI - ARINDIA EKASARI PUTRI </t>
  </si>
  <si>
    <t>3509116109930002</t>
  </si>
  <si>
    <t>Posy. GIP Desa SIMOGIRANG</t>
  </si>
  <si>
    <t>16/04/2020</t>
  </si>
  <si>
    <t>3529065604200003</t>
  </si>
  <si>
    <t>KHADIJAH ALMADANIYAH YAMIN</t>
  </si>
  <si>
    <t>ASHABUL YAMIN - SOESWATI RACHMANIYAHS</t>
  </si>
  <si>
    <t>3516064304780002</t>
  </si>
  <si>
    <t>08/06/2020</t>
  </si>
  <si>
    <t>3578200806200002</t>
  </si>
  <si>
    <t>RAYYAN JABBAR A</t>
  </si>
  <si>
    <t>RANGGA. A - SILVIE YUNI .F</t>
  </si>
  <si>
    <t>3515076806880004</t>
  </si>
  <si>
    <t>22/11/2020</t>
  </si>
  <si>
    <t>3578046211200002</t>
  </si>
  <si>
    <t>KATNISS NARESA V</t>
  </si>
  <si>
    <t>BAYU WICAKSONO - ELOK RACHMANIA</t>
  </si>
  <si>
    <t>3515134709880001</t>
  </si>
  <si>
    <t>07/12/2020</t>
  </si>
  <si>
    <t>3578204606820002</t>
  </si>
  <si>
    <t>CLARISSA</t>
  </si>
  <si>
    <t>DEBBY - AMILATUS</t>
  </si>
  <si>
    <t>29/12/2020</t>
  </si>
  <si>
    <t>3522102912200002</t>
  </si>
  <si>
    <t>BARIQ HAMZAH HABIBULLAH AL FATIH</t>
  </si>
  <si>
    <t>NANDA BAGUS - ERDIAN TERRI PRANATA</t>
  </si>
  <si>
    <t>3525106412920001</t>
  </si>
  <si>
    <t>08/01/2021</t>
  </si>
  <si>
    <t>3515120801210001</t>
  </si>
  <si>
    <t>GEAN RAFAEL ZANNY</t>
  </si>
  <si>
    <t>ADI - NURLAILI DWI</t>
  </si>
  <si>
    <t>3515124810970002</t>
  </si>
  <si>
    <t>12/01/2021</t>
  </si>
  <si>
    <t>3515025201210001</t>
  </si>
  <si>
    <t>KLARISA SHANUM ALMAHYRA</t>
  </si>
  <si>
    <t>KRISNA PRIBADI - BELLA FEVI ARISTIA</t>
  </si>
  <si>
    <t>3319024301950005</t>
  </si>
  <si>
    <t>08/05/2021</t>
  </si>
  <si>
    <t>3522134805210002</t>
  </si>
  <si>
    <t>HABIBA ZAHRANY ALIFAH .R</t>
  </si>
  <si>
    <t>MUNAWIR</t>
  </si>
  <si>
    <t>3523024107880005</t>
  </si>
  <si>
    <t>19/05/2021</t>
  </si>
  <si>
    <t>6310075905210001</t>
  </si>
  <si>
    <t>KYARA M</t>
  </si>
  <si>
    <t>ANDIK W - PARAMYTA DEVI PURWANDANI</t>
  </si>
  <si>
    <t>351501520890004</t>
  </si>
  <si>
    <t>02/06/2021</t>
  </si>
  <si>
    <t>3515020206210001</t>
  </si>
  <si>
    <t>DOMINIC NATHANIEL DOLWOY</t>
  </si>
  <si>
    <t>THOMAS DOLWOY - DIAN HERA NATALINA</t>
  </si>
  <si>
    <t>3515126412890001</t>
  </si>
  <si>
    <t>15/07/2021</t>
  </si>
  <si>
    <t>3507325507210002</t>
  </si>
  <si>
    <t>AZZAHRA PUTRI AULIA</t>
  </si>
  <si>
    <t>MOCH. LUKMAN ARIF - INDRIANI OKTA RATNA WAHYU</t>
  </si>
  <si>
    <t>3575024810870004</t>
  </si>
  <si>
    <t>04/08/2021</t>
  </si>
  <si>
    <t>3573050408210001</t>
  </si>
  <si>
    <t>FARRAZ MUHAMMAD FAIQ ZAHIRRUDIN</t>
  </si>
  <si>
    <t>ARIF RACHMAN HAKIM - ANDAYANI</t>
  </si>
  <si>
    <t>3573055805840016</t>
  </si>
  <si>
    <t>12/08/2021</t>
  </si>
  <si>
    <t>3578255208210002</t>
  </si>
  <si>
    <t>ANNISA JASMINE FATIMAH AZZAHRA</t>
  </si>
  <si>
    <t>SUPRIYANTO/DYAH WIDIATI .A</t>
  </si>
  <si>
    <t>3578255611840001</t>
  </si>
  <si>
    <t>07/09/2021</t>
  </si>
  <si>
    <t>3515024709210002</t>
  </si>
  <si>
    <t xml:space="preserve">CLARRISSA AURELIA ZHAFIRA </t>
  </si>
  <si>
    <t>HERU SETIAWAN - ANIK ZULIATIN</t>
  </si>
  <si>
    <t>3518055207810005</t>
  </si>
  <si>
    <t>13/10/2021</t>
  </si>
  <si>
    <t>3524015310210001</t>
  </si>
  <si>
    <t>KHAUREEN DZAKIYAH DANEEN SULAEMAN</t>
  </si>
  <si>
    <t>SULAEMAN - SITI UTAMI</t>
  </si>
  <si>
    <t>352401610190001</t>
  </si>
  <si>
    <t>10/12/2021</t>
  </si>
  <si>
    <t>3515021012210001</t>
  </si>
  <si>
    <t>M. RAFKA ARSHA FATHAN</t>
  </si>
  <si>
    <t>MASKUN - INDAWATI</t>
  </si>
  <si>
    <t>3515025804810002</t>
  </si>
  <si>
    <t>26/01/2022</t>
  </si>
  <si>
    <t>3515022601220002</t>
  </si>
  <si>
    <t>M. NATHAN JAVIER</t>
  </si>
  <si>
    <t>WEMPY YULIANTO - LOVITA AYUNINGRUM</t>
  </si>
  <si>
    <t>3515024712960001</t>
  </si>
  <si>
    <t>05/05/2022</t>
  </si>
  <si>
    <t>3515026505220001</t>
  </si>
  <si>
    <t>JENNAIRA ASSYFA</t>
  </si>
  <si>
    <t>M. ZAKI - DEVINA RAFI'AH</t>
  </si>
  <si>
    <t>3515025112950001</t>
  </si>
  <si>
    <t>28/06/2022</t>
  </si>
  <si>
    <t>3578101801220001</t>
  </si>
  <si>
    <t>ZESHAN SYAIR MUZAKIR</t>
  </si>
  <si>
    <t>NADIYA- IRWAN</t>
  </si>
  <si>
    <t>3578087012960001</t>
  </si>
  <si>
    <t>05/07/2022</t>
  </si>
  <si>
    <t>3515114507220001</t>
  </si>
  <si>
    <t>KANAYA ZUNAIRA RISKY</t>
  </si>
  <si>
    <t>NANDA JULIA RIZKI</t>
  </si>
  <si>
    <t>3517090208980005</t>
  </si>
  <si>
    <t>28/07/2022</t>
  </si>
  <si>
    <t>6205057107030005</t>
  </si>
  <si>
    <t>ALFATHAN DILAN AL FANZKY</t>
  </si>
  <si>
    <t>ZULIATI NINGSIH</t>
  </si>
  <si>
    <t>18/08/2022</t>
  </si>
  <si>
    <t>3517056404860002</t>
  </si>
  <si>
    <t>ALESHA CURRIN AIN</t>
  </si>
  <si>
    <t>DIMAS SATRIA DINATA - EVA SOFIANA</t>
  </si>
  <si>
    <t>3526044212840002</t>
  </si>
  <si>
    <t>13/09/2022</t>
  </si>
  <si>
    <t>3578151309220003</t>
  </si>
  <si>
    <t>AZLAN KABIR MAULANA</t>
  </si>
  <si>
    <t>IMAM MAULANA S - LAILATUL .A</t>
  </si>
  <si>
    <t>35780466O6920002</t>
  </si>
  <si>
    <t>01/10/2022</t>
  </si>
  <si>
    <t>3515010110220003</t>
  </si>
  <si>
    <t>JOHAN SEBASTIAN LUKAS PRATAMA</t>
  </si>
  <si>
    <t>VALENTINUS EKO SUCIANTO - BENEDIKTA DWI KARTIKA W</t>
  </si>
  <si>
    <t>3578064408930009</t>
  </si>
  <si>
    <t>15/10/2022</t>
  </si>
  <si>
    <t>FAYYAS AUF YAHYA CIPTADI</t>
  </si>
  <si>
    <t>10/11/2022</t>
  </si>
  <si>
    <t>3524035601000003</t>
  </si>
  <si>
    <t>NAURAYA AYUN .M</t>
  </si>
  <si>
    <t>YANI IQNAIL FARROH</t>
  </si>
  <si>
    <t>352403560100003</t>
  </si>
  <si>
    <t>20/11/2022</t>
  </si>
  <si>
    <t>3515026011220001</t>
  </si>
  <si>
    <t>BERNADETTA AYUDYA HARSANTO</t>
  </si>
  <si>
    <t>DIDIEK DWI .M - MARIA FERLY SEPTIANI</t>
  </si>
  <si>
    <t>3515066909890002</t>
  </si>
  <si>
    <t>04/11/2022</t>
  </si>
  <si>
    <t>3517014411220001</t>
  </si>
  <si>
    <t>SHABIRA QURROTA. A</t>
  </si>
  <si>
    <t>RULI ENGGAR .P.A - EVA ASIL .A</t>
  </si>
  <si>
    <t>3516114806880005</t>
  </si>
  <si>
    <t>02/12/2022</t>
  </si>
  <si>
    <t>3516050212220003</t>
  </si>
  <si>
    <t>M. PRABU BINTANG GUMILAR</t>
  </si>
  <si>
    <t>BAMBANG W - TOURISTAMARTA</t>
  </si>
  <si>
    <t>3516054907880004</t>
  </si>
  <si>
    <t>26/12/2022</t>
  </si>
  <si>
    <t>3578165512960004</t>
  </si>
  <si>
    <t>CHAYRA QANSHANA ALKA</t>
  </si>
  <si>
    <t>MALIK ABDUL AZIZ - DIVA AYU PRAMESWARI</t>
  </si>
  <si>
    <t>14/01/2023</t>
  </si>
  <si>
    <t>3515025401230003</t>
  </si>
  <si>
    <t>NAMIRA SHAFA .A</t>
  </si>
  <si>
    <t>ACHMAD ZAINI - KHARINA LUTFI</t>
  </si>
  <si>
    <t>3515136106980007</t>
  </si>
  <si>
    <t>05/01/2023</t>
  </si>
  <si>
    <t>3515020501230002</t>
  </si>
  <si>
    <t>YUSUF FAHREZAPUTRA LEGOWO</t>
  </si>
  <si>
    <t>GATUT LEGOWO - PIPIT WIRANTI</t>
  </si>
  <si>
    <t>3578066605840006</t>
  </si>
  <si>
    <t>27/02/2023</t>
  </si>
  <si>
    <t>3578202702230002</t>
  </si>
  <si>
    <t>AZAM GHAFFAR ARDIANSYAH</t>
  </si>
  <si>
    <t>24/03/2023</t>
  </si>
  <si>
    <t>3515026803890005</t>
  </si>
  <si>
    <t xml:space="preserve">IRSYAD YUZARSIF RIDWAN </t>
  </si>
  <si>
    <t>DENY - HARYANTI</t>
  </si>
  <si>
    <t>29/03/2023</t>
  </si>
  <si>
    <t>3519092903230001</t>
  </si>
  <si>
    <t>BIMA FATIHATUL RIZQI</t>
  </si>
  <si>
    <t>HERLINA DWI WAHYUNI - ADHI DWI PUTRA SATRIYA</t>
  </si>
  <si>
    <t>3519094501940002</t>
  </si>
  <si>
    <t>29/04/2023</t>
  </si>
  <si>
    <t>3211152904230002</t>
  </si>
  <si>
    <t>MUHAMMAD ARSHAKA PUTRA PRASETYA</t>
  </si>
  <si>
    <t>BAGUS PRASETYA - RISMA DEWI ISTIQOMAH</t>
  </si>
  <si>
    <t>3515144712960001</t>
  </si>
  <si>
    <t>30/05/2023</t>
  </si>
  <si>
    <t>3515086402000001</t>
  </si>
  <si>
    <t>RAMZAN ALYUSHA PRAUDY</t>
  </si>
  <si>
    <t xml:space="preserve">ERVANDY - AULIA HAMIDAH </t>
  </si>
  <si>
    <t>01/07/2023</t>
  </si>
  <si>
    <t>3515020107230001</t>
  </si>
  <si>
    <t>MUHAMMAD LAZUARDI AZZAM GANUBI</t>
  </si>
  <si>
    <t>ALI RAKA JANI GANUBI - MARIA LAKSMI PALUPI</t>
  </si>
  <si>
    <t>SEAN ELFANO</t>
  </si>
  <si>
    <t>EFAN - SEYLA</t>
  </si>
  <si>
    <t>23/09/2023</t>
  </si>
  <si>
    <t>3515022309230002</t>
  </si>
  <si>
    <t>JAYADITYA ASSAJID ARIFIN</t>
  </si>
  <si>
    <t>ARIFIN WIDIANTORO - FITRI SHINTA DEWI</t>
  </si>
  <si>
    <t>3516115407820001</t>
  </si>
  <si>
    <t>04/12/2023</t>
  </si>
  <si>
    <t>3515020412230001</t>
  </si>
  <si>
    <t>DANISH ALFARIZQI</t>
  </si>
  <si>
    <t>3515026309230001</t>
  </si>
  <si>
    <t>RUMAISHA RANA SHANINDYA</t>
  </si>
  <si>
    <t>KEVIN ADITYA RIZKY P - RIZA SAFIRA</t>
  </si>
  <si>
    <t>3504154911990003</t>
  </si>
  <si>
    <t>29/01/2024</t>
  </si>
  <si>
    <t>3515126901240001</t>
  </si>
  <si>
    <t>ZEA ALESTHA ALMAHYRA</t>
  </si>
  <si>
    <t>AGUS TRI WANTAS - LIA SEFRIANI</t>
  </si>
  <si>
    <t>12/03/2024</t>
  </si>
  <si>
    <t>3515025203240001</t>
  </si>
  <si>
    <t>DANIRA ANYA WINATA</t>
  </si>
  <si>
    <t>DARWIN KAMAJAYA - EKA SIWI AYU MITAYANI</t>
  </si>
  <si>
    <t>3515115810930001</t>
  </si>
  <si>
    <t>14/03/2024</t>
  </si>
  <si>
    <t>3515021403240001</t>
  </si>
  <si>
    <t>YANUAR  RIZKY</t>
  </si>
  <si>
    <t>EKO RUSJAYANTO - RISTIA ANDRIANI</t>
  </si>
  <si>
    <t>3316096503890003</t>
  </si>
  <si>
    <t>11/04/2024</t>
  </si>
  <si>
    <t>3515021104240001</t>
  </si>
  <si>
    <t>MUHAMMAD ANDRA SYAWAN ALFAREZQI</t>
  </si>
  <si>
    <t>IIN INDRAWATI - FARID ANDRIANTO</t>
  </si>
  <si>
    <t>3515116107950002</t>
  </si>
  <si>
    <t>08/08/2024</t>
  </si>
  <si>
    <t>3515180808240003</t>
  </si>
  <si>
    <t>MUHAMMAD ZIDAN ALFATIH</t>
  </si>
  <si>
    <t>ZAUFAR VIQHI ASHARI - ASMAUL CHUSNAH</t>
  </si>
  <si>
    <t>3515185007980001</t>
  </si>
  <si>
    <t>10/10/2024</t>
  </si>
  <si>
    <t>NAJAH NUZA'MI</t>
  </si>
  <si>
    <t>ZAKI - DEVINA</t>
  </si>
  <si>
    <t>3515035112950001</t>
  </si>
  <si>
    <t>09/11/2024</t>
  </si>
  <si>
    <t>THEODORE NATHANIEL DOLWOY</t>
  </si>
  <si>
    <t>06/11/2024</t>
  </si>
  <si>
    <t>BIRENDRA</t>
  </si>
  <si>
    <t>DODI - PUTRI RAHMADANI</t>
  </si>
  <si>
    <t>3515125001990002</t>
  </si>
  <si>
    <t>28/11/2024</t>
  </si>
  <si>
    <t>3525062810240001</t>
  </si>
  <si>
    <t>M. RAYA PRATAMA</t>
  </si>
  <si>
    <t>M. ABDULOH - TANTI PAMUNGKAS</t>
  </si>
  <si>
    <t>3571026607970002</t>
  </si>
  <si>
    <t>15/11/2024</t>
  </si>
  <si>
    <t>BARRA PRADIPTA BUMATARA</t>
  </si>
  <si>
    <t>SURYA PUTRA - VALIANA</t>
  </si>
  <si>
    <t>03/12/2024</t>
  </si>
  <si>
    <t>KHAZANIA RAHMA A</t>
  </si>
  <si>
    <t>MINGGAR - IKHANUDIN</t>
  </si>
  <si>
    <t>3314116511890001</t>
  </si>
  <si>
    <t>5</t>
  </si>
  <si>
    <t>06/12/2024</t>
  </si>
  <si>
    <t>NAUMI AJISYA MECCA</t>
  </si>
  <si>
    <t>AJIS - ANIK</t>
  </si>
  <si>
    <t>3515135210790002</t>
  </si>
  <si>
    <t>25-1-2024</t>
  </si>
  <si>
    <t>3515026501240002</t>
  </si>
  <si>
    <t>DINDA HUMAIRA ALISIA</t>
  </si>
  <si>
    <t>NURUL FARIANTI</t>
  </si>
  <si>
    <t>3515027012870002</t>
  </si>
  <si>
    <t>Posy. Girang Desa SIMOGIRANG</t>
  </si>
  <si>
    <t>3515026501240001</t>
  </si>
  <si>
    <t>AQILAH AISYAH PERMATA</t>
  </si>
  <si>
    <t>NOVI ANDRIANI</t>
  </si>
  <si>
    <t>3515126310990001</t>
  </si>
  <si>
    <t>11-8-2024</t>
  </si>
  <si>
    <t>CHUSNUL ZAKIA</t>
  </si>
  <si>
    <t>PRIHATIN</t>
  </si>
  <si>
    <t>3515026605730003</t>
  </si>
  <si>
    <t>12-3-2023</t>
  </si>
  <si>
    <t>3515021203230002</t>
  </si>
  <si>
    <t>HAFIZ NUR ARDIANTO</t>
  </si>
  <si>
    <t>DEBRA JULIANA</t>
  </si>
  <si>
    <t>3516145407990003</t>
  </si>
  <si>
    <t>16-11-2023</t>
  </si>
  <si>
    <t>3515021611230001</t>
  </si>
  <si>
    <t>AHMAD AL GOZALI</t>
  </si>
  <si>
    <t>YULININGSIH</t>
  </si>
  <si>
    <t>3515024606810004</t>
  </si>
  <si>
    <t>07-04-2022</t>
  </si>
  <si>
    <t>3515020704220001</t>
  </si>
  <si>
    <t>RAMADHAN AZYAM AL AZMIY</t>
  </si>
  <si>
    <t>PITRI KIKI RIZKIA</t>
  </si>
  <si>
    <t>03-06-2022</t>
  </si>
  <si>
    <t>3515025569960002</t>
  </si>
  <si>
    <t>KEYRA AZZARAH ANASTASYA</t>
  </si>
  <si>
    <t>YUNITA KUMALASARI</t>
  </si>
  <si>
    <t>3515025509960002</t>
  </si>
  <si>
    <t>29-09-2022</t>
  </si>
  <si>
    <t>3517142909220001</t>
  </si>
  <si>
    <t>ARYA DZAKI PRADANA</t>
  </si>
  <si>
    <t>AULIA ANGELIN</t>
  </si>
  <si>
    <t>3515025308010001</t>
  </si>
  <si>
    <t>11-09-2021</t>
  </si>
  <si>
    <t>3507201109210001</t>
  </si>
  <si>
    <t>M.ALDI SAPUTRA</t>
  </si>
  <si>
    <t>LIA ANDANI</t>
  </si>
  <si>
    <t>3507025209940003</t>
  </si>
  <si>
    <t>28-09-2021</t>
  </si>
  <si>
    <t>3515022809210001</t>
  </si>
  <si>
    <t>DIVAN RIZKI ALVIAN</t>
  </si>
  <si>
    <t>KRISTIN</t>
  </si>
  <si>
    <t>14-10-2021</t>
  </si>
  <si>
    <t>3515021410210001</t>
  </si>
  <si>
    <t>M.OKTOVIANO PRATAMA</t>
  </si>
  <si>
    <t>29-11-2021</t>
  </si>
  <si>
    <t>3515026911210003</t>
  </si>
  <si>
    <t xml:space="preserve">NOVELIA ZAHRANY </t>
  </si>
  <si>
    <t>MILADUN NADIRO</t>
  </si>
  <si>
    <t>3515085806910002</t>
  </si>
  <si>
    <t>25-01-2022</t>
  </si>
  <si>
    <t>3515022501220001</t>
  </si>
  <si>
    <t>ARKANA ABQARI PUTRA PRATAMA</t>
  </si>
  <si>
    <t>DIAN JULIANIK</t>
  </si>
  <si>
    <t>3515035607960001</t>
  </si>
  <si>
    <t>21-03-2020</t>
  </si>
  <si>
    <t>3515022103200001</t>
  </si>
  <si>
    <t>GIBRAN DAFFA</t>
  </si>
  <si>
    <t>SUGIARTI</t>
  </si>
  <si>
    <t>3515025507000003</t>
  </si>
  <si>
    <t>23-03-2020</t>
  </si>
  <si>
    <t>3515116303200003</t>
  </si>
  <si>
    <t>MYESHA ADEEVA AFSHEEN</t>
  </si>
  <si>
    <t>PUJI RAHAYU</t>
  </si>
  <si>
    <t>3515114301920003</t>
  </si>
  <si>
    <t>14-05-2020</t>
  </si>
  <si>
    <t>3515025405200001</t>
  </si>
  <si>
    <t>ALIVIA MEISYAH</t>
  </si>
  <si>
    <t>SHERLYNE CLARADITA</t>
  </si>
  <si>
    <t>3515024303950004</t>
  </si>
  <si>
    <t>15-05-2020</t>
  </si>
  <si>
    <t>3515025505200002</t>
  </si>
  <si>
    <t>CHELLYA AUDRI</t>
  </si>
  <si>
    <t>ETIK INDARTININGSIH</t>
  </si>
  <si>
    <t>3515096505830002</t>
  </si>
  <si>
    <t>26-10-2020</t>
  </si>
  <si>
    <t>3522126610200001</t>
  </si>
  <si>
    <t>ADZKIA MOZZA ZETA</t>
  </si>
  <si>
    <t>FITRIA</t>
  </si>
  <si>
    <t>3522274204940001</t>
  </si>
  <si>
    <t>16/01/2020</t>
  </si>
  <si>
    <t>AHMAD FANO ALFARIZKI</t>
  </si>
  <si>
    <t>UMAM</t>
  </si>
  <si>
    <t>Posy. Jenjen Desa SIMOGIRANG</t>
  </si>
  <si>
    <t>11/02/2020</t>
  </si>
  <si>
    <t>351502100220000'3</t>
  </si>
  <si>
    <t>MUHAMMAD AUFAR SHIDIQ</t>
  </si>
  <si>
    <t>SOFIATUN NISAK</t>
  </si>
  <si>
    <t>3515026711930002</t>
  </si>
  <si>
    <t>POSY. SEKAR 4 DESA SIMOGIRANG</t>
  </si>
  <si>
    <t>08/04/2020</t>
  </si>
  <si>
    <t>351502480420000'4</t>
  </si>
  <si>
    <t>SITI AISYAH AZZAHRA</t>
  </si>
  <si>
    <t>YENI SULISTIONO</t>
  </si>
  <si>
    <t>3515025210820002</t>
  </si>
  <si>
    <t>351502160420000'4</t>
  </si>
  <si>
    <t>ATTA FARIS RADIA FADHIL</t>
  </si>
  <si>
    <t>NAFIA</t>
  </si>
  <si>
    <t>3515025807930001</t>
  </si>
  <si>
    <t>26/04/2020</t>
  </si>
  <si>
    <t>351502520797000'1</t>
  </si>
  <si>
    <t>DEVANO ARKA RAMADHAN</t>
  </si>
  <si>
    <t>SITI AMALIA</t>
  </si>
  <si>
    <t>3515025207970003</t>
  </si>
  <si>
    <t>05/05/2020</t>
  </si>
  <si>
    <t>351502450520000'1</t>
  </si>
  <si>
    <t>VIONA GRAFIKA SUNANI</t>
  </si>
  <si>
    <t>DEWI FATIMATUZ</t>
  </si>
  <si>
    <t>3515137112910001</t>
  </si>
  <si>
    <t>10/06/2020</t>
  </si>
  <si>
    <t>351502100620000'1</t>
  </si>
  <si>
    <t>MUHAMMAD DHUHA ASY SYAUQI</t>
  </si>
  <si>
    <t>EKKY YULIARTI</t>
  </si>
  <si>
    <t>3515025507960001</t>
  </si>
  <si>
    <t>16/08/2020</t>
  </si>
  <si>
    <t>351502560820000'2</t>
  </si>
  <si>
    <t>AIRA NABILA TANISHA</t>
  </si>
  <si>
    <t>NUR LAILA ABIDIN</t>
  </si>
  <si>
    <t>3515025705950003</t>
  </si>
  <si>
    <t>24/08/2020</t>
  </si>
  <si>
    <t>357831640820000'1</t>
  </si>
  <si>
    <t>AISYAH ALMEERA</t>
  </si>
  <si>
    <t>YANIK RIKA</t>
  </si>
  <si>
    <t>3578066601880003</t>
  </si>
  <si>
    <t>08/09/2020</t>
  </si>
  <si>
    <t>351502481020000'2</t>
  </si>
  <si>
    <t>HASNAH KHAIRANI SYAFINA</t>
  </si>
  <si>
    <t>AINUN NISAK</t>
  </si>
  <si>
    <t>3515026909820001</t>
  </si>
  <si>
    <t>09/10/2020</t>
  </si>
  <si>
    <t>3515020911020000'2</t>
  </si>
  <si>
    <t>AHMAD FAUZAN ALFAREZI</t>
  </si>
  <si>
    <t>LUTFIATUL MUFARIDA</t>
  </si>
  <si>
    <t>3515026512950002</t>
  </si>
  <si>
    <t>12/12/2020</t>
  </si>
  <si>
    <t>351502521220000'2</t>
  </si>
  <si>
    <t>ARUMI NASHA RAZETA</t>
  </si>
  <si>
    <t>SITI FATIMAH</t>
  </si>
  <si>
    <t>3515115301880003</t>
  </si>
  <si>
    <t>13/07/2020</t>
  </si>
  <si>
    <t>LILIA PUTRI</t>
  </si>
  <si>
    <t>SERI LINDA</t>
  </si>
  <si>
    <t>BILLY ALVIN REVANO</t>
  </si>
  <si>
    <t>REVA NOVIANTO</t>
  </si>
  <si>
    <t>3515026301060003</t>
  </si>
  <si>
    <t>22/01/2021</t>
  </si>
  <si>
    <t>351502620121000'2</t>
  </si>
  <si>
    <t>NAFESHA ARIFANI ZULFA</t>
  </si>
  <si>
    <t>ANI YUNI WULANSARI</t>
  </si>
  <si>
    <t>3515026906950001</t>
  </si>
  <si>
    <t>13/02/2021</t>
  </si>
  <si>
    <t>351502500594000'1</t>
  </si>
  <si>
    <t>AHMAD AULIAN NAFII</t>
  </si>
  <si>
    <t>HESTI RAHAYU HANDAYANI</t>
  </si>
  <si>
    <t>3515025005940001</t>
  </si>
  <si>
    <t>23/02/2021</t>
  </si>
  <si>
    <t>351502630221000'2</t>
  </si>
  <si>
    <t>MUKHIBATUL KHOIRIYAH</t>
  </si>
  <si>
    <t>LAILATUL ROFI'AH</t>
  </si>
  <si>
    <t>3525155811850002</t>
  </si>
  <si>
    <t>16/02/2021</t>
  </si>
  <si>
    <t>351502560221000'1</t>
  </si>
  <si>
    <t>ALMAHYRA NADHIFA QOTRUNNADA</t>
  </si>
  <si>
    <t>LINDAH NUR SYILVIANI</t>
  </si>
  <si>
    <t>3515025304940003</t>
  </si>
  <si>
    <t>18/04/2021</t>
  </si>
  <si>
    <t>351502180421000'2</t>
  </si>
  <si>
    <t>RAFFASYA SETYA ARGATHA</t>
  </si>
  <si>
    <t>KUMAIROH</t>
  </si>
  <si>
    <t>3515024403970001</t>
  </si>
  <si>
    <t>21/07/2021</t>
  </si>
  <si>
    <t>351502210721000'2</t>
  </si>
  <si>
    <t>ARSYA AGATHA PUTRA</t>
  </si>
  <si>
    <t>INDAH SUYANTI</t>
  </si>
  <si>
    <t>3515024611830001</t>
  </si>
  <si>
    <t>18/08/2021</t>
  </si>
  <si>
    <t>351502460481000'3</t>
  </si>
  <si>
    <t>ABIZARD PUTRA DHARMAWAN</t>
  </si>
  <si>
    <t>TUTUS KATRINANINGTIAS</t>
  </si>
  <si>
    <t>3515024604810003</t>
  </si>
  <si>
    <t>15/08/2021</t>
  </si>
  <si>
    <t>351502550821000'2</t>
  </si>
  <si>
    <t>RANIA YUMNA ARCILLA PUTRI</t>
  </si>
  <si>
    <t>MIFTAKHUL JANNAH</t>
  </si>
  <si>
    <t>3515024404990002</t>
  </si>
  <si>
    <t>01/09/2021</t>
  </si>
  <si>
    <t>351502640202000'1</t>
  </si>
  <si>
    <t>MAIRA PUTRI REGGITA</t>
  </si>
  <si>
    <t>FEBRIAN DWI CAHYANI</t>
  </si>
  <si>
    <t>3515026402020001</t>
  </si>
  <si>
    <t>16/09/2021</t>
  </si>
  <si>
    <t>351502560921000'1</t>
  </si>
  <si>
    <t>AZZURA ZAYNA IZZATUNNISA</t>
  </si>
  <si>
    <t>CRISDIYANTI</t>
  </si>
  <si>
    <t>3525065202950002</t>
  </si>
  <si>
    <t>27/10/2021</t>
  </si>
  <si>
    <t>357803671021000'1</t>
  </si>
  <si>
    <t>ANINDIRA ALESYAH PUTRI</t>
  </si>
  <si>
    <t>LISALIS KURLIA</t>
  </si>
  <si>
    <t>3525156210870004</t>
  </si>
  <si>
    <t>05/11/2021</t>
  </si>
  <si>
    <t>351502051121000'1</t>
  </si>
  <si>
    <t>PRAMA YODHA DIDJAYA</t>
  </si>
  <si>
    <t>SRI INDAH KURNIA</t>
  </si>
  <si>
    <t>3504036705880005</t>
  </si>
  <si>
    <t>06/12/2021</t>
  </si>
  <si>
    <t>351502561221000'1</t>
  </si>
  <si>
    <t>ANINDYRA GRIZELLE PUTRI</t>
  </si>
  <si>
    <t>VINDY FEBRIYANTI</t>
  </si>
  <si>
    <t>3515026802020001</t>
  </si>
  <si>
    <t>04/05/2021</t>
  </si>
  <si>
    <t>351502440521000'1</t>
  </si>
  <si>
    <t>CUT ARUMI NASHA RAZITA</t>
  </si>
  <si>
    <t>PUTRI KARTIKA SARI</t>
  </si>
  <si>
    <t>3525155803920001</t>
  </si>
  <si>
    <t>11/05/2021</t>
  </si>
  <si>
    <t>351502110521000'1</t>
  </si>
  <si>
    <t>RAKA NARENDRA ALLAZUARD</t>
  </si>
  <si>
    <t>YULI KARTIKA</t>
  </si>
  <si>
    <t>3515027107900002</t>
  </si>
  <si>
    <t>12/05/2021</t>
  </si>
  <si>
    <t>351510660300000'3</t>
  </si>
  <si>
    <t>ZHAFRAN ALBARRA SETIAWAN</t>
  </si>
  <si>
    <t>SELVI BELLA UTAMI</t>
  </si>
  <si>
    <t>3515106603000003</t>
  </si>
  <si>
    <t>26/05/2021</t>
  </si>
  <si>
    <t>351502680587000'5</t>
  </si>
  <si>
    <t>MAULIDA SHOFIATUS SHOLIKHAH</t>
  </si>
  <si>
    <t>SITI NUR ANISA</t>
  </si>
  <si>
    <t>3515026805780005</t>
  </si>
  <si>
    <t>10/01/2022</t>
  </si>
  <si>
    <t>351502410683000'2</t>
  </si>
  <si>
    <t>CANTIKA AULIA PUTRI</t>
  </si>
  <si>
    <t>3515024106830002</t>
  </si>
  <si>
    <t>19/01/2022</t>
  </si>
  <si>
    <t>352208590122000'1</t>
  </si>
  <si>
    <t>RAYYA ALMAHIRA PUTRI</t>
  </si>
  <si>
    <t>NITA KURNIA</t>
  </si>
  <si>
    <t>3522084907860003</t>
  </si>
  <si>
    <t>23/03/2022</t>
  </si>
  <si>
    <t>351502230322000'3</t>
  </si>
  <si>
    <t>MUHAMMAD DEVANKA ALFARIZQI</t>
  </si>
  <si>
    <t>LAILATUN NIKMA</t>
  </si>
  <si>
    <t>3515026607930004</t>
  </si>
  <si>
    <t>23/05/2022</t>
  </si>
  <si>
    <t>351502630522000'2</t>
  </si>
  <si>
    <t>KHINAYA DHIYA KHOIRUNNISA ALMAIDAH</t>
  </si>
  <si>
    <t>GITA TRI OKTAVIANI</t>
  </si>
  <si>
    <t>3515025007920002</t>
  </si>
  <si>
    <t>03/06/2022</t>
  </si>
  <si>
    <t>351502030622000'2</t>
  </si>
  <si>
    <t>AHMAD ZIDAN ALFAHRI</t>
  </si>
  <si>
    <t>MARIA ULFA</t>
  </si>
  <si>
    <t>3515024906880002</t>
  </si>
  <si>
    <t>25/09/2022</t>
  </si>
  <si>
    <t>AHMAD ADYA SURYA</t>
  </si>
  <si>
    <t>30/11/2022</t>
  </si>
  <si>
    <t>352924520292000'5</t>
  </si>
  <si>
    <t>AISYAH KHOIRIYAH ARRAMIN</t>
  </si>
  <si>
    <t>ERFAEDAH</t>
  </si>
  <si>
    <t>3529245202920005</t>
  </si>
  <si>
    <t>351502501122000'1</t>
  </si>
  <si>
    <t>ALYA NABILA</t>
  </si>
  <si>
    <t>LINDA KURNIAWATI</t>
  </si>
  <si>
    <t>3515025402920003</t>
  </si>
  <si>
    <t>28/11/2022</t>
  </si>
  <si>
    <t>351502480604000'1</t>
  </si>
  <si>
    <t>ELSHANUM SEHRISH MAEZURRA</t>
  </si>
  <si>
    <t>AULIA DWI RAHMA</t>
  </si>
  <si>
    <t>3515024806040001</t>
  </si>
  <si>
    <t>11/01/2023</t>
  </si>
  <si>
    <t>351502510123000'1</t>
  </si>
  <si>
    <t>SAFIRA ANGELA NURHALIZA</t>
  </si>
  <si>
    <t>ELIF MAINAH</t>
  </si>
  <si>
    <t>3515025410890001</t>
  </si>
  <si>
    <t>31/03/2023</t>
  </si>
  <si>
    <t>351502840899000'2</t>
  </si>
  <si>
    <t>MUHAMMAD GIBRAN ALFARO</t>
  </si>
  <si>
    <t>DIAN AGUSTININGSIH</t>
  </si>
  <si>
    <t>3515026408990002</t>
  </si>
  <si>
    <t>10/04/2023</t>
  </si>
  <si>
    <t>351502500423000'1</t>
  </si>
  <si>
    <t>SHANUM AULIA RAMADHANI</t>
  </si>
  <si>
    <t>351502140423000'1</t>
  </si>
  <si>
    <t>MUHAMMAD GILANG SAMUDRA</t>
  </si>
  <si>
    <t>NUR WIDAYANTI</t>
  </si>
  <si>
    <t>1221154403820002</t>
  </si>
  <si>
    <t>06/02/2023</t>
  </si>
  <si>
    <t>352018491288000'1</t>
  </si>
  <si>
    <t>AULIA NUR AISYAH</t>
  </si>
  <si>
    <t>ENY SETIORINI</t>
  </si>
  <si>
    <t>3520184912880001</t>
  </si>
  <si>
    <t>17/05/2023</t>
  </si>
  <si>
    <t>3515025705230002</t>
  </si>
  <si>
    <t>NAHIDA SYAFIRA MECCA</t>
  </si>
  <si>
    <t>NOVITA DWI WULANDARI</t>
  </si>
  <si>
    <t>3515026504990001</t>
  </si>
  <si>
    <t>25/05/2023</t>
  </si>
  <si>
    <t>351502250523000'3</t>
  </si>
  <si>
    <t>MUHAMMAD ZAAFIR ALBIRRU</t>
  </si>
  <si>
    <t>SITI MUTMAINAH</t>
  </si>
  <si>
    <t>3515024801870002</t>
  </si>
  <si>
    <t>05/07/2023</t>
  </si>
  <si>
    <t>351502450723000'1</t>
  </si>
  <si>
    <t>CUT ARSI AFZA DELARA</t>
  </si>
  <si>
    <t>22/07/2023</t>
  </si>
  <si>
    <t>3515022207230003</t>
  </si>
  <si>
    <t>M FAEYZA AFKARIAN NUR IKHSAN</t>
  </si>
  <si>
    <t>MIA HARI SETYANINGRUM</t>
  </si>
  <si>
    <t>3515186405970004</t>
  </si>
  <si>
    <t>351502620723000'1</t>
  </si>
  <si>
    <t>RINDIRA AURORA JULIANA</t>
  </si>
  <si>
    <t>PUJI KURNIAWATI</t>
  </si>
  <si>
    <t>3515026105880003</t>
  </si>
  <si>
    <t>20/08/2023</t>
  </si>
  <si>
    <t>351502200823000'3</t>
  </si>
  <si>
    <t>MUHAMMAD ZIO ALFARIZI</t>
  </si>
  <si>
    <t>ROSDIANA HUTAGALUH</t>
  </si>
  <si>
    <t>3515025609000003</t>
  </si>
  <si>
    <t>20/03/2023</t>
  </si>
  <si>
    <t>351502630106000'3</t>
  </si>
  <si>
    <t>RAFKA ALFARISKI MADANI</t>
  </si>
  <si>
    <t>10/10/2023</t>
  </si>
  <si>
    <t>351502101023000'1</t>
  </si>
  <si>
    <t>NAZRIL ARFAN ALHUSAIN</t>
  </si>
  <si>
    <t>SITI KHANIFAH</t>
  </si>
  <si>
    <t>3515025012850002</t>
  </si>
  <si>
    <t>11/02/2024</t>
  </si>
  <si>
    <t>MUHAMMAD ARSYAD MAULANA</t>
  </si>
  <si>
    <t>DINDA LIBRA ANTALIA</t>
  </si>
  <si>
    <t>07/02/2024</t>
  </si>
  <si>
    <t>3515020702240002</t>
  </si>
  <si>
    <t>MUHAMMAD ABIYZAR ALBAROK</t>
  </si>
  <si>
    <t>MARI'AH</t>
  </si>
  <si>
    <t>3515024803820002</t>
  </si>
  <si>
    <t>13/02/2024</t>
  </si>
  <si>
    <t>3515021302240001</t>
  </si>
  <si>
    <t>ARKANZA ZAYYAN KHOIRUROH</t>
  </si>
  <si>
    <t>SIAMI</t>
  </si>
  <si>
    <t>3515026005880002</t>
  </si>
  <si>
    <t>27/02/2024</t>
  </si>
  <si>
    <t>3515022702240001</t>
  </si>
  <si>
    <t>MOHAMMAD RAFANDRA FEBRIANSYAH</t>
  </si>
  <si>
    <t>EKA WAHYUNI</t>
  </si>
  <si>
    <t>3515025612960001</t>
  </si>
  <si>
    <t>10/03/2024</t>
  </si>
  <si>
    <t>3515025003240002</t>
  </si>
  <si>
    <t>ANJANI QALESYA ANAM</t>
  </si>
  <si>
    <t>DWI MEI LIANDARI</t>
  </si>
  <si>
    <t>3515024105920001</t>
  </si>
  <si>
    <t>09/05/2023</t>
  </si>
  <si>
    <t>NAURIN ALYCTA</t>
  </si>
  <si>
    <t>NURUL ISTIFADAH</t>
  </si>
  <si>
    <t>02/02/2024</t>
  </si>
  <si>
    <t>3515024202240001</t>
  </si>
  <si>
    <t>KHANZA AULIA FEBRIANITA</t>
  </si>
  <si>
    <t>RISKA FEBRIANITA</t>
  </si>
  <si>
    <t>5108064102930012</t>
  </si>
  <si>
    <t>05/01/2020</t>
  </si>
  <si>
    <t>3515114501200001</t>
  </si>
  <si>
    <t>AFIFAH TALITA DWI CHANTIKA</t>
  </si>
  <si>
    <t>KRISTINANINHSIH</t>
  </si>
  <si>
    <t>3515117010860000</t>
  </si>
  <si>
    <t>Posy. Klotok Desa SIMOGIRANG</t>
  </si>
  <si>
    <t>01/02/2020</t>
  </si>
  <si>
    <t>3515024102200002</t>
  </si>
  <si>
    <t>NUR AZIZAH</t>
  </si>
  <si>
    <t>DWI UMI LUTFATIN</t>
  </si>
  <si>
    <t>3515026402870001</t>
  </si>
  <si>
    <t>19/03/2020</t>
  </si>
  <si>
    <t>3515021903200002</t>
  </si>
  <si>
    <t>M.ELVANO EKA PRATAMA</t>
  </si>
  <si>
    <t>FARAH DWI MEI L.</t>
  </si>
  <si>
    <t>3515024605050001</t>
  </si>
  <si>
    <t>27/03/2020</t>
  </si>
  <si>
    <t>3515022703200002</t>
  </si>
  <si>
    <t>M.ALBAIQAQI HIBATULLOH</t>
  </si>
  <si>
    <t>LULUS FITRI F.</t>
  </si>
  <si>
    <t>355016303930001</t>
  </si>
  <si>
    <t>18/05/2020</t>
  </si>
  <si>
    <t>ALBI DAVI ARDIAZ</t>
  </si>
  <si>
    <t>SULISTYOWATI</t>
  </si>
  <si>
    <t>3525064404850002</t>
  </si>
  <si>
    <t>05/06/2020</t>
  </si>
  <si>
    <t>3515020506200004</t>
  </si>
  <si>
    <t>SIS M. ARKA A.</t>
  </si>
  <si>
    <t>ERINDA SETIO RINI</t>
  </si>
  <si>
    <t>3515026505920002</t>
  </si>
  <si>
    <t>28/06/2020</t>
  </si>
  <si>
    <t>3516126806200002</t>
  </si>
  <si>
    <t>FARAH ALFARISKI FITRIA</t>
  </si>
  <si>
    <t>UMI SOLICHA</t>
  </si>
  <si>
    <t>3515025301870001</t>
  </si>
  <si>
    <t>09/06/2020</t>
  </si>
  <si>
    <t>3517140906200001</t>
  </si>
  <si>
    <t>DANAR DWI DJATMIKO</t>
  </si>
  <si>
    <t>HENI SUWARTINI</t>
  </si>
  <si>
    <t>351027010820004</t>
  </si>
  <si>
    <t>01/07/2020</t>
  </si>
  <si>
    <t>3515020107200001</t>
  </si>
  <si>
    <t>ABISATYA TRI P.</t>
  </si>
  <si>
    <t>INTAN NURUL ARIFIN</t>
  </si>
  <si>
    <t>3515035401940002</t>
  </si>
  <si>
    <t>01/07/2021</t>
  </si>
  <si>
    <t>3515020107200002</t>
  </si>
  <si>
    <t>ABIMANYU TRI P</t>
  </si>
  <si>
    <t>01/08/2020</t>
  </si>
  <si>
    <t>3515024108200001</t>
  </si>
  <si>
    <t>INDRIANA HANUM</t>
  </si>
  <si>
    <t>MEGA SUSANTI</t>
  </si>
  <si>
    <t>3515025509930002</t>
  </si>
  <si>
    <t>3525166408200001</t>
  </si>
  <si>
    <t>ALZHEA KEYNARA ADILA</t>
  </si>
  <si>
    <t>WULAN DESI PURNAMA SARI</t>
  </si>
  <si>
    <t>3515024512950006</t>
  </si>
  <si>
    <t>05/09/2020</t>
  </si>
  <si>
    <t>3515020509200002</t>
  </si>
  <si>
    <t>FRANDY RAFASYA ALFAREZI</t>
  </si>
  <si>
    <t>DENIK ASTUTIK</t>
  </si>
  <si>
    <t>3515024812960002</t>
  </si>
  <si>
    <t>3516125109200002</t>
  </si>
  <si>
    <t>NAURA AULIA AZZARAH</t>
  </si>
  <si>
    <t>NIRA KRISIYANTI</t>
  </si>
  <si>
    <t>3515024606890003</t>
  </si>
  <si>
    <t>06/11/2020</t>
  </si>
  <si>
    <t>3516110611200001</t>
  </si>
  <si>
    <t>GIBRAN AYUHAN MAHENDRA</t>
  </si>
  <si>
    <t>SILVI ANGGRAENI</t>
  </si>
  <si>
    <t>351502541190001</t>
  </si>
  <si>
    <t>3578035307200003</t>
  </si>
  <si>
    <t>LILIA PUTRI ALMARIANTI</t>
  </si>
  <si>
    <t>ALAMAH</t>
  </si>
  <si>
    <t>3578036207740001</t>
  </si>
  <si>
    <t>10/02/2021</t>
  </si>
  <si>
    <t>3515021002210002</t>
  </si>
  <si>
    <t>M.NAUVAL ARFANDI</t>
  </si>
  <si>
    <t>DIANA SRIWULANDARI</t>
  </si>
  <si>
    <t>3515025412930002</t>
  </si>
  <si>
    <t>10/03/2021</t>
  </si>
  <si>
    <t>3515021003210002</t>
  </si>
  <si>
    <t>M. ALFAHRI</t>
  </si>
  <si>
    <t>SITI NURMAYA</t>
  </si>
  <si>
    <t>3515024204890003</t>
  </si>
  <si>
    <t>19/04/2021</t>
  </si>
  <si>
    <t>3515021904210001</t>
  </si>
  <si>
    <t>M.JAFAR SIDIQ</t>
  </si>
  <si>
    <t>PANI ANGGI CITRA RAHAYU</t>
  </si>
  <si>
    <t>3515025212850001</t>
  </si>
  <si>
    <t>3515024206210002</t>
  </si>
  <si>
    <t>NUR ANJANI</t>
  </si>
  <si>
    <t>WIDAH DEWI RAHMAWATI</t>
  </si>
  <si>
    <t>3515026805910003</t>
  </si>
  <si>
    <t>24/06/2021</t>
  </si>
  <si>
    <t>3515026406210004</t>
  </si>
  <si>
    <t>KAYNA ALIN ISWARA</t>
  </si>
  <si>
    <t>NOVIA</t>
  </si>
  <si>
    <t>3526144406980005</t>
  </si>
  <si>
    <t>02/08/2021</t>
  </si>
  <si>
    <t>3515024208210001</t>
  </si>
  <si>
    <t>ALYA SHANUM ARCILLA</t>
  </si>
  <si>
    <t>PUTRI AYU DEW S.</t>
  </si>
  <si>
    <t>3515025707990002</t>
  </si>
  <si>
    <t>20/08/2021</t>
  </si>
  <si>
    <t>3515026008210001</t>
  </si>
  <si>
    <t>AZKIYA NUR SYIFA</t>
  </si>
  <si>
    <t>SITI MAS AMAH</t>
  </si>
  <si>
    <t>3515026012860005</t>
  </si>
  <si>
    <t>01/10/2021</t>
  </si>
  <si>
    <t>3515024110210001</t>
  </si>
  <si>
    <t>OCTAVIOLA DWI AZZHARA</t>
  </si>
  <si>
    <t>ARYANI PUTRI</t>
  </si>
  <si>
    <t>3522185107000004</t>
  </si>
  <si>
    <t>16/10/2021</t>
  </si>
  <si>
    <t>3515025610210002</t>
  </si>
  <si>
    <t>NABILA ANNAZA SHEREEN</t>
  </si>
  <si>
    <t>NOVITA ISDIANA</t>
  </si>
  <si>
    <t>3515114511920001</t>
  </si>
  <si>
    <t>03/11/2021</t>
  </si>
  <si>
    <t>3515024311210001</t>
  </si>
  <si>
    <t>SAQILA AURELIA PUTRI</t>
  </si>
  <si>
    <t>YULIYATI</t>
  </si>
  <si>
    <t>3515024505830008</t>
  </si>
  <si>
    <t>28/12/2021</t>
  </si>
  <si>
    <t>3515022812210001</t>
  </si>
  <si>
    <t>EL ROYAL ABISHENA N.</t>
  </si>
  <si>
    <t>ANIS WIDI HARIYANTI</t>
  </si>
  <si>
    <t>3515016403920001</t>
  </si>
  <si>
    <t>06/01/2022</t>
  </si>
  <si>
    <t>3515024601220001</t>
  </si>
  <si>
    <t>HILDA ELISA KARTIKA SARI</t>
  </si>
  <si>
    <t>FARIDA ULFA</t>
  </si>
  <si>
    <t>3515164709790004</t>
  </si>
  <si>
    <t>03/02/2022</t>
  </si>
  <si>
    <t>3515020302220001</t>
  </si>
  <si>
    <t>FABRIZIO ATHAR RAZKA W.</t>
  </si>
  <si>
    <t>ZENDY FEBRIYANTI</t>
  </si>
  <si>
    <t>3515024502970004</t>
  </si>
  <si>
    <t>19/02/2022</t>
  </si>
  <si>
    <t>3515025902220002</t>
  </si>
  <si>
    <t>ANITA DWI FEBRIANTI</t>
  </si>
  <si>
    <t>FITRI ASTUTIK</t>
  </si>
  <si>
    <t>3515025105880001</t>
  </si>
  <si>
    <t>26/02/2022</t>
  </si>
  <si>
    <t>CLARISSA YURI BAKTIAR</t>
  </si>
  <si>
    <t>ERNI HASNUL R</t>
  </si>
  <si>
    <t>3515026104860001</t>
  </si>
  <si>
    <t>04/03/2022</t>
  </si>
  <si>
    <t>3515024403220001</t>
  </si>
  <si>
    <t>SYAKIRA NAZAFARIN PUTRI V.</t>
  </si>
  <si>
    <t>RIKA ATIKA NINGRUM</t>
  </si>
  <si>
    <t>3515025912950000</t>
  </si>
  <si>
    <t>02/05/2022</t>
  </si>
  <si>
    <t>3515024205220002</t>
  </si>
  <si>
    <t>CHAYRA RAYA ALMAHYRA</t>
  </si>
  <si>
    <t>NURUL FADILAH</t>
  </si>
  <si>
    <t>3515026604990001</t>
  </si>
  <si>
    <t>04/10/2022</t>
  </si>
  <si>
    <t>3515024410220002</t>
  </si>
  <si>
    <t>AQILA ZALFA PUTRI P.</t>
  </si>
  <si>
    <t>YENI ROSITA</t>
  </si>
  <si>
    <t>3516015103900001</t>
  </si>
  <si>
    <t>26/10/2022</t>
  </si>
  <si>
    <t>3515116610220002</t>
  </si>
  <si>
    <t>NAYLA KAFA ALMAHYRA</t>
  </si>
  <si>
    <t>SHELLA ASTRI JOANA</t>
  </si>
  <si>
    <t>3515026711940003</t>
  </si>
  <si>
    <t>11/11/2022</t>
  </si>
  <si>
    <t>3515025111220001</t>
  </si>
  <si>
    <t>FITRIA PUTRI HANDAYANI</t>
  </si>
  <si>
    <t>NURHAYATI</t>
  </si>
  <si>
    <t>3515125512060001</t>
  </si>
  <si>
    <t>08/03/2022</t>
  </si>
  <si>
    <t>3515020803230003</t>
  </si>
  <si>
    <t>M.CAHYA ALFATIH</t>
  </si>
  <si>
    <t>CICIK ANJARWATI</t>
  </si>
  <si>
    <t>3515024024870001</t>
  </si>
  <si>
    <t>20/04/2023</t>
  </si>
  <si>
    <t>3515026004230002</t>
  </si>
  <si>
    <t>AARUMAISA AQILA R.</t>
  </si>
  <si>
    <t>MAS'IDAH DWI MUTMAINAH</t>
  </si>
  <si>
    <t>3515024309950002</t>
  </si>
  <si>
    <t>30/04/2023</t>
  </si>
  <si>
    <t>3515023004230001</t>
  </si>
  <si>
    <t>M.GAVIN RAYYAN FAN A.</t>
  </si>
  <si>
    <t>SITI NOER CHOTIKAH</t>
  </si>
  <si>
    <t>3515026810930004</t>
  </si>
  <si>
    <t>3515025207230000</t>
  </si>
  <si>
    <t>RIANI AMIRA</t>
  </si>
  <si>
    <t>21/08/2023</t>
  </si>
  <si>
    <t>AFDHAL AIRLANGGA W.G.</t>
  </si>
  <si>
    <t>ISTIWAROH</t>
  </si>
  <si>
    <t>3515026307850001</t>
  </si>
  <si>
    <t>05/10/2023</t>
  </si>
  <si>
    <t>3515020510230003</t>
  </si>
  <si>
    <t>RAFINDRA ALFA RIZKI</t>
  </si>
  <si>
    <t>ALIFAH</t>
  </si>
  <si>
    <t>3515025611960001</t>
  </si>
  <si>
    <t>16/10/2023</t>
  </si>
  <si>
    <t>3515021610230001</t>
  </si>
  <si>
    <t>GYANZA DZUHAIRI IRAWAN</t>
  </si>
  <si>
    <t>SARASWATI R.</t>
  </si>
  <si>
    <t>3306015211910002</t>
  </si>
  <si>
    <t>28/12/2023</t>
  </si>
  <si>
    <t>3515026812230001</t>
  </si>
  <si>
    <t>RENATA DWI AMILIAH</t>
  </si>
  <si>
    <t>AINUN AMILIA</t>
  </si>
  <si>
    <t>3515024909950001</t>
  </si>
  <si>
    <t>15/02/2024</t>
  </si>
  <si>
    <t>ALLEA SHANUM ALMAYA A.P.</t>
  </si>
  <si>
    <t>IKA SANTI HERNI YULITA S.</t>
  </si>
  <si>
    <t>3515146207930002</t>
  </si>
  <si>
    <t>16/03/2024</t>
  </si>
  <si>
    <t>3515025603240003</t>
  </si>
  <si>
    <t xml:space="preserve">FARZANA ARETHA </t>
  </si>
  <si>
    <t>351501640392001</t>
  </si>
  <si>
    <t>15/04/2024</t>
  </si>
  <si>
    <t>DHECA PUTRI MAHARANI</t>
  </si>
  <si>
    <t>ERVINA RUSDIANA WATI</t>
  </si>
  <si>
    <t>3515116803990001</t>
  </si>
  <si>
    <t>10/07/2024</t>
  </si>
  <si>
    <t>3515021007240001</t>
  </si>
  <si>
    <t>ASGARA HARSA GARMAPAJA L</t>
  </si>
  <si>
    <t>YAYUK ASTRIANI</t>
  </si>
  <si>
    <t>3515016509930003</t>
  </si>
  <si>
    <t>05/02/2020</t>
  </si>
  <si>
    <t>3515114502200003</t>
  </si>
  <si>
    <t>MIKAYLA AZZALEA SUSETYO</t>
  </si>
  <si>
    <t>FITRI ANDRIYANI</t>
  </si>
  <si>
    <t>3578094711860002</t>
  </si>
  <si>
    <t>Posy. MCA Desa SIMOGIRANG</t>
  </si>
  <si>
    <t xml:space="preserve">Berdiri </t>
  </si>
  <si>
    <t>10/03/2020</t>
  </si>
  <si>
    <t>3515025003200002</t>
  </si>
  <si>
    <t>CHAYRA NDHIFA HENDRAWAN</t>
  </si>
  <si>
    <t xml:space="preserve">SUSILOWATI </t>
  </si>
  <si>
    <t>3578314910850001</t>
  </si>
  <si>
    <t>18/04/2020</t>
  </si>
  <si>
    <t>3578021804200002</t>
  </si>
  <si>
    <t>MUHAMMAD FAKHRI HUSSEIN</t>
  </si>
  <si>
    <t>UKHIL FAUZIAH</t>
  </si>
  <si>
    <t>357826012880001</t>
  </si>
  <si>
    <t>53.5</t>
  </si>
  <si>
    <t>01/04/2020</t>
  </si>
  <si>
    <t>3578064104200003</t>
  </si>
  <si>
    <t>AYRA NAFIATUL AZZAHRA</t>
  </si>
  <si>
    <t>LINDA EKA WATI</t>
  </si>
  <si>
    <t>3578067012920003</t>
  </si>
  <si>
    <t>50.6</t>
  </si>
  <si>
    <t>31/05/2020</t>
  </si>
  <si>
    <t>3516037105200001</t>
  </si>
  <si>
    <t>NAFISAH AZ ZAHRA SABRINA</t>
  </si>
  <si>
    <t>ERIYANTI</t>
  </si>
  <si>
    <t>3516035403890005</t>
  </si>
  <si>
    <t>20/06/2020</t>
  </si>
  <si>
    <t>3507146006200001</t>
  </si>
  <si>
    <t>AMRISKA</t>
  </si>
  <si>
    <t>IRMA ISTIANINGRUM</t>
  </si>
  <si>
    <t>3507145404880001</t>
  </si>
  <si>
    <t>21/07/2020</t>
  </si>
  <si>
    <t>1801102107200002</t>
  </si>
  <si>
    <t>ZAYYAN ARFARAZ TSAQIF HERMAWAN</t>
  </si>
  <si>
    <t>NOVA HARISA</t>
  </si>
  <si>
    <t>1801064611930005</t>
  </si>
  <si>
    <t>20/10/2020</t>
  </si>
  <si>
    <t>3515022010200001</t>
  </si>
  <si>
    <t>M. OKTAVIANO</t>
  </si>
  <si>
    <t>IKA RAHAYU FATIMAH</t>
  </si>
  <si>
    <t>3578096106890002</t>
  </si>
  <si>
    <t>29/05/2020</t>
  </si>
  <si>
    <t>3524116905200001</t>
  </si>
  <si>
    <t>RAFANIA ARDASA ZARINA</t>
  </si>
  <si>
    <t>GIARSANDYA DAMEYWATI</t>
  </si>
  <si>
    <t>3521095105940004</t>
  </si>
  <si>
    <t>19/11/2020</t>
  </si>
  <si>
    <t>3515021911200003</t>
  </si>
  <si>
    <t>ANANDA ARIF</t>
  </si>
  <si>
    <t>YUYUN PUJI WINAHYU</t>
  </si>
  <si>
    <t>3520174404860001</t>
  </si>
  <si>
    <t>e</t>
  </si>
  <si>
    <t>35155021111200001</t>
  </si>
  <si>
    <t>RAFFASYA AL FARIQ</t>
  </si>
  <si>
    <t>APRILIA WULANDARI</t>
  </si>
  <si>
    <t>3515026404850001</t>
  </si>
  <si>
    <t>3578115611200002</t>
  </si>
  <si>
    <t>FAYRA DZIKRA LIMARAN</t>
  </si>
  <si>
    <t>YENI ERVANTI OKMALIA</t>
  </si>
  <si>
    <t>3578115406860002</t>
  </si>
  <si>
    <t>03/01/2021</t>
  </si>
  <si>
    <t>3503110301220002</t>
  </si>
  <si>
    <t>RAVINDRA ATHARRASKA KRISTANTO</t>
  </si>
  <si>
    <t>YENI PUSPITASARI</t>
  </si>
  <si>
    <t>3503116501920003</t>
  </si>
  <si>
    <t>20/04/2021</t>
  </si>
  <si>
    <t>3515026004210001</t>
  </si>
  <si>
    <t>NADHIRA ALANA APRLI RAMADHANI</t>
  </si>
  <si>
    <t>PURWATI</t>
  </si>
  <si>
    <t>3502195604890005</t>
  </si>
  <si>
    <t>10/04/2021</t>
  </si>
  <si>
    <t>3515021004210001</t>
  </si>
  <si>
    <t>HANINDITO PUTRA RAHARDIAN</t>
  </si>
  <si>
    <t>RENIA YUSITA</t>
  </si>
  <si>
    <t>3578304806890001</t>
  </si>
  <si>
    <t>27/05/2021</t>
  </si>
  <si>
    <t>3518032705210001</t>
  </si>
  <si>
    <t>HASBY ARROYAN ENDRAWAN</t>
  </si>
  <si>
    <t>ENDANG SITI ROHMAH</t>
  </si>
  <si>
    <t>3518036609890005</t>
  </si>
  <si>
    <t>28/05/2021</t>
  </si>
  <si>
    <t>3515082805210004</t>
  </si>
  <si>
    <t>M. ARYA G.</t>
  </si>
  <si>
    <t>AISYA I</t>
  </si>
  <si>
    <t>25/06/2021</t>
  </si>
  <si>
    <t>3515022506210001</t>
  </si>
  <si>
    <t>GEVARIER ALFARIES JUNIO</t>
  </si>
  <si>
    <t>ESTER RINA TRIWAHYUNI</t>
  </si>
  <si>
    <t>3509035409930005</t>
  </si>
  <si>
    <t>24/07/2021</t>
  </si>
  <si>
    <t>3578016407210009</t>
  </si>
  <si>
    <t>ZIDNI T.</t>
  </si>
  <si>
    <t>CHOIRIYATI</t>
  </si>
  <si>
    <t>23/09/2021</t>
  </si>
  <si>
    <t>RUMAISHA</t>
  </si>
  <si>
    <t>ERLIN I</t>
  </si>
  <si>
    <t>15/10/2021</t>
  </si>
  <si>
    <t>3515071510210004</t>
  </si>
  <si>
    <t>HAMDAN</t>
  </si>
  <si>
    <t>WIDYA AZIZAH YUSFANY</t>
  </si>
  <si>
    <t>3515075409890006</t>
  </si>
  <si>
    <t>17/11/2021</t>
  </si>
  <si>
    <t>ALISHA CANDRA</t>
  </si>
  <si>
    <t>NIKA KHURINA ASKA KONITA</t>
  </si>
  <si>
    <t>35151857007850006</t>
  </si>
  <si>
    <t>25/11/2021</t>
  </si>
  <si>
    <t>3515026409210002</t>
  </si>
  <si>
    <t>NABILA AZ.</t>
  </si>
  <si>
    <t>DEWI SUCIATI</t>
  </si>
  <si>
    <t>3507085802840004</t>
  </si>
  <si>
    <t>16/03/2022</t>
  </si>
  <si>
    <t>3515021604220003</t>
  </si>
  <si>
    <t>A. RENDY</t>
  </si>
  <si>
    <t>ANIS S.</t>
  </si>
  <si>
    <t>18/03/2022</t>
  </si>
  <si>
    <t>3515161803220001</t>
  </si>
  <si>
    <t>ATHALLAH A.</t>
  </si>
  <si>
    <t>VICKY D.</t>
  </si>
  <si>
    <t>06/03/2022</t>
  </si>
  <si>
    <t>3578134603220001</t>
  </si>
  <si>
    <t>SHIHA C.</t>
  </si>
  <si>
    <t>MAHDA A.</t>
  </si>
  <si>
    <t>08/04/2022</t>
  </si>
  <si>
    <t>3578092804220006</t>
  </si>
  <si>
    <t>IRSYAD AL.</t>
  </si>
  <si>
    <t>NETTY ULIYAH</t>
  </si>
  <si>
    <t>31/05/2022</t>
  </si>
  <si>
    <t>3578063105220002</t>
  </si>
  <si>
    <t>MUHAMMAD ADZRIEL ALFARIZQI</t>
  </si>
  <si>
    <t>01/05/2022</t>
  </si>
  <si>
    <t>3515020105220001</t>
  </si>
  <si>
    <t>KENZIE ABQ.</t>
  </si>
  <si>
    <t>NURYANTI</t>
  </si>
  <si>
    <t>GABRIAN K.</t>
  </si>
  <si>
    <t>SURIABANA</t>
  </si>
  <si>
    <t>16/08/2022</t>
  </si>
  <si>
    <t>3515025608220002</t>
  </si>
  <si>
    <t>KALEANA Z.</t>
  </si>
  <si>
    <t>WAHYU TRI ANDRIYANI</t>
  </si>
  <si>
    <t>3515024705910001</t>
  </si>
  <si>
    <t>27/08/2022</t>
  </si>
  <si>
    <t>3515026707220002</t>
  </si>
  <si>
    <t>TRI AJENG B.</t>
  </si>
  <si>
    <t>LINA ISMAYA DEFI</t>
  </si>
  <si>
    <t>3521024607790004</t>
  </si>
  <si>
    <t>10/09/2022</t>
  </si>
  <si>
    <t>A. ABDULLAH SAYID</t>
  </si>
  <si>
    <t>NOVIA ELMI</t>
  </si>
  <si>
    <t>3578106111810003</t>
  </si>
  <si>
    <t>15/09/2022</t>
  </si>
  <si>
    <t>3401025509220001</t>
  </si>
  <si>
    <t>SHAHLAA A.</t>
  </si>
  <si>
    <t>FENTI KLARAS STYANINGTIAS</t>
  </si>
  <si>
    <t>3401054608960001</t>
  </si>
  <si>
    <t>30/10/2022</t>
  </si>
  <si>
    <t>3515020310220001</t>
  </si>
  <si>
    <t>MAULANA A.</t>
  </si>
  <si>
    <t>NANIK S.</t>
  </si>
  <si>
    <t>22/10/2022</t>
  </si>
  <si>
    <t>3520076210220003</t>
  </si>
  <si>
    <t>SHALLOM B.</t>
  </si>
  <si>
    <t>SITI LESTARI</t>
  </si>
  <si>
    <t>3520074709890001</t>
  </si>
  <si>
    <t>3578285011220003</t>
  </si>
  <si>
    <t>GISKA</t>
  </si>
  <si>
    <t>TJUT ELA FATMALA</t>
  </si>
  <si>
    <t>3578124310910003</t>
  </si>
  <si>
    <t>29/11/2022</t>
  </si>
  <si>
    <t>3515022911220001</t>
  </si>
  <si>
    <t>MAHENDRA</t>
  </si>
  <si>
    <t>NIA MURNIATI</t>
  </si>
  <si>
    <t>3503114908860001</t>
  </si>
  <si>
    <t>08/12/2022</t>
  </si>
  <si>
    <t>3578060812220004</t>
  </si>
  <si>
    <t>DEVAN G.</t>
  </si>
  <si>
    <t>ELIZABETH G.</t>
  </si>
  <si>
    <t>3578154511930002</t>
  </si>
  <si>
    <t>02/01/2023</t>
  </si>
  <si>
    <t>3578164201230002</t>
  </si>
  <si>
    <t>AISYA FIRDAUSI</t>
  </si>
  <si>
    <t>FAIZATUN NADHIROH</t>
  </si>
  <si>
    <t>3517114312960001</t>
  </si>
  <si>
    <t>23/02/2023</t>
  </si>
  <si>
    <t>3578106302230002</t>
  </si>
  <si>
    <t>RUFAYDAH</t>
  </si>
  <si>
    <t>JILA INDRAWATI</t>
  </si>
  <si>
    <t>3578106201860004</t>
  </si>
  <si>
    <t xml:space="preserve">Terlentang </t>
  </si>
  <si>
    <t>27/04/2023</t>
  </si>
  <si>
    <t>3515026704230001</t>
  </si>
  <si>
    <t>MAZAYA QAILULA NAUREEN</t>
  </si>
  <si>
    <t>MAHZA MISHEILA GALUH OKTAVIA RISANO</t>
  </si>
  <si>
    <t>3578066910970001</t>
  </si>
  <si>
    <t>03/05/2023</t>
  </si>
  <si>
    <t>3515024305230001</t>
  </si>
  <si>
    <t>SANAZ RUMI AZZAHRA</t>
  </si>
  <si>
    <t>EKA YULIAN RUNIARMEDA</t>
  </si>
  <si>
    <t>3518066307910001</t>
  </si>
  <si>
    <t>HAFIZAH AGNI</t>
  </si>
  <si>
    <t>RINI SETYOWATI</t>
  </si>
  <si>
    <t>3507014204800001</t>
  </si>
  <si>
    <t>02/06/2023</t>
  </si>
  <si>
    <t>M. KENZI</t>
  </si>
  <si>
    <t>WINDA K.</t>
  </si>
  <si>
    <t>16/08/2023</t>
  </si>
  <si>
    <t>3515115688230001</t>
  </si>
  <si>
    <t>RAIYA RAVANIA SUSETYO</t>
  </si>
  <si>
    <t>17/08/2023</t>
  </si>
  <si>
    <t>3514191708230001</t>
  </si>
  <si>
    <t>AKHMAD ALFAREZEL ASSEGAF</t>
  </si>
  <si>
    <t>DINDA AYU KHARISMA</t>
  </si>
  <si>
    <t>3515116110020003</t>
  </si>
  <si>
    <t>11/11/2023</t>
  </si>
  <si>
    <t>3515025111230002</t>
  </si>
  <si>
    <t>FALISAH G.</t>
  </si>
  <si>
    <t>EVA SUSILAWATI</t>
  </si>
  <si>
    <t>3202104611830004</t>
  </si>
  <si>
    <t>28/11/2023</t>
  </si>
  <si>
    <t>ZAYYA ELYSIA H</t>
  </si>
  <si>
    <t>NOVA H.</t>
  </si>
  <si>
    <t>14/11/2023</t>
  </si>
  <si>
    <t>PUJA CHANTIKA</t>
  </si>
  <si>
    <t>KASIH</t>
  </si>
  <si>
    <t>3506104711840002</t>
  </si>
  <si>
    <t>08/11/2023</t>
  </si>
  <si>
    <t>3578260811230004</t>
  </si>
  <si>
    <t>FELIX Z.</t>
  </si>
  <si>
    <t>DEWI SUKMAWATI</t>
  </si>
  <si>
    <t>3507096602970002</t>
  </si>
  <si>
    <t>23/12/2023</t>
  </si>
  <si>
    <t>ERSYA MELVIANO REYSENDRA</t>
  </si>
  <si>
    <t>ALIYA MAYANG NANDA ROSA BUDIANTI</t>
  </si>
  <si>
    <t>3576027110010001</t>
  </si>
  <si>
    <t>13/01/2024</t>
  </si>
  <si>
    <t>NAOMI EL.</t>
  </si>
  <si>
    <t>MOENIEROTUL LUTFIYAH</t>
  </si>
  <si>
    <t>3578157005970002</t>
  </si>
  <si>
    <t>23/01/2024</t>
  </si>
  <si>
    <t>3515026301240001</t>
  </si>
  <si>
    <t>AZZURA BESTARI IBAD</t>
  </si>
  <si>
    <t>AL QUROISYI NURUL FATAYATI</t>
  </si>
  <si>
    <t>3515126302930001</t>
  </si>
  <si>
    <t>12/01/2024</t>
  </si>
  <si>
    <t>NADZIRA A.</t>
  </si>
  <si>
    <t>NUNIK ANINGSIH</t>
  </si>
  <si>
    <t>3518085305800002</t>
  </si>
  <si>
    <t>24/02/2024</t>
  </si>
  <si>
    <t>ANINDITA YASMIN</t>
  </si>
  <si>
    <t>SARASWATI</t>
  </si>
  <si>
    <t>3515084109930003</t>
  </si>
  <si>
    <t>13/02024</t>
  </si>
  <si>
    <t>3578291302240001</t>
  </si>
  <si>
    <t>MUHAMMAD FAUZAN AL FARIZI</t>
  </si>
  <si>
    <t>ENY SUHARTI</t>
  </si>
  <si>
    <t>3578106401830001</t>
  </si>
  <si>
    <t>06/032024</t>
  </si>
  <si>
    <t>JASMINE R.</t>
  </si>
  <si>
    <t>OKTAVIA RAHAYU</t>
  </si>
  <si>
    <t>3573055710910001</t>
  </si>
  <si>
    <t>8/03/2024</t>
  </si>
  <si>
    <t>AHMAD HAYYAN</t>
  </si>
  <si>
    <t>ZAHROTUL J.</t>
  </si>
  <si>
    <t>27/03/2024</t>
  </si>
  <si>
    <t>LAUT HAWASANI</t>
  </si>
  <si>
    <t>ZALZA</t>
  </si>
  <si>
    <t>22/03/2024</t>
  </si>
  <si>
    <t>NARAYA</t>
  </si>
  <si>
    <t>INGGIT</t>
  </si>
  <si>
    <t>30/04/2024</t>
  </si>
  <si>
    <t>3515023004240002</t>
  </si>
  <si>
    <t>MUHAMMAD KENZO ALFARIZKY</t>
  </si>
  <si>
    <t>NURVITA</t>
  </si>
  <si>
    <t>3515015008900002</t>
  </si>
  <si>
    <t>19/05/2024</t>
  </si>
  <si>
    <t>NAHLA TASBIHA RINJANI ZAIN</t>
  </si>
  <si>
    <t>RATNA NURLAILA ISTIQOMAH</t>
  </si>
  <si>
    <t>3516056008900001</t>
  </si>
  <si>
    <t>25/05/2024</t>
  </si>
  <si>
    <t>M. HAMIZAN</t>
  </si>
  <si>
    <t>ERLINE</t>
  </si>
  <si>
    <t>27/05/2024</t>
  </si>
  <si>
    <t>M. SHULFIYUL</t>
  </si>
  <si>
    <t>YULIA SAFITRI</t>
  </si>
  <si>
    <t>3506106107960002</t>
  </si>
  <si>
    <t>30/05/2024</t>
  </si>
  <si>
    <t>ABRILIAN AF</t>
  </si>
  <si>
    <t>VICKY DWI ANDRIYANI</t>
  </si>
  <si>
    <t>3515166211920006</t>
  </si>
  <si>
    <t>KEYRILIN LS.</t>
  </si>
  <si>
    <t>SURIABANA SIAHAAN</t>
  </si>
  <si>
    <t>1218036903860001</t>
  </si>
  <si>
    <t>M. KEVIN P.</t>
  </si>
  <si>
    <t>ANDRI SETYOWATI</t>
  </si>
  <si>
    <t>3521185106890001</t>
  </si>
  <si>
    <t>06/06/2024</t>
  </si>
  <si>
    <t>M. ELZIO P</t>
  </si>
  <si>
    <t>HILDA A.</t>
  </si>
  <si>
    <t>09/06/2024</t>
  </si>
  <si>
    <t>MARYAM AL.</t>
  </si>
  <si>
    <t>RIZKIA JUNI ALIFFIANA</t>
  </si>
  <si>
    <t>3301144606930001</t>
  </si>
  <si>
    <t>20/07/2024</t>
  </si>
  <si>
    <t>351026712870002</t>
  </si>
  <si>
    <t>M ARSYAD</t>
  </si>
  <si>
    <t>SILVIA</t>
  </si>
  <si>
    <t>01/08/2024</t>
  </si>
  <si>
    <t>3515024108240001</t>
  </si>
  <si>
    <t>FATIMAH AZZAHRA</t>
  </si>
  <si>
    <t>UMI HANIK</t>
  </si>
  <si>
    <t>3578025502960001</t>
  </si>
  <si>
    <t>07/10/2024</t>
  </si>
  <si>
    <t>HAZELYN ELEA</t>
  </si>
  <si>
    <t>GALUH AJENG FENTIANI</t>
  </si>
  <si>
    <t>3509086501990002</t>
  </si>
  <si>
    <t>3515025101200002</t>
  </si>
  <si>
    <t>NUR AZIZAH BRILIANA</t>
  </si>
  <si>
    <t>IKA INDRIANI</t>
  </si>
  <si>
    <t>Posy. Sekar 1 Desa Simogirang</t>
  </si>
  <si>
    <t>17/03/2020</t>
  </si>
  <si>
    <t>3515025703200001</t>
  </si>
  <si>
    <t>NAZIA AERILYN FARHANA</t>
  </si>
  <si>
    <t>ERLIANA</t>
  </si>
  <si>
    <t>3515025313950001</t>
  </si>
  <si>
    <t>3515024104200002</t>
  </si>
  <si>
    <t>HAFIDZAH GHINA SYA'BAN</t>
  </si>
  <si>
    <t>DESY ERYANTI</t>
  </si>
  <si>
    <t>05/04/2020</t>
  </si>
  <si>
    <t>3515024504200002</t>
  </si>
  <si>
    <t>HANA APRILIA PUTRI</t>
  </si>
  <si>
    <t>RENI SULAMIAH</t>
  </si>
  <si>
    <t>3515024202860008</t>
  </si>
  <si>
    <t>10/04/2020</t>
  </si>
  <si>
    <t>3515021004200001</t>
  </si>
  <si>
    <t>MUHAMMAD FAHRI ZAIN</t>
  </si>
  <si>
    <t>INA WIJAYA</t>
  </si>
  <si>
    <t>3515027112930003</t>
  </si>
  <si>
    <t>6</t>
  </si>
  <si>
    <t>3515112706200001</t>
  </si>
  <si>
    <t>MUHAMMAD FAQIH FAITUZZA FERDIANSYAH</t>
  </si>
  <si>
    <t>KHOIROTUN NISA'</t>
  </si>
  <si>
    <t>7</t>
  </si>
  <si>
    <t>04/07/2020</t>
  </si>
  <si>
    <t>3515020407200001</t>
  </si>
  <si>
    <t xml:space="preserve">MUHAMMAD FADIL ALFAREZI </t>
  </si>
  <si>
    <t>AYU LESTARI</t>
  </si>
  <si>
    <t>3515025608970003</t>
  </si>
  <si>
    <t>8</t>
  </si>
  <si>
    <t>24/09/2020</t>
  </si>
  <si>
    <t>3515026102840003</t>
  </si>
  <si>
    <t>MUHAMMAD GIBRAN KAENANDRA</t>
  </si>
  <si>
    <t>LUTFIANA BUDIARTI</t>
  </si>
  <si>
    <t>3515026501990001</t>
  </si>
  <si>
    <t>9</t>
  </si>
  <si>
    <t>20/01/2021</t>
  </si>
  <si>
    <t>3515026001210002</t>
  </si>
  <si>
    <t>ANGELINA PUTRI FADILAH</t>
  </si>
  <si>
    <t xml:space="preserve">YUNI ASTUTIK </t>
  </si>
  <si>
    <t>3515026506880003</t>
  </si>
  <si>
    <t>10</t>
  </si>
  <si>
    <t>03/03/2021</t>
  </si>
  <si>
    <t>3515020303210002</t>
  </si>
  <si>
    <t>MUHAMMAD SYAMSI DHUHA</t>
  </si>
  <si>
    <t>LAILATUL FIRDAUSI</t>
  </si>
  <si>
    <t>11</t>
  </si>
  <si>
    <t>09/03/2021</t>
  </si>
  <si>
    <t>3515020903210002</t>
  </si>
  <si>
    <t>MUHAMMAD RAFKA PUTRA ADITAMA</t>
  </si>
  <si>
    <t>MIFTAKHUR ROSIDAH</t>
  </si>
  <si>
    <t>3515026004950001</t>
  </si>
  <si>
    <t>12</t>
  </si>
  <si>
    <t>3515024303210003</t>
  </si>
  <si>
    <t>ALENA HANUM HANANIAH</t>
  </si>
  <si>
    <t>Ys</t>
  </si>
  <si>
    <t>AISYAH  KUNTOHARO</t>
  </si>
  <si>
    <t>13</t>
  </si>
  <si>
    <t>3515025905210001</t>
  </si>
  <si>
    <t>MIKAILA ATKIAH</t>
  </si>
  <si>
    <t>DIAN SAFITRI</t>
  </si>
  <si>
    <t>3515024405890004</t>
  </si>
  <si>
    <t>14</t>
  </si>
  <si>
    <t>01/12l2021</t>
  </si>
  <si>
    <t>6502076505220001</t>
  </si>
  <si>
    <t>ANISA NUR HUMAIRAH</t>
  </si>
  <si>
    <t>ANNA NUR SHOLIHA</t>
  </si>
  <si>
    <t>15</t>
  </si>
  <si>
    <t>30/09/2021</t>
  </si>
  <si>
    <t>3515097009210003</t>
  </si>
  <si>
    <t>SYAIDAH AISYA ROHMATUN NISA</t>
  </si>
  <si>
    <t>QURROTA 'AYUN</t>
  </si>
  <si>
    <t>3515026701960001</t>
  </si>
  <si>
    <t>16</t>
  </si>
  <si>
    <t>13/04/2022</t>
  </si>
  <si>
    <t>3515111304220001</t>
  </si>
  <si>
    <t>MUHAMMAD AL-MALIK AKBAR AZIZ</t>
  </si>
  <si>
    <t>USMIATI</t>
  </si>
  <si>
    <t>Posy Sekar 1 Desa Simogirang</t>
  </si>
  <si>
    <t>17</t>
  </si>
  <si>
    <t>25/05/2022</t>
  </si>
  <si>
    <t>TAVISHA LEANOR ALODYA BREE</t>
  </si>
  <si>
    <t>DIAN LUVITA SARI</t>
  </si>
  <si>
    <t>3515026010940003</t>
  </si>
  <si>
    <t>18</t>
  </si>
  <si>
    <t>26/6/2022</t>
  </si>
  <si>
    <t>3515020206220002</t>
  </si>
  <si>
    <t>MUHAMMAD KENZIE ATTAR R</t>
  </si>
  <si>
    <t>ELOK SUAIBAH</t>
  </si>
  <si>
    <t>3515025706950002</t>
  </si>
  <si>
    <t>19</t>
  </si>
  <si>
    <t>06/06/2022</t>
  </si>
  <si>
    <t>3515020606220001</t>
  </si>
  <si>
    <t xml:space="preserve">RAFINDRA ARFA RIZKY PRATAMA </t>
  </si>
  <si>
    <t>DEWI SITI SARIFAH</t>
  </si>
  <si>
    <t>20</t>
  </si>
  <si>
    <t>19/09/2022</t>
  </si>
  <si>
    <t>3515025909220001</t>
  </si>
  <si>
    <t>SALSABILA AYU ELVIANA</t>
  </si>
  <si>
    <t>MEGA PUTRI WULAN</t>
  </si>
  <si>
    <t>3515136208910005</t>
  </si>
  <si>
    <t>29/12/2022</t>
  </si>
  <si>
    <t>3515022912220001</t>
  </si>
  <si>
    <t>AZKA FATIH RAHARJA</t>
  </si>
  <si>
    <t>SITI JUBAIDAH</t>
  </si>
  <si>
    <t>3515025805010004</t>
  </si>
  <si>
    <t>07/02/2023</t>
  </si>
  <si>
    <t>3515024702230003</t>
  </si>
  <si>
    <t>AFHIMATUL MAKRIFAH A.</t>
  </si>
  <si>
    <t>3515025203980001</t>
  </si>
  <si>
    <t>30/03/2023</t>
  </si>
  <si>
    <t>3515023003230002</t>
  </si>
  <si>
    <t xml:space="preserve">MUHAMMAD ARKA RAMADHAN </t>
  </si>
  <si>
    <t>VERA TRI MEI WULAN</t>
  </si>
  <si>
    <t>3515025105970003</t>
  </si>
  <si>
    <t>17/06/2023</t>
  </si>
  <si>
    <t>3515021706230001</t>
  </si>
  <si>
    <t>MUHAMMAD ALBARA RASYA F.</t>
  </si>
  <si>
    <t>FITRI DWI JAYANTI</t>
  </si>
  <si>
    <t>3515024301950002</t>
  </si>
  <si>
    <t>24/06/2023</t>
  </si>
  <si>
    <t>MUHAMMAD ALFARIZKY</t>
  </si>
  <si>
    <t>02/08//2023</t>
  </si>
  <si>
    <t>3515020208230001</t>
  </si>
  <si>
    <t>MUHAMMAD ABDURRAHMAN ANTASENA</t>
  </si>
  <si>
    <t>SEPTA DWI ANUGRAH</t>
  </si>
  <si>
    <t>1256256509890004</t>
  </si>
  <si>
    <t>3515025610230003</t>
  </si>
  <si>
    <t>LITHUHAYU KAISYILA GENDIS P.</t>
  </si>
  <si>
    <t>ASTRI WULANDARI</t>
  </si>
  <si>
    <t>3515025308020001</t>
  </si>
  <si>
    <t>01/12/2023</t>
  </si>
  <si>
    <t>MUHAMMAD ELBARA ZAVIAN MAVENDRA</t>
  </si>
  <si>
    <t>3515026401990001</t>
  </si>
  <si>
    <t>05/01/2024</t>
  </si>
  <si>
    <t>3515020501240001</t>
  </si>
  <si>
    <t>BIMA SATYA DWINTARA</t>
  </si>
  <si>
    <t>28/01/2024</t>
  </si>
  <si>
    <t>3515022801240001</t>
  </si>
  <si>
    <t>ARYA DANU DWI PURWANTO</t>
  </si>
  <si>
    <t>ETIK KURNIASARI</t>
  </si>
  <si>
    <t>3515024605950001</t>
  </si>
  <si>
    <t>11/01/2024</t>
  </si>
  <si>
    <t>SHAHIA HUMAIRAH ALKHALENA</t>
  </si>
  <si>
    <t>SUSI WULANDARI</t>
  </si>
  <si>
    <t>3525146707920003</t>
  </si>
  <si>
    <t>17/04/2024</t>
  </si>
  <si>
    <t>SYAFIA NABIER NAFIZA</t>
  </si>
  <si>
    <t>SUCI WULANDARI</t>
  </si>
  <si>
    <t>04/04/2024</t>
  </si>
  <si>
    <t xml:space="preserve">MUHAMMAD RAFAIZAN RAMADHAN </t>
  </si>
  <si>
    <t xml:space="preserve">SRI RAHAYU NINGSIH </t>
  </si>
  <si>
    <t>21/05/2024</t>
  </si>
  <si>
    <t>RALYN ALFA AZMI</t>
  </si>
  <si>
    <t>MAWWADDATU KAFFASABILA</t>
  </si>
  <si>
    <t>3515027103930002</t>
  </si>
  <si>
    <t>13/06/2024</t>
  </si>
  <si>
    <t>MAHREEN SHAFANA ALMAHYRA</t>
  </si>
  <si>
    <t>DEFI KUMALA SARI</t>
  </si>
  <si>
    <t>3515024512960001</t>
  </si>
  <si>
    <t>MUHAMMAD FAHREZA FATURRAHMAN</t>
  </si>
  <si>
    <t xml:space="preserve">MUHAMMAD ELZAN MU'ARIF </t>
  </si>
  <si>
    <t>PIPIT CAHYANI</t>
  </si>
  <si>
    <t>3515020911240001</t>
  </si>
  <si>
    <t>MUHAMMAD MUIZZADIN ELFATHAN</t>
  </si>
  <si>
    <t>NANIK NUR RAHAYU</t>
  </si>
  <si>
    <t>3515025205860002</t>
  </si>
  <si>
    <t>20/11/2024</t>
  </si>
  <si>
    <t>SELVIA NUR CAHYANI</t>
  </si>
  <si>
    <t>DWI PRAPTININGSIH</t>
  </si>
  <si>
    <t>11/10/2024</t>
  </si>
  <si>
    <t xml:space="preserve">MUHAMMAD NADHIR RIZKI </t>
  </si>
  <si>
    <t xml:space="preserve">VERA TRI MEI WULAN </t>
  </si>
  <si>
    <t xml:space="preserve">posya Sekar 1 Desa Simogirang </t>
  </si>
  <si>
    <t xml:space="preserve">terlentang </t>
  </si>
  <si>
    <t>Nama</t>
  </si>
  <si>
    <t>JK</t>
  </si>
  <si>
    <t>Usia</t>
  </si>
  <si>
    <t>Tgl Lahir</t>
  </si>
  <si>
    <t>Nama Ortu</t>
  </si>
  <si>
    <t>Desa/Kel</t>
  </si>
  <si>
    <t>Berat</t>
  </si>
  <si>
    <t>Tinggi</t>
  </si>
  <si>
    <t>LiLA</t>
  </si>
  <si>
    <t>ZS BB/U</t>
  </si>
  <si>
    <t>ZS TB/U</t>
  </si>
  <si>
    <t>ZS BB/TB</t>
  </si>
  <si>
    <t>Status Gizi</t>
  </si>
  <si>
    <t>Balita 1 </t>
  </si>
  <si>
    <t>P </t>
  </si>
  <si>
    <t>4 tahun</t>
  </si>
  <si>
    <t>aji dimas </t>
  </si>
  <si>
    <t>PALEBON </t>
  </si>
  <si>
    <t>Gizi Kurang</t>
  </si>
  <si>
    <t>Balita 2</t>
  </si>
  <si>
    <t>5 tahun</t>
  </si>
  <si>
    <t>SARTONO </t>
  </si>
  <si>
    <t>Balita 3</t>
  </si>
  <si>
    <t>L </t>
  </si>
  <si>
    <t>TOMMY </t>
  </si>
  <si>
    <t>Balita 4</t>
  </si>
  <si>
    <t>3 tahun</t>
  </si>
  <si>
    <t>subakti ghufron </t>
  </si>
  <si>
    <t>Resiko Gizi Lebih</t>
  </si>
  <si>
    <t>Balita 5</t>
  </si>
  <si>
    <t>ALDY P. </t>
  </si>
  <si>
    <t>Gizi Baik</t>
  </si>
  <si>
    <t>Balita 6</t>
  </si>
  <si>
    <t>MUGIYONO </t>
  </si>
  <si>
    <t>Balita 7</t>
  </si>
  <si>
    <t>SURADI </t>
  </si>
  <si>
    <t>Balita 8</t>
  </si>
  <si>
    <t>RIYANTO </t>
  </si>
  <si>
    <t>Balita 9</t>
  </si>
  <si>
    <t>ILHAM TEGUH ARDIANTO </t>
  </si>
  <si>
    <t>PEDURUNGAN KIDUL </t>
  </si>
  <si>
    <t>Balita 10</t>
  </si>
  <si>
    <t>LANTIP W. </t>
  </si>
  <si>
    <t>Balita 11</t>
  </si>
  <si>
    <t>DONI SETIAWAN </t>
  </si>
  <si>
    <t>PEDURUNGAN LOR </t>
  </si>
  <si>
    <t>Balita 12</t>
  </si>
  <si>
    <t>muhammad eko setiadi </t>
  </si>
  <si>
    <t>PEDURUNGAN TENGAH </t>
  </si>
  <si>
    <t>Balita 13</t>
  </si>
  <si>
    <t>7 tahun</t>
  </si>
  <si>
    <t>Muhammad Misbachul Anam </t>
  </si>
  <si>
    <t>PLAMONGAN SARI </t>
  </si>
  <si>
    <t>Balita 14</t>
  </si>
  <si>
    <t>agus nugroho </t>
  </si>
  <si>
    <t>TLOGOMULYO </t>
  </si>
  <si>
    <t>Balita 15</t>
  </si>
  <si>
    <t>6 tahun</t>
  </si>
  <si>
    <t>MUSTABA BABISYADHI </t>
  </si>
  <si>
    <t>Balita 16</t>
  </si>
  <si>
    <t>RIDHO HARYATI </t>
  </si>
  <si>
    <t>Gizi Buruk</t>
  </si>
  <si>
    <t>Balita 17</t>
  </si>
  <si>
    <t>SRI LESTARININGSIH </t>
  </si>
  <si>
    <t>Balita 18</t>
  </si>
  <si>
    <t>wahyu prapto handoko </t>
  </si>
  <si>
    <t>Balita 19</t>
  </si>
  <si>
    <t>TOMI SANJAYA </t>
  </si>
  <si>
    <t>Balita 20</t>
  </si>
  <si>
    <t>asroh </t>
  </si>
  <si>
    <t>Balita 21</t>
  </si>
  <si>
    <t>aulad satria gibraltar </t>
  </si>
  <si>
    <t>Balita 22</t>
  </si>
  <si>
    <t>KASMURI </t>
  </si>
  <si>
    <t>Balita 23</t>
  </si>
  <si>
    <t>ricard </t>
  </si>
  <si>
    <t>Balita 24</t>
  </si>
  <si>
    <t>MOHAMMAD AL BAKHIR </t>
  </si>
  <si>
    <t>TLOGOSARI WETAN </t>
  </si>
  <si>
    <t>Balita 25</t>
  </si>
  <si>
    <t>desinta/agus </t>
  </si>
  <si>
    <t>Balita 26</t>
  </si>
  <si>
    <t>ZULMI </t>
  </si>
  <si>
    <t>Balita 27</t>
  </si>
  <si>
    <t>SONY N </t>
  </si>
  <si>
    <t>Balita 28</t>
  </si>
  <si>
    <t>KUKUH A. </t>
  </si>
  <si>
    <t>Balita 29</t>
  </si>
  <si>
    <t>TEGUH A </t>
  </si>
  <si>
    <t>Balita 30</t>
  </si>
  <si>
    <t>GALUH </t>
  </si>
  <si>
    <t>Balita 31</t>
  </si>
  <si>
    <t>Balita 32</t>
  </si>
  <si>
    <t>ADI WALUYO </t>
  </si>
  <si>
    <t>Balita 33</t>
  </si>
  <si>
    <t>EKO A.S </t>
  </si>
  <si>
    <t>Balita 34</t>
  </si>
  <si>
    <t>ARIS CAHYA </t>
  </si>
  <si>
    <t>Balita 35</t>
  </si>
  <si>
    <t>EKO S. </t>
  </si>
  <si>
    <t>Balita 36</t>
  </si>
  <si>
    <t>evi abdul </t>
  </si>
  <si>
    <t>Balita 37</t>
  </si>
  <si>
    <t>WAHYU KRISTIYANTO </t>
  </si>
  <si>
    <t>Balita 38</t>
  </si>
  <si>
    <t>BAGUS A </t>
  </si>
  <si>
    <t>Balita 39</t>
  </si>
  <si>
    <t>RIZA </t>
  </si>
  <si>
    <t>Balita 40</t>
  </si>
  <si>
    <t>suyanto </t>
  </si>
  <si>
    <t>Balita 41</t>
  </si>
  <si>
    <t>lukas jimmy </t>
  </si>
  <si>
    <t>Balita 42</t>
  </si>
  <si>
    <t>HENDRA SETYAWAN </t>
  </si>
  <si>
    <t>Balita 43</t>
  </si>
  <si>
    <t>TRI BUDI UTOMO </t>
  </si>
  <si>
    <t>Balita 44</t>
  </si>
  <si>
    <t>Balita 45</t>
  </si>
  <si>
    <t>Balita 46</t>
  </si>
  <si>
    <t>mulyono </t>
  </si>
  <si>
    <t>Balita 47</t>
  </si>
  <si>
    <t>SUGIONO  </t>
  </si>
  <si>
    <t>Balita 48</t>
  </si>
  <si>
    <t>WAHYU ADI NUGROHO </t>
  </si>
  <si>
    <t>Balita 49</t>
  </si>
  <si>
    <t>moch. zainul afandi </t>
  </si>
  <si>
    <t>Balita 50</t>
  </si>
  <si>
    <t>yosi bagus </t>
  </si>
  <si>
    <t>Balita 51</t>
  </si>
  <si>
    <t>komang </t>
  </si>
  <si>
    <t>Balita 52</t>
  </si>
  <si>
    <t>m. mansyur </t>
  </si>
  <si>
    <t>Balita 53</t>
  </si>
  <si>
    <t>NUCH ROZIKAN </t>
  </si>
  <si>
    <t>Balita 54</t>
  </si>
  <si>
    <t>KRIS DWI HANDOKO </t>
  </si>
  <si>
    <t>Balita 55</t>
  </si>
  <si>
    <t>8 tahun</t>
  </si>
  <si>
    <t>ali sukron </t>
  </si>
  <si>
    <t>Balita 56</t>
  </si>
  <si>
    <t>MOH QOSTHOLANI </t>
  </si>
  <si>
    <t>Balita 57</t>
  </si>
  <si>
    <t>aryo </t>
  </si>
  <si>
    <t>Balita 58</t>
  </si>
  <si>
    <t>DHEDHI NATALIA </t>
  </si>
  <si>
    <t>Balita 59</t>
  </si>
  <si>
    <t>irfan </t>
  </si>
  <si>
    <t>Balita 60</t>
  </si>
  <si>
    <t>feysal </t>
  </si>
  <si>
    <t>Balita 61</t>
  </si>
  <si>
    <t>bowo </t>
  </si>
  <si>
    <t>Balita 62</t>
  </si>
  <si>
    <t>WINDARTO ADJI PRASETYO </t>
  </si>
  <si>
    <t>Balita 63</t>
  </si>
  <si>
    <t>AHMAD MUZANI </t>
  </si>
  <si>
    <t>Balita 64</t>
  </si>
  <si>
    <t>MUHAMMAD RIYANTO </t>
  </si>
  <si>
    <t>Balita 65</t>
  </si>
  <si>
    <t>ADITYA SUSWANTO </t>
  </si>
  <si>
    <t>Balita 66</t>
  </si>
  <si>
    <t>FERI KURNIAWAN </t>
  </si>
  <si>
    <t>Balita 67</t>
  </si>
  <si>
    <t>AGUNG </t>
  </si>
  <si>
    <t>Balita 68</t>
  </si>
  <si>
    <t>ari hardianto </t>
  </si>
  <si>
    <t>Balita 69</t>
  </si>
  <si>
    <t>abdullah riza </t>
  </si>
  <si>
    <t>Balita 70</t>
  </si>
  <si>
    <t>sujoko </t>
  </si>
  <si>
    <t>Balita 71</t>
  </si>
  <si>
    <t>rudy dwi </t>
  </si>
  <si>
    <t>Balita 72</t>
  </si>
  <si>
    <t>rheinanto </t>
  </si>
  <si>
    <t>Balita 73</t>
  </si>
  <si>
    <t>editiya jefrianto </t>
  </si>
  <si>
    <t>Balita 74</t>
  </si>
  <si>
    <t>bagus </t>
  </si>
  <si>
    <t>Balita 75</t>
  </si>
  <si>
    <t>ARIEF PRABOWO </t>
  </si>
  <si>
    <t>Balita 76</t>
  </si>
  <si>
    <t>rahmad setiabudi </t>
  </si>
  <si>
    <t>Balita 77</t>
  </si>
  <si>
    <t>pujiono </t>
  </si>
  <si>
    <t>Balita 78</t>
  </si>
  <si>
    <t>INDRIYA DEDI PRATAMA </t>
  </si>
  <si>
    <t>Balita 79</t>
  </si>
  <si>
    <t>Balita 80</t>
  </si>
  <si>
    <t>Balita 81</t>
  </si>
  <si>
    <t>Balita 82</t>
  </si>
  <si>
    <t>KISWANTO </t>
  </si>
  <si>
    <t>Balita 83</t>
  </si>
  <si>
    <t>Balita 84</t>
  </si>
  <si>
    <t>Balita 85</t>
  </si>
  <si>
    <t>Balita 86</t>
  </si>
  <si>
    <t>Balita 87</t>
  </si>
  <si>
    <t>REVI K. </t>
  </si>
  <si>
    <t>Balita 88</t>
  </si>
  <si>
    <t>Balita 89</t>
  </si>
  <si>
    <t>STEFANIE </t>
  </si>
  <si>
    <t>Balita 90</t>
  </si>
  <si>
    <t>EKO SULISTYO PUTRO </t>
  </si>
  <si>
    <t>Balita 91</t>
  </si>
  <si>
    <t>SUHELNERI </t>
  </si>
  <si>
    <t>Balita 92</t>
  </si>
  <si>
    <t>SEPTI </t>
  </si>
  <si>
    <t>Balita 93</t>
  </si>
  <si>
    <t>NUR CHOLIS </t>
  </si>
  <si>
    <t>Balita 94</t>
  </si>
  <si>
    <t>IWAN </t>
  </si>
  <si>
    <t>Balita 95</t>
  </si>
  <si>
    <t>JEMMY SETIAWAN </t>
  </si>
  <si>
    <t>Balita 96</t>
  </si>
  <si>
    <t>DENY </t>
  </si>
  <si>
    <t>Balita 97</t>
  </si>
  <si>
    <t>BAMBANG </t>
  </si>
  <si>
    <t>Balita 98</t>
  </si>
  <si>
    <t>MUHAMMAD CHANIF </t>
  </si>
  <si>
    <t>Balita 99</t>
  </si>
  <si>
    <t>WIBOWO </t>
  </si>
  <si>
    <t>Balita 100</t>
  </si>
  <si>
    <t>AGUS NUR SAHID </t>
  </si>
  <si>
    <t>Balita 101</t>
  </si>
  <si>
    <t>YULIA </t>
  </si>
  <si>
    <t>Balita 102</t>
  </si>
  <si>
    <t>PUJI </t>
  </si>
  <si>
    <t>Balita 103</t>
  </si>
  <si>
    <t>SYAIFUDIN </t>
  </si>
  <si>
    <t>Balita 104</t>
  </si>
  <si>
    <t>SITI </t>
  </si>
  <si>
    <t>Balita 105</t>
  </si>
  <si>
    <t>ALI I </t>
  </si>
  <si>
    <t>Balita 106</t>
  </si>
  <si>
    <t>ETIK </t>
  </si>
  <si>
    <t>Balita 107</t>
  </si>
  <si>
    <t>UNGGUL </t>
  </si>
  <si>
    <t>Balita 108</t>
  </si>
  <si>
    <t>M SHOLIKHUL HUDA </t>
  </si>
  <si>
    <t>Balita 109</t>
  </si>
  <si>
    <t>BINTANG AW </t>
  </si>
  <si>
    <t>Balita 110</t>
  </si>
  <si>
    <t>Balita 111</t>
  </si>
  <si>
    <t>RUDI WIBOWO </t>
  </si>
  <si>
    <t>Balita 112</t>
  </si>
  <si>
    <t>Balita 113</t>
  </si>
  <si>
    <t>KAHAR </t>
  </si>
  <si>
    <t>Balita 114</t>
  </si>
  <si>
    <t>RIFYANTO / MASLICHATIN NIAM </t>
  </si>
  <si>
    <t>Balita 115</t>
  </si>
  <si>
    <t>ACHMAD RIF\'AI </t>
  </si>
  <si>
    <t>Balita 116</t>
  </si>
  <si>
    <t>Mohamad khuzaeri </t>
  </si>
  <si>
    <t>Balita 117</t>
  </si>
  <si>
    <t>aris </t>
  </si>
  <si>
    <t>Balita 118</t>
  </si>
  <si>
    <t>IRWAN S </t>
  </si>
  <si>
    <t>Balita 119</t>
  </si>
  <si>
    <t>kirbani </t>
  </si>
  <si>
    <t>Balita 120</t>
  </si>
  <si>
    <t>DANU DINUTO </t>
  </si>
  <si>
    <t>Balita 121</t>
  </si>
  <si>
    <t>Andi waluyo </t>
  </si>
  <si>
    <t>Balita 122</t>
  </si>
  <si>
    <t>Angela vanessa </t>
  </si>
  <si>
    <t>Balita 123</t>
  </si>
  <si>
    <t>FEISY </t>
  </si>
  <si>
    <t>Balita 124</t>
  </si>
  <si>
    <t>abdul muis </t>
  </si>
  <si>
    <t>Balita 125</t>
  </si>
  <si>
    <t>totok </t>
  </si>
  <si>
    <t>Balita 126</t>
  </si>
  <si>
    <t>MOCH </t>
  </si>
  <si>
    <t>Balita 127</t>
  </si>
  <si>
    <t>AEP </t>
  </si>
  <si>
    <t>Balita 128</t>
  </si>
  <si>
    <t>martius </t>
  </si>
  <si>
    <t>Balita 129</t>
  </si>
  <si>
    <t>ACHMED RIFAI </t>
  </si>
  <si>
    <t>Balita 130</t>
  </si>
  <si>
    <t>aris k </t>
  </si>
  <si>
    <t>Balita 131</t>
  </si>
  <si>
    <t>soleh aljailani </t>
  </si>
  <si>
    <t>Balita 132</t>
  </si>
  <si>
    <t>Frans </t>
  </si>
  <si>
    <t>Balita 133</t>
  </si>
  <si>
    <t>fikrie </t>
  </si>
  <si>
    <t>Balita 134</t>
  </si>
  <si>
    <t>M. ROFIQ </t>
  </si>
  <si>
    <t>Balita 135</t>
  </si>
  <si>
    <t>tri wibowo </t>
  </si>
  <si>
    <t>Balita 136</t>
  </si>
  <si>
    <t>ASWANDI </t>
  </si>
  <si>
    <t>Balita 137</t>
  </si>
  <si>
    <t>ferianto </t>
  </si>
  <si>
    <t>Balita 138</t>
  </si>
  <si>
    <t>Balita 139</t>
  </si>
  <si>
    <t>ilham </t>
  </si>
  <si>
    <t>Balita 140</t>
  </si>
  <si>
    <t>stefanus dicky christiawan </t>
  </si>
  <si>
    <t>Balita 141</t>
  </si>
  <si>
    <t>FERRY DWI NURCAHYO </t>
  </si>
  <si>
    <t>Balita 142</t>
  </si>
  <si>
    <t>FARAJ KINANTAN ADILUHUNG </t>
  </si>
  <si>
    <t>Balita 143</t>
  </si>
  <si>
    <t>IRWAN </t>
  </si>
  <si>
    <t>Balita 144</t>
  </si>
  <si>
    <t>Syaiful </t>
  </si>
  <si>
    <t>Balita 145</t>
  </si>
  <si>
    <t>ARYADI </t>
  </si>
  <si>
    <t>Balita 146</t>
  </si>
  <si>
    <t>Balita 147</t>
  </si>
  <si>
    <t>Balita 148</t>
  </si>
  <si>
    <t>Balita 149</t>
  </si>
  <si>
    <t>FAKHRI ISA M </t>
  </si>
  <si>
    <t>Balita 150</t>
  </si>
  <si>
    <t>0 </t>
  </si>
  <si>
    <t>Balita 151</t>
  </si>
  <si>
    <t>samuel </t>
  </si>
  <si>
    <t>Balita 152</t>
  </si>
  <si>
    <t>slamet ansori </t>
  </si>
  <si>
    <t>Balita 153</t>
  </si>
  <si>
    <t>bukhori </t>
  </si>
  <si>
    <t>Balita 154</t>
  </si>
  <si>
    <t>REZA ARI PERDANA </t>
  </si>
  <si>
    <t>Balita 155</t>
  </si>
  <si>
    <t>ahlul pudyastawa </t>
  </si>
  <si>
    <t>Balita 156</t>
  </si>
  <si>
    <t>2 tahun</t>
  </si>
  <si>
    <t>YULI PURWANTO </t>
  </si>
  <si>
    <t>Balita 157</t>
  </si>
  <si>
    <t>Sinar Hubtrian. A </t>
  </si>
  <si>
    <t>Balita 158</t>
  </si>
  <si>
    <t>agus t. </t>
  </si>
  <si>
    <t>Balita 159</t>
  </si>
  <si>
    <t>DINTAKA </t>
  </si>
  <si>
    <t>Balita 160</t>
  </si>
  <si>
    <t>Balita 161</t>
  </si>
  <si>
    <t>ARI PRASETYO </t>
  </si>
  <si>
    <t>Balita 162</t>
  </si>
  <si>
    <t>RIZKI FAHRUL SETIASI </t>
  </si>
  <si>
    <t>Balita 163</t>
  </si>
  <si>
    <t>TEGAR </t>
  </si>
  <si>
    <t>Balita 164</t>
  </si>
  <si>
    <t>MIFTAKHUL IMANNUR KHAKIM </t>
  </si>
  <si>
    <t>Balita 165</t>
  </si>
  <si>
    <t>DJUDI NURSINGGIH </t>
  </si>
  <si>
    <t>Balita 166</t>
  </si>
  <si>
    <t>NUR SHOLEH </t>
  </si>
  <si>
    <t>Balita 167</t>
  </si>
  <si>
    <t>KHOLISON </t>
  </si>
  <si>
    <t>Gizi Lebih</t>
  </si>
  <si>
    <t>Balita 168</t>
  </si>
  <si>
    <t>stepani g </t>
  </si>
  <si>
    <t>Balita 169</t>
  </si>
  <si>
    <t>Balita 170</t>
  </si>
  <si>
    <t>Balita 171</t>
  </si>
  <si>
    <t>MOCH ABDUR ROZAK </t>
  </si>
  <si>
    <t>Balita 172</t>
  </si>
  <si>
    <t>WAHYU </t>
  </si>
  <si>
    <t>Balita 173</t>
  </si>
  <si>
    <t>BAGUS </t>
  </si>
  <si>
    <t>Balita 174</t>
  </si>
  <si>
    <t>nur </t>
  </si>
  <si>
    <t>Balita 175</t>
  </si>
  <si>
    <t>Balita 176</t>
  </si>
  <si>
    <t>PURWANTO </t>
  </si>
  <si>
    <t>Balita 177</t>
  </si>
  <si>
    <t>HARTONO </t>
  </si>
  <si>
    <t>Balita 178</t>
  </si>
  <si>
    <t>NIKO EKO SAPUTRO </t>
  </si>
  <si>
    <t>Balita 179</t>
  </si>
  <si>
    <t>ROCHMADYANTO </t>
  </si>
  <si>
    <t>Balita 180</t>
  </si>
  <si>
    <t>AHMAD </t>
  </si>
  <si>
    <t>Balita 181</t>
  </si>
  <si>
    <t>ari </t>
  </si>
  <si>
    <t>Balita 182</t>
  </si>
  <si>
    <t>ARIF BUDIMAN </t>
  </si>
  <si>
    <t>Balita 183</t>
  </si>
  <si>
    <t>ALFAN SURYA RAHMAWAN </t>
  </si>
  <si>
    <t>Balita 184</t>
  </si>
  <si>
    <t>BUDI PRAYITNO </t>
  </si>
  <si>
    <t>Balita 185</t>
  </si>
  <si>
    <t>eli </t>
  </si>
  <si>
    <t>Balita 186</t>
  </si>
  <si>
    <t>Balita 187</t>
  </si>
  <si>
    <t>Balita 188</t>
  </si>
  <si>
    <t>Balita 189</t>
  </si>
  <si>
    <t>Balita 190</t>
  </si>
  <si>
    <t>MOCHAMAD YUSUF </t>
  </si>
  <si>
    <t>Balita 191</t>
  </si>
  <si>
    <t>sumaryanto </t>
  </si>
  <si>
    <t>Balita 192</t>
  </si>
  <si>
    <t>Balita 193</t>
  </si>
  <si>
    <t>Balita 194</t>
  </si>
  <si>
    <t>Balita 195</t>
  </si>
  <si>
    <t>Balita 196</t>
  </si>
  <si>
    <t>AGUS MUSTAQFIRIN </t>
  </si>
  <si>
    <t>Balita 197</t>
  </si>
  <si>
    <t>SARIFAH/ZAIAL </t>
  </si>
  <si>
    <t>Balita 198</t>
  </si>
  <si>
    <t>TEGAR PRAHANTO </t>
  </si>
  <si>
    <t>Balita 199</t>
  </si>
  <si>
    <t>BUDI </t>
  </si>
  <si>
    <t>Balita 200</t>
  </si>
  <si>
    <t>ASLIM WALADAN </t>
  </si>
  <si>
    <t>Balita 201</t>
  </si>
  <si>
    <t>renaldi f </t>
  </si>
  <si>
    <t>Balita 202</t>
  </si>
  <si>
    <t>AHMAD MUZAIDIN </t>
  </si>
  <si>
    <t>Balita 203</t>
  </si>
  <si>
    <t>IKA WAHYUNING TYAS </t>
  </si>
  <si>
    <t>Balita 204</t>
  </si>
  <si>
    <t>SYAIFUL MASHADI </t>
  </si>
  <si>
    <t>Balita 205</t>
  </si>
  <si>
    <t>bambang kisworo </t>
  </si>
  <si>
    <t>Balita 206</t>
  </si>
  <si>
    <t>herry setyo mukti </t>
  </si>
  <si>
    <t>Balita 207</t>
  </si>
  <si>
    <t>Balita 208</t>
  </si>
  <si>
    <t>BAGUS A. </t>
  </si>
  <si>
    <t>Balita 209</t>
  </si>
  <si>
    <t>DEWI FITRIANI </t>
  </si>
  <si>
    <t>Balita 210</t>
  </si>
  <si>
    <t>AGUS MARTIN </t>
  </si>
  <si>
    <t>Balita 211</t>
  </si>
  <si>
    <t>NURIRFAN </t>
  </si>
  <si>
    <t>Balita 212</t>
  </si>
  <si>
    <t>usman </t>
  </si>
  <si>
    <t>Balita 213</t>
  </si>
  <si>
    <t>INDAH JARWATI </t>
  </si>
  <si>
    <t>Balita 214</t>
  </si>
  <si>
    <t>Balita 215</t>
  </si>
  <si>
    <t>AZIZ DULRAHMAN </t>
  </si>
  <si>
    <t>Balita 216</t>
  </si>
  <si>
    <t>JEMI MANSUR </t>
  </si>
  <si>
    <t>Balita 217</t>
  </si>
  <si>
    <t>SUYADI </t>
  </si>
  <si>
    <t>Balita 218</t>
  </si>
  <si>
    <t>Balita 219</t>
  </si>
  <si>
    <t>Balita 220</t>
  </si>
  <si>
    <t>DAMAR </t>
  </si>
  <si>
    <t>Obesitas</t>
  </si>
  <si>
    <t>Balita 221</t>
  </si>
  <si>
    <t>AFI AMINUDIN </t>
  </si>
  <si>
    <t>Balita 222</t>
  </si>
  <si>
    <t>PRASOJO </t>
  </si>
  <si>
    <t>Balita 223</t>
  </si>
  <si>
    <t>Balita 224</t>
  </si>
  <si>
    <t>puteri rizki </t>
  </si>
  <si>
    <t>Balita 225</t>
  </si>
  <si>
    <t>ABDULLAH </t>
  </si>
  <si>
    <t>Balita 226</t>
  </si>
  <si>
    <t>anjar </t>
  </si>
  <si>
    <t>Balita 227</t>
  </si>
  <si>
    <t>Balita 228</t>
  </si>
  <si>
    <t>Balita 229</t>
  </si>
  <si>
    <t>Balita 230</t>
  </si>
  <si>
    <t>Balita 231</t>
  </si>
  <si>
    <t>Balita 232</t>
  </si>
  <si>
    <t>Balita 233</t>
  </si>
  <si>
    <t>N EKA PRASADANA </t>
  </si>
  <si>
    <t>PENGGARON KIDUL </t>
  </si>
  <si>
    <t>Balita 234</t>
  </si>
  <si>
    <t>SHOFUWAN </t>
  </si>
  <si>
    <t>Balita 235</t>
  </si>
  <si>
    <t>M TEGUH SETIAWAN </t>
  </si>
  <si>
    <t>Balita 236</t>
  </si>
  <si>
    <t>saekhudin </t>
  </si>
  <si>
    <t>Balita 237</t>
  </si>
  <si>
    <t>Balita 238</t>
  </si>
  <si>
    <t>Balita 239</t>
  </si>
  <si>
    <t>Balita 240</t>
  </si>
  <si>
    <t>Balita 241</t>
  </si>
  <si>
    <t>GANANG WIDIANTANTRA / RINA BUDIASTUTI  </t>
  </si>
  <si>
    <t>Balita 242</t>
  </si>
  <si>
    <t>Balita 243</t>
  </si>
  <si>
    <t>M. ZAINI </t>
  </si>
  <si>
    <t>Balita 244</t>
  </si>
  <si>
    <t>HENDRI KUSANDRIYANTO </t>
  </si>
  <si>
    <t>Balita 245</t>
  </si>
  <si>
    <t>Balita 246</t>
  </si>
  <si>
    <t>Balita 247</t>
  </si>
  <si>
    <t>ADIYANTO </t>
  </si>
  <si>
    <t>Balita 248</t>
  </si>
  <si>
    <t>afrian julianto </t>
  </si>
  <si>
    <t>Balita 249</t>
  </si>
  <si>
    <t>rama wirawan </t>
  </si>
  <si>
    <t>Balita 250</t>
  </si>
  <si>
    <t>kasmani </t>
  </si>
  <si>
    <t>Balita 251</t>
  </si>
  <si>
    <t>Hanif Septa Aryanto </t>
  </si>
  <si>
    <t>Balita 252</t>
  </si>
  <si>
    <t>Balita 253</t>
  </si>
  <si>
    <t>Balita 254</t>
  </si>
  <si>
    <t>Balita 255</t>
  </si>
  <si>
    <t>RIFAN SETIAWAN  </t>
  </si>
  <si>
    <t>Balita 256</t>
  </si>
  <si>
    <t>Balita 257</t>
  </si>
  <si>
    <t>Balita 258</t>
  </si>
  <si>
    <t>KHAERONI </t>
  </si>
  <si>
    <t>Balita 259</t>
  </si>
  <si>
    <t>Balita 260</t>
  </si>
  <si>
    <t>M. IFTAR </t>
  </si>
  <si>
    <t>Balita 261</t>
  </si>
  <si>
    <t>Balita 262</t>
  </si>
  <si>
    <t>Balita 263</t>
  </si>
  <si>
    <t>Balita 264</t>
  </si>
  <si>
    <t>Balita 265</t>
  </si>
  <si>
    <t>Balita 266</t>
  </si>
  <si>
    <t>Balita 267</t>
  </si>
  <si>
    <t>Balita 268</t>
  </si>
  <si>
    <t>KUSWANTO </t>
  </si>
  <si>
    <t>Balita 269</t>
  </si>
  <si>
    <t>ARIS </t>
  </si>
  <si>
    <t>Balita 270</t>
  </si>
  <si>
    <t>Balita 271</t>
  </si>
  <si>
    <t>SATRIYO ADI A </t>
  </si>
  <si>
    <t>Balita 272</t>
  </si>
  <si>
    <t>Balita 273</t>
  </si>
  <si>
    <t>FATUR </t>
  </si>
  <si>
    <t>Balita 274</t>
  </si>
  <si>
    <t>revi k. </t>
  </si>
  <si>
    <t>Balita 275</t>
  </si>
  <si>
    <t>RIFAN SETIAWAN </t>
  </si>
  <si>
    <t>Balita 276</t>
  </si>
  <si>
    <t>AGUS NURJIONO </t>
  </si>
  <si>
    <t>Balita 277</t>
  </si>
  <si>
    <t>WAWAN </t>
  </si>
  <si>
    <t>Balita 278</t>
  </si>
  <si>
    <t>HIDAYATULLAH </t>
  </si>
  <si>
    <t>Balita 279</t>
  </si>
  <si>
    <t>ARIEF </t>
  </si>
  <si>
    <t>Balita 280</t>
  </si>
  <si>
    <t>FADIL ASROR </t>
  </si>
  <si>
    <t>Balita 281</t>
  </si>
  <si>
    <t>MUTIARA NOOR WIDIASHRI </t>
  </si>
  <si>
    <t>Balita 282</t>
  </si>
  <si>
    <t>ALI SUKRON </t>
  </si>
  <si>
    <t>Balita 283</t>
  </si>
  <si>
    <t>AGUS SRIYANTO </t>
  </si>
  <si>
    <t>Balita 284</t>
  </si>
  <si>
    <t>Balita 285</t>
  </si>
  <si>
    <t>Balita 286</t>
  </si>
  <si>
    <t>Balita 287</t>
  </si>
  <si>
    <t>Balita 288</t>
  </si>
  <si>
    <t>imam </t>
  </si>
  <si>
    <t>Balita 289</t>
  </si>
  <si>
    <t>IMAM KUSWOYO </t>
  </si>
  <si>
    <t>Balita 290</t>
  </si>
  <si>
    <t>Balita 291</t>
  </si>
  <si>
    <t>EKO SETIAWAN </t>
  </si>
  <si>
    <t>Balita 292</t>
  </si>
  <si>
    <t>Balita 293</t>
  </si>
  <si>
    <t>RUBIATUN </t>
  </si>
  <si>
    <t>Balita 294</t>
  </si>
  <si>
    <t>Balita 295</t>
  </si>
  <si>
    <t>Nur Rofik </t>
  </si>
  <si>
    <t>Balita 296</t>
  </si>
  <si>
    <t>Ahmad Gunawan </t>
  </si>
  <si>
    <t>Balita 297</t>
  </si>
  <si>
    <t>Haryanto </t>
  </si>
  <si>
    <t>Balita 298</t>
  </si>
  <si>
    <t>Balita 299</t>
  </si>
  <si>
    <t>Ikhsan Noor Hidayat </t>
  </si>
  <si>
    <t>Balita 300</t>
  </si>
  <si>
    <t>Jumardi </t>
  </si>
  <si>
    <t>Balita 301</t>
  </si>
  <si>
    <t>CHISTINA SABNA WULANDARI </t>
  </si>
  <si>
    <t>Balita 302</t>
  </si>
  <si>
    <t>Bayu Wijianto </t>
  </si>
  <si>
    <t>Balita 303</t>
  </si>
  <si>
    <t>M Furqon Haqiqi </t>
  </si>
  <si>
    <t>Balita 304</t>
  </si>
  <si>
    <t>MASKURI </t>
  </si>
  <si>
    <t>Balita 305</t>
  </si>
  <si>
    <t>KISMIATI </t>
  </si>
  <si>
    <t>Balita 306</t>
  </si>
  <si>
    <t>M. SUHARI </t>
  </si>
  <si>
    <t>Balita 307</t>
  </si>
  <si>
    <t>WONO BASUKI </t>
  </si>
  <si>
    <t>Balita 308</t>
  </si>
  <si>
    <t>heni </t>
  </si>
  <si>
    <t>Balita 309</t>
  </si>
  <si>
    <t>Balita 310</t>
  </si>
  <si>
    <t>erina </t>
  </si>
  <si>
    <t>Balita 311</t>
  </si>
  <si>
    <t>Balita 312</t>
  </si>
  <si>
    <t>Balita 313</t>
  </si>
  <si>
    <t>abdi </t>
  </si>
  <si>
    <t>Balita 314</t>
  </si>
  <si>
    <t>Balita 315</t>
  </si>
  <si>
    <t>handoyo </t>
  </si>
  <si>
    <t>Balita 316</t>
  </si>
  <si>
    <t>Balita 317</t>
  </si>
  <si>
    <t>Balita 318</t>
  </si>
  <si>
    <t>kiswanto </t>
  </si>
  <si>
    <t>Balita 319</t>
  </si>
  <si>
    <t>SURYA N </t>
  </si>
  <si>
    <t>Balita 320</t>
  </si>
  <si>
    <t>SLAMET MARYONO </t>
  </si>
  <si>
    <t>Balita 321</t>
  </si>
  <si>
    <t>MUHAMMAD CHOIRUDDIN </t>
  </si>
  <si>
    <t>Balita 322</t>
  </si>
  <si>
    <t>Balita 323</t>
  </si>
  <si>
    <t>Balita 324</t>
  </si>
  <si>
    <t>AHMAD KHOIRUR ROKHIM </t>
  </si>
  <si>
    <t>Balita 325</t>
  </si>
  <si>
    <t>FATUROHMAN </t>
  </si>
  <si>
    <t>Balita 326</t>
  </si>
  <si>
    <t>saikun </t>
  </si>
  <si>
    <t>Balita 327</t>
  </si>
  <si>
    <t>SITI MAONAH / FANDHOLIR </t>
  </si>
  <si>
    <t>Balita 328</t>
  </si>
  <si>
    <t>Balita 329</t>
  </si>
  <si>
    <t>AHMAD NAIM </t>
  </si>
  <si>
    <t>Balita 330</t>
  </si>
  <si>
    <t>CHUSNUL CHULUQ </t>
  </si>
  <si>
    <t>Balita 331</t>
  </si>
  <si>
    <t>BAYU APRIL SETIANTO </t>
  </si>
  <si>
    <t>Balita 332</t>
  </si>
  <si>
    <t>FENDI PRANATA </t>
  </si>
  <si>
    <t>Balita 333</t>
  </si>
  <si>
    <t>Balita 334</t>
  </si>
  <si>
    <t>ASMUI </t>
  </si>
  <si>
    <t>Balita 335</t>
  </si>
  <si>
    <t>ZUBAIDI </t>
  </si>
  <si>
    <t>Balita 336</t>
  </si>
  <si>
    <t>Jouhar </t>
  </si>
  <si>
    <t>Balita 337</t>
  </si>
  <si>
    <t>deny suryanata </t>
  </si>
  <si>
    <t>Balita 338</t>
  </si>
  <si>
    <t>TRI FEBRIYANTO </t>
  </si>
  <si>
    <t>Balita 339</t>
  </si>
  <si>
    <t>DAVID R. </t>
  </si>
  <si>
    <t>Balita 340</t>
  </si>
  <si>
    <t>DANI MUSTOFA </t>
  </si>
  <si>
    <t>Balita 341</t>
  </si>
  <si>
    <t>GERRYS GUSFIANO ROLIANSYAH </t>
  </si>
  <si>
    <t>Balita 342</t>
  </si>
  <si>
    <t>m rusli </t>
  </si>
  <si>
    <t>Balita 343</t>
  </si>
  <si>
    <t>TEGUH SUNARJO </t>
  </si>
  <si>
    <t>Balita 344</t>
  </si>
  <si>
    <t>ILYAS </t>
  </si>
  <si>
    <t>Balita 345</t>
  </si>
  <si>
    <t>PARYONO </t>
  </si>
  <si>
    <t>Balita 346</t>
  </si>
  <si>
    <t>FENDI ANDREAS HANAFI </t>
  </si>
  <si>
    <t>Balita 347</t>
  </si>
  <si>
    <t>DEDY </t>
  </si>
  <si>
    <t>Balita 348</t>
  </si>
  <si>
    <t>KHAIRUL AZMI </t>
  </si>
  <si>
    <t>Balita 349</t>
  </si>
  <si>
    <t>septa muda </t>
  </si>
  <si>
    <t>Balita 350</t>
  </si>
  <si>
    <t>Balita 351</t>
  </si>
  <si>
    <t>tomi jayadi </t>
  </si>
  <si>
    <t>Balita 352</t>
  </si>
  <si>
    <t>Balita 353</t>
  </si>
  <si>
    <t>SONY N. </t>
  </si>
  <si>
    <t>Balita 354</t>
  </si>
  <si>
    <t>M. SEPTIAN IKHWANTO </t>
  </si>
  <si>
    <t>Balita 355</t>
  </si>
  <si>
    <t>ANDI TRI A </t>
  </si>
  <si>
    <t>Balita 356</t>
  </si>
  <si>
    <t>syamsu n </t>
  </si>
  <si>
    <t>Balita 357</t>
  </si>
  <si>
    <t>sutriyono </t>
  </si>
  <si>
    <t>Balita 358</t>
  </si>
  <si>
    <t>suharwanto </t>
  </si>
  <si>
    <t>Balita 359</t>
  </si>
  <si>
    <t>DWI NOVIANTO </t>
  </si>
  <si>
    <t>Balita 360</t>
  </si>
  <si>
    <t>didik cahyono </t>
  </si>
  <si>
    <t>Balita 361</t>
  </si>
  <si>
    <t>Balita 362</t>
  </si>
  <si>
    <t>hermawan </t>
  </si>
  <si>
    <t>Balita 363</t>
  </si>
  <si>
    <t>Balita 364</t>
  </si>
  <si>
    <t>ILHAM TEGUH </t>
  </si>
  <si>
    <t>Balita 365</t>
  </si>
  <si>
    <t>Beita </t>
  </si>
  <si>
    <t>Balita 366</t>
  </si>
  <si>
    <t>IWAN S. </t>
  </si>
  <si>
    <t>Balita 367</t>
  </si>
  <si>
    <t>YOGA R. </t>
  </si>
  <si>
    <t>Balita 368</t>
  </si>
  <si>
    <t>Balita 369</t>
  </si>
  <si>
    <t>Balita 370</t>
  </si>
  <si>
    <t>ARIYANTI </t>
  </si>
  <si>
    <t>Balita 371</t>
  </si>
  <si>
    <t>Balita 372</t>
  </si>
  <si>
    <t>Balita 373</t>
  </si>
  <si>
    <t>Balita 374</t>
  </si>
  <si>
    <t>NURUL </t>
  </si>
  <si>
    <t>Balita 375</t>
  </si>
  <si>
    <t>Balita 376</t>
  </si>
  <si>
    <t>KURNIAWAN </t>
  </si>
  <si>
    <t>Balita 377</t>
  </si>
  <si>
    <t>AGUS </t>
  </si>
  <si>
    <t>Balita 378</t>
  </si>
  <si>
    <t>KHAMDI BAGAS ARDHIANTO </t>
  </si>
  <si>
    <t>Balita 379</t>
  </si>
  <si>
    <t>ZAENWAR ARIF WIBOWO </t>
  </si>
  <si>
    <t>Balita 380</t>
  </si>
  <si>
    <t>M SUPRIYANTO </t>
  </si>
  <si>
    <t>Balita 381</t>
  </si>
  <si>
    <t>EDHO ANGGIE SAPUTRA </t>
  </si>
  <si>
    <t>Balita 382</t>
  </si>
  <si>
    <t>MUHAMAD DWI M </t>
  </si>
  <si>
    <t>Balita 383</t>
  </si>
  <si>
    <t>JOKO YULIANTO </t>
  </si>
  <si>
    <t>Balita 384</t>
  </si>
  <si>
    <t>MUCHLISIN </t>
  </si>
  <si>
    <t>Balita 385</t>
  </si>
  <si>
    <t>M. ALIF HAFIZH SHIDQI </t>
  </si>
  <si>
    <t>Balita 386</t>
  </si>
  <si>
    <t>YOGIE </t>
  </si>
  <si>
    <t>Balita 387</t>
  </si>
  <si>
    <t>RISTIAWAN </t>
  </si>
  <si>
    <t>Balita 388</t>
  </si>
  <si>
    <t>TURMUDI </t>
  </si>
  <si>
    <t>Balita 389</t>
  </si>
  <si>
    <t>Balita 390</t>
  </si>
  <si>
    <t>FAJAR </t>
  </si>
  <si>
    <t>Balita 391</t>
  </si>
  <si>
    <t>BENY ARYA IRAWAN </t>
  </si>
  <si>
    <t>Balita 392</t>
  </si>
  <si>
    <t>Balita 393</t>
  </si>
  <si>
    <t>JOKO HARY P. </t>
  </si>
  <si>
    <t>Balita 394</t>
  </si>
  <si>
    <t>Balita 395</t>
  </si>
  <si>
    <t>BAYU TRISETYO </t>
  </si>
  <si>
    <t>Balita 396</t>
  </si>
  <si>
    <t>LUQMAN RIFAI MAHMUD </t>
  </si>
  <si>
    <t>Balita 397</t>
  </si>
  <si>
    <t>DENNY </t>
  </si>
  <si>
    <t>Balita 398</t>
  </si>
  <si>
    <t>SUWARTI </t>
  </si>
  <si>
    <t>Balita 399</t>
  </si>
  <si>
    <t>SETYO ADI P </t>
  </si>
  <si>
    <t>Balita 400</t>
  </si>
  <si>
    <t>yuda </t>
  </si>
  <si>
    <t>Balita 401</t>
  </si>
  <si>
    <t>M. SAYUTI </t>
  </si>
  <si>
    <t>Balita 402</t>
  </si>
  <si>
    <t>ACHMADUN </t>
  </si>
  <si>
    <t>Balita 403</t>
  </si>
  <si>
    <t>ABDUL GOFUR </t>
  </si>
  <si>
    <t>Balita 404</t>
  </si>
  <si>
    <t>DANNY </t>
  </si>
  <si>
    <t>Balita 405</t>
  </si>
  <si>
    <t>DANAR </t>
  </si>
  <si>
    <t>Balita 406</t>
  </si>
  <si>
    <t>HERU </t>
  </si>
  <si>
    <t>Balita 407</t>
  </si>
  <si>
    <t>SISWANTO </t>
  </si>
  <si>
    <t>Balita 408</t>
  </si>
  <si>
    <t>Balita 409</t>
  </si>
  <si>
    <t>Balita 410</t>
  </si>
  <si>
    <t>Balita 411</t>
  </si>
  <si>
    <t>Balita 412</t>
  </si>
  <si>
    <t>MUKTOHARUN </t>
  </si>
  <si>
    <t>Balita 413</t>
  </si>
  <si>
    <t>SUKOCO </t>
  </si>
  <si>
    <t>Balita 414</t>
  </si>
  <si>
    <t>ZULY SETIOBUDI </t>
  </si>
  <si>
    <t>Balita 415</t>
  </si>
  <si>
    <t>NOVA DWI PRASETYO </t>
  </si>
  <si>
    <t>Balita 416</t>
  </si>
  <si>
    <t>MUHAMAD ULFI </t>
  </si>
  <si>
    <t>Balita 417</t>
  </si>
  <si>
    <t>AFIFAH RIZQIANA </t>
  </si>
  <si>
    <t>Balita 418</t>
  </si>
  <si>
    <t>DARMAWAN </t>
  </si>
  <si>
    <t>Balita 419</t>
  </si>
  <si>
    <t>moh juari </t>
  </si>
  <si>
    <t>Balita 420</t>
  </si>
  <si>
    <t>Balita 421</t>
  </si>
  <si>
    <t>Balita 422</t>
  </si>
  <si>
    <t>GENI TANTONO </t>
  </si>
  <si>
    <t>Balita 423</t>
  </si>
  <si>
    <t>didik tri ariyanto </t>
  </si>
  <si>
    <t>Balita 424</t>
  </si>
  <si>
    <t>SAEFUL </t>
  </si>
  <si>
    <t>Balita 425</t>
  </si>
  <si>
    <t>Balita 426</t>
  </si>
  <si>
    <t>Balita 427</t>
  </si>
  <si>
    <t>Balita 428</t>
  </si>
  <si>
    <t>AGUS DARMAWAN </t>
  </si>
  <si>
    <t>Balita 429</t>
  </si>
  <si>
    <t>Balita 430</t>
  </si>
  <si>
    <t>SUPRIYONO </t>
  </si>
  <si>
    <t>Balita 431</t>
  </si>
  <si>
    <t>SITI ZAENATUN </t>
  </si>
  <si>
    <t>Balita 432</t>
  </si>
  <si>
    <t>SITI CHOIRIYAH </t>
  </si>
  <si>
    <t>Balita 433</t>
  </si>
  <si>
    <t>SITI AZAH </t>
  </si>
  <si>
    <t>Balita 434</t>
  </si>
  <si>
    <t>SUNARIYAH </t>
  </si>
  <si>
    <t>Balita 435</t>
  </si>
  <si>
    <t>muhammad sugiarto </t>
  </si>
  <si>
    <t>Balita 436</t>
  </si>
  <si>
    <t>AFRI PUJIANTO </t>
  </si>
  <si>
    <t>Balita 437</t>
  </si>
  <si>
    <t>MUHTAROM </t>
  </si>
  <si>
    <t>Balita 438</t>
  </si>
  <si>
    <t>ari santoso </t>
  </si>
  <si>
    <t>Balita 439</t>
  </si>
  <si>
    <t>Balita 440</t>
  </si>
  <si>
    <t>SUGENG PRIHANTO </t>
  </si>
  <si>
    <t>Balita 441</t>
  </si>
  <si>
    <t>Balita 442</t>
  </si>
  <si>
    <t>Balita 443</t>
  </si>
  <si>
    <t>Balita 444</t>
  </si>
  <si>
    <t>Sutiyono </t>
  </si>
  <si>
    <t>Balita 445</t>
  </si>
  <si>
    <t>Balita 446</t>
  </si>
  <si>
    <t>Septian Widi Nugroho </t>
  </si>
  <si>
    <t>Balita 447</t>
  </si>
  <si>
    <t>Balita 448</t>
  </si>
  <si>
    <t>Nurdiansyah </t>
  </si>
  <si>
    <t>Balita 449</t>
  </si>
  <si>
    <t>Balita 450</t>
  </si>
  <si>
    <t>AHMAD FARID </t>
  </si>
  <si>
    <t>Balita 451</t>
  </si>
  <si>
    <t>Balita 452</t>
  </si>
  <si>
    <t>MACHRUSIN </t>
  </si>
  <si>
    <t>Balita 453</t>
  </si>
  <si>
    <t>SRIYANTO </t>
  </si>
  <si>
    <t>Balita 454</t>
  </si>
  <si>
    <t>AHMAD FIRMAN </t>
  </si>
  <si>
    <t>Balita 455</t>
  </si>
  <si>
    <t>ACHMAD SOLIKIN </t>
  </si>
  <si>
    <t>Balita 456</t>
  </si>
  <si>
    <t>EKO PRASTIYO </t>
  </si>
  <si>
    <t>Balita 457</t>
  </si>
  <si>
    <t>EDI </t>
  </si>
  <si>
    <t>Balita 458</t>
  </si>
  <si>
    <t>KHABIB ABDUL ROHMAN </t>
  </si>
  <si>
    <t>Balita 459</t>
  </si>
  <si>
    <t>PRIHATIN </t>
  </si>
  <si>
    <t>Balita 460</t>
  </si>
  <si>
    <t>Zaenal Arifin </t>
  </si>
  <si>
    <t>Balita 461</t>
  </si>
  <si>
    <t>Rojab Kurniawan </t>
  </si>
  <si>
    <t>Balita 462</t>
  </si>
  <si>
    <t>Fandi Ahmad Husain </t>
  </si>
  <si>
    <t>Balita 463</t>
  </si>
  <si>
    <t>ADITYA KURNIAWAN </t>
  </si>
  <si>
    <t>Balita 464</t>
  </si>
  <si>
    <t>IMAM GOzALI </t>
  </si>
  <si>
    <t>Balita 465</t>
  </si>
  <si>
    <t>KHAFIDHON </t>
  </si>
  <si>
    <t>Balita 466</t>
  </si>
  <si>
    <t>Balita 467</t>
  </si>
  <si>
    <t>Balita 468</t>
  </si>
  <si>
    <t>Balita 469</t>
  </si>
  <si>
    <t>Balita 470</t>
  </si>
  <si>
    <t>Balita 471</t>
  </si>
  <si>
    <t>Balita 472</t>
  </si>
  <si>
    <t>RIBUT </t>
  </si>
  <si>
    <t>Balita 473</t>
  </si>
  <si>
    <t>Balita 474</t>
  </si>
  <si>
    <t>SONY CAHYO GUMILAR </t>
  </si>
  <si>
    <t>Balita 475</t>
  </si>
  <si>
    <t>anton swarsono </t>
  </si>
  <si>
    <t>Balita 476</t>
  </si>
  <si>
    <t>Balita 477</t>
  </si>
  <si>
    <t>Balita 478</t>
  </si>
  <si>
    <t>Balita 479</t>
  </si>
  <si>
    <t>Balita 480</t>
  </si>
  <si>
    <t>Balita 481</t>
  </si>
  <si>
    <t>Balita 482</t>
  </si>
  <si>
    <t>Balita 483</t>
  </si>
  <si>
    <t>rizal </t>
  </si>
  <si>
    <t>Balita 484</t>
  </si>
  <si>
    <t>dimas </t>
  </si>
  <si>
    <t>Balita 485</t>
  </si>
  <si>
    <t>1 tahun</t>
  </si>
  <si>
    <t>Balita 486</t>
  </si>
  <si>
    <t>BAYU APRIL SETYANTO </t>
  </si>
  <si>
    <t>Balita 487</t>
  </si>
  <si>
    <t>Balita 488</t>
  </si>
  <si>
    <t>Balita 489</t>
  </si>
  <si>
    <t>Balita 490</t>
  </si>
  <si>
    <t>devia/septyan </t>
  </si>
  <si>
    <t>Balita 491</t>
  </si>
  <si>
    <t>JELLI SETIAWATI </t>
  </si>
  <si>
    <t>Balita 492</t>
  </si>
  <si>
    <t>suyono </t>
  </si>
  <si>
    <t>Balita 493</t>
  </si>
  <si>
    <t>Balita 494</t>
  </si>
  <si>
    <t>mauli pramudia </t>
  </si>
  <si>
    <t>Balita 495</t>
  </si>
  <si>
    <t>Balita 496</t>
  </si>
  <si>
    <t>Balita 497</t>
  </si>
  <si>
    <t>ARI H </t>
  </si>
  <si>
    <t>Balita 498</t>
  </si>
  <si>
    <t>RONY </t>
  </si>
  <si>
    <t>Balita 499</t>
  </si>
  <si>
    <t>Balita 500</t>
  </si>
  <si>
    <t>HERI SULISTIYONO </t>
  </si>
  <si>
    <t>Balita 501</t>
  </si>
  <si>
    <t>Balita 502</t>
  </si>
  <si>
    <t>Balita 503</t>
  </si>
  <si>
    <t>SHOKHEH REZKI RAKHMAWAN </t>
  </si>
  <si>
    <t>Balita 504</t>
  </si>
  <si>
    <t>Balita 505</t>
  </si>
  <si>
    <t>Balita 506</t>
  </si>
  <si>
    <t>OCKY </t>
  </si>
  <si>
    <t>Balita 507</t>
  </si>
  <si>
    <t>RICKY </t>
  </si>
  <si>
    <t>Balita 508</t>
  </si>
  <si>
    <t>Balita 509</t>
  </si>
  <si>
    <t>BAGUS ARDI SAPUTRA </t>
  </si>
  <si>
    <t>Balita 510</t>
  </si>
  <si>
    <t>Balita 511</t>
  </si>
  <si>
    <t>Balita 512</t>
  </si>
  <si>
    <t>ASHADI </t>
  </si>
  <si>
    <t>Balita 513</t>
  </si>
  <si>
    <t>Balita 514</t>
  </si>
  <si>
    <t>Balita 515</t>
  </si>
  <si>
    <t>Balita 516</t>
  </si>
  <si>
    <t>BAGUS ARDI S. </t>
  </si>
  <si>
    <t>Balita 517</t>
  </si>
  <si>
    <t>AHMAT ROHKMATUSSAIRIL ANWAR </t>
  </si>
  <si>
    <t>Balita 518</t>
  </si>
  <si>
    <t>SUTARNO </t>
  </si>
  <si>
    <t>Balita 519</t>
  </si>
  <si>
    <t>Balita 520</t>
  </si>
  <si>
    <t>fadhila rizka </t>
  </si>
  <si>
    <t>Balita 521</t>
  </si>
  <si>
    <t>ANGGA PRANANDA </t>
  </si>
  <si>
    <t>Balita 522</t>
  </si>
  <si>
    <t>ALDY </t>
  </si>
  <si>
    <t>Balita 523</t>
  </si>
  <si>
    <t>AGUS IKWANTO / SURTIANINGSIH </t>
  </si>
  <si>
    <t>Balita 524</t>
  </si>
  <si>
    <t>Balita 525</t>
  </si>
  <si>
    <t>Balita 526</t>
  </si>
  <si>
    <t>Balita 527</t>
  </si>
  <si>
    <t>Balita 528</t>
  </si>
  <si>
    <t>ADI BASKORO </t>
  </si>
  <si>
    <t>Balita 529</t>
  </si>
  <si>
    <t>Balita 530</t>
  </si>
  <si>
    <t>JOKO W, </t>
  </si>
  <si>
    <t>Balita 531</t>
  </si>
  <si>
    <t>Balita 532</t>
  </si>
  <si>
    <t>Balita 533</t>
  </si>
  <si>
    <t>Balita 534</t>
  </si>
  <si>
    <t>Balita 535</t>
  </si>
  <si>
    <t>Balita 536</t>
  </si>
  <si>
    <t>Balita 537</t>
  </si>
  <si>
    <t>Balita 538</t>
  </si>
  <si>
    <t>wahyu nugroho </t>
  </si>
  <si>
    <t>Balita 539</t>
  </si>
  <si>
    <t>AMAT GUNAWAN / EVI MAIS </t>
  </si>
  <si>
    <t>Balita 540</t>
  </si>
  <si>
    <t>AGUS SAHLAN / ERAWATI </t>
  </si>
  <si>
    <t>Balita 541</t>
  </si>
  <si>
    <t>HERWANSYAH / IDA </t>
  </si>
  <si>
    <t>Balita 542</t>
  </si>
  <si>
    <t>SYAIUN M HAIDAR </t>
  </si>
  <si>
    <t>Balita 543</t>
  </si>
  <si>
    <t>Balita 544</t>
  </si>
  <si>
    <t>novi hermawan </t>
  </si>
  <si>
    <t>Balita 545</t>
  </si>
  <si>
    <t>Balita 546</t>
  </si>
  <si>
    <t>Balita 547</t>
  </si>
  <si>
    <t>Balita 548</t>
  </si>
  <si>
    <t>Balita 549</t>
  </si>
  <si>
    <t>Balita 550</t>
  </si>
  <si>
    <t>Adi Dwi Cahyo Utomo </t>
  </si>
  <si>
    <t>Balita 551</t>
  </si>
  <si>
    <t>Wardiyono </t>
  </si>
  <si>
    <t>Balita 552</t>
  </si>
  <si>
    <t>MUSLIHIN </t>
  </si>
  <si>
    <t>Balita 553</t>
  </si>
  <si>
    <t>slamet </t>
  </si>
  <si>
    <t>Balita 554</t>
  </si>
  <si>
    <t>dimas prasetyo </t>
  </si>
  <si>
    <t>Balita 555</t>
  </si>
  <si>
    <t>tubagus dwi septiaji </t>
  </si>
  <si>
    <t>Balita 556</t>
  </si>
  <si>
    <t>Balita 557</t>
  </si>
  <si>
    <t>Balita 558</t>
  </si>
  <si>
    <t>Balita 559</t>
  </si>
  <si>
    <t>Balita 560</t>
  </si>
  <si>
    <t>Balita 561</t>
  </si>
  <si>
    <t>Balita 562</t>
  </si>
  <si>
    <t>Balita 563</t>
  </si>
  <si>
    <t>Balita 564</t>
  </si>
  <si>
    <t>dadi ari siswono </t>
  </si>
  <si>
    <t>Balita 565</t>
  </si>
  <si>
    <t>Balita 566</t>
  </si>
  <si>
    <t>Balita 567</t>
  </si>
  <si>
    <t>Balita 568</t>
  </si>
  <si>
    <t>Balita 569</t>
  </si>
  <si>
    <t>Balita 570</t>
  </si>
  <si>
    <t>Balita 571</t>
  </si>
  <si>
    <t>Balita 572</t>
  </si>
  <si>
    <t>Balita 573</t>
  </si>
  <si>
    <t>Balita 574</t>
  </si>
  <si>
    <t>Balita 575</t>
  </si>
  <si>
    <t>yudi iswanto </t>
  </si>
  <si>
    <t>Balita 576</t>
  </si>
  <si>
    <t>JUMIYATI SIWY </t>
  </si>
  <si>
    <t>Balita 577</t>
  </si>
  <si>
    <t>MUSLIMIN </t>
  </si>
  <si>
    <t>Balita 578</t>
  </si>
  <si>
    <t>Balita 579</t>
  </si>
  <si>
    <t>ponco wahyudi </t>
  </si>
  <si>
    <t>Balita 580</t>
  </si>
  <si>
    <t>Balita 581</t>
  </si>
  <si>
    <t>DEDI SUPRIYANTO </t>
  </si>
  <si>
    <t>Balita 582</t>
  </si>
  <si>
    <t>Balita 583</t>
  </si>
  <si>
    <t>Balita 584</t>
  </si>
  <si>
    <t>Balita 585</t>
  </si>
  <si>
    <t>Balita 586</t>
  </si>
  <si>
    <t>Balita 587</t>
  </si>
  <si>
    <t>Balita 588</t>
  </si>
  <si>
    <t>satria dyan kurniawan </t>
  </si>
  <si>
    <t>Balita 589</t>
  </si>
  <si>
    <t>Balita 590</t>
  </si>
  <si>
    <t>REZA RESTU PERMADI </t>
  </si>
  <si>
    <t>Balita 591</t>
  </si>
  <si>
    <t>ARI BAYU </t>
  </si>
  <si>
    <t>Balita 592</t>
  </si>
  <si>
    <t>rizal c </t>
  </si>
  <si>
    <t>Balita 593</t>
  </si>
  <si>
    <t>Balita 594</t>
  </si>
  <si>
    <t>Balita 595</t>
  </si>
  <si>
    <t>Balita 596</t>
  </si>
  <si>
    <t>Balita 597</t>
  </si>
  <si>
    <t>Balita 598</t>
  </si>
  <si>
    <t>Balita 599</t>
  </si>
  <si>
    <t>Balita 600</t>
  </si>
  <si>
    <t>Balita 601</t>
  </si>
  <si>
    <t>Balita 602</t>
  </si>
  <si>
    <t>Balita 603</t>
  </si>
  <si>
    <t>Balita 604</t>
  </si>
  <si>
    <t>Balita 605</t>
  </si>
  <si>
    <t>Balita 606</t>
  </si>
  <si>
    <t>Balita 607</t>
  </si>
  <si>
    <t>Balita 608</t>
  </si>
  <si>
    <t>Muhamad Bukhori </t>
  </si>
  <si>
    <t>Balita 609</t>
  </si>
  <si>
    <t>Balita 610</t>
  </si>
  <si>
    <t>SUDARMADI </t>
  </si>
  <si>
    <t>Balita 611</t>
  </si>
  <si>
    <t>Balita 612</t>
  </si>
  <si>
    <t>SLAMET SHOLIKIN </t>
  </si>
  <si>
    <t>Balita 613</t>
  </si>
  <si>
    <t>NURUL IRMA </t>
  </si>
  <si>
    <t>Balita 614</t>
  </si>
  <si>
    <t>Balita 615</t>
  </si>
  <si>
    <t>Balita 616</t>
  </si>
  <si>
    <t>Balita 617</t>
  </si>
  <si>
    <t>suni </t>
  </si>
  <si>
    <t>Balita 618</t>
  </si>
  <si>
    <t>Balita 619</t>
  </si>
  <si>
    <t>Balita 620</t>
  </si>
  <si>
    <t>Balita 621</t>
  </si>
  <si>
    <t>Balita 622</t>
  </si>
  <si>
    <t>Agil Ponco </t>
  </si>
  <si>
    <t>Balita 623</t>
  </si>
  <si>
    <t>Balita 624</t>
  </si>
  <si>
    <t>TOLIK WIDODO </t>
  </si>
  <si>
    <t>Balita 625</t>
  </si>
  <si>
    <t>SUMARNO </t>
  </si>
  <si>
    <t>Balita 626</t>
  </si>
  <si>
    <t>Bangkit Perwira Negara </t>
  </si>
  <si>
    <t>Balita 627</t>
  </si>
  <si>
    <t>LILI SUGIATI </t>
  </si>
  <si>
    <t>Balita 628</t>
  </si>
  <si>
    <t>Fikri Azmi </t>
  </si>
  <si>
    <t>Balita 629</t>
  </si>
  <si>
    <t>ARIF </t>
  </si>
  <si>
    <t>Balita 630</t>
  </si>
  <si>
    <t>Agustinus Haryadi </t>
  </si>
  <si>
    <t>Balita 631</t>
  </si>
  <si>
    <t>Muryanto </t>
  </si>
  <si>
    <t>Balita 632</t>
  </si>
  <si>
    <t>Balita 633</t>
  </si>
  <si>
    <t>khoirun </t>
  </si>
  <si>
    <t>Balita 634</t>
  </si>
  <si>
    <t>AGUS SUSANTO </t>
  </si>
  <si>
    <t>Balita 635</t>
  </si>
  <si>
    <t>Balita 636</t>
  </si>
  <si>
    <t>Balita 637</t>
  </si>
  <si>
    <t>LIS HIDAYATI </t>
  </si>
  <si>
    <t>Balita 638</t>
  </si>
  <si>
    <t>NADHIF </t>
  </si>
  <si>
    <t>Balita 639</t>
  </si>
  <si>
    <t>Balita 640</t>
  </si>
  <si>
    <t>Balita 641</t>
  </si>
  <si>
    <t>Balita 642</t>
  </si>
  <si>
    <t>Balita 643</t>
  </si>
  <si>
    <t>Balita 644</t>
  </si>
  <si>
    <t>Balita 645</t>
  </si>
  <si>
    <t>TRI AGUS W </t>
  </si>
  <si>
    <t>Balita 646</t>
  </si>
  <si>
    <t>Balita 647</t>
  </si>
  <si>
    <t>Balita 648</t>
  </si>
  <si>
    <t>Balita 649</t>
  </si>
  <si>
    <t>Balita 650</t>
  </si>
  <si>
    <t>Balita 651</t>
  </si>
  <si>
    <t>Balita 652</t>
  </si>
  <si>
    <t>eric devanda </t>
  </si>
  <si>
    <t>Balita 653</t>
  </si>
  <si>
    <t>Balita 654</t>
  </si>
  <si>
    <t>ASYIK MUNABAH </t>
  </si>
  <si>
    <t>Balita 655</t>
  </si>
  <si>
    <t>Balita 656</t>
  </si>
  <si>
    <t>Balita 657</t>
  </si>
  <si>
    <t>Balita 658</t>
  </si>
  <si>
    <t>Balita 659</t>
  </si>
  <si>
    <t>feru cahyanto </t>
  </si>
  <si>
    <t>Balita 660</t>
  </si>
  <si>
    <t>SUROTO </t>
  </si>
  <si>
    <t>Balita 661</t>
  </si>
  <si>
    <t>Balita 662</t>
  </si>
  <si>
    <t>Balita 663</t>
  </si>
  <si>
    <t>Balita 664</t>
  </si>
  <si>
    <t>Balita 665</t>
  </si>
  <si>
    <t>Balita 666</t>
  </si>
  <si>
    <t>MUHAMMAD TAQWA P.S </t>
  </si>
  <si>
    <t>Balita 667</t>
  </si>
  <si>
    <t>Balita 668</t>
  </si>
  <si>
    <t>Balita 669</t>
  </si>
  <si>
    <t>SLAMET </t>
  </si>
  <si>
    <t>Balita 670</t>
  </si>
  <si>
    <t>Balita 671</t>
  </si>
  <si>
    <t>Balita 672</t>
  </si>
  <si>
    <t>Balita 673</t>
  </si>
  <si>
    <t>ROCHMAT CATUR RIVAI </t>
  </si>
  <si>
    <t>Balita 674</t>
  </si>
  <si>
    <t>Balita 675</t>
  </si>
  <si>
    <t>ANDRIANTO EKO PUTRO </t>
  </si>
  <si>
    <t>Balita 676</t>
  </si>
  <si>
    <t>Balita 677</t>
  </si>
  <si>
    <t>Balita 678</t>
  </si>
  <si>
    <t>Balita 679</t>
  </si>
  <si>
    <t>agung </t>
  </si>
  <si>
    <t>Balita 680</t>
  </si>
  <si>
    <t>nastain </t>
  </si>
  <si>
    <t>Balita 681</t>
  </si>
  <si>
    <t>Balita 682</t>
  </si>
  <si>
    <t>Balita 683</t>
  </si>
  <si>
    <t>JIMAN </t>
  </si>
  <si>
    <t>Balita 684</t>
  </si>
  <si>
    <t>BAYU G </t>
  </si>
  <si>
    <t>Balita 685</t>
  </si>
  <si>
    <t>PRIYO PRAMONO / SULASTRI </t>
  </si>
  <si>
    <t>Balita 686</t>
  </si>
  <si>
    <t>ANNUR DANANG M </t>
  </si>
  <si>
    <t>Balita 687</t>
  </si>
  <si>
    <t>LUKMANUL HAKIM / RATNA R.P </t>
  </si>
  <si>
    <t>Balita 688</t>
  </si>
  <si>
    <t>EKA </t>
  </si>
  <si>
    <t>Balita 689</t>
  </si>
  <si>
    <t>Balita 690</t>
  </si>
  <si>
    <t>sukimin </t>
  </si>
  <si>
    <t>Balita 691</t>
  </si>
  <si>
    <t>Balita 692</t>
  </si>
  <si>
    <t>Balita 693</t>
  </si>
  <si>
    <t>ROY </t>
  </si>
  <si>
    <t>Balita 694</t>
  </si>
  <si>
    <t>Balita 695</t>
  </si>
  <si>
    <t>Balita 696</t>
  </si>
  <si>
    <t>Balita 697</t>
  </si>
  <si>
    <t>Balita 698</t>
  </si>
  <si>
    <t>Balita 699</t>
  </si>
  <si>
    <t>MOH. SUBKHAN </t>
  </si>
  <si>
    <t>Balita 700</t>
  </si>
  <si>
    <t>DICKY APRILIATMIKO SETYAWAN </t>
  </si>
  <si>
    <t>Balita 701</t>
  </si>
  <si>
    <t>Balita 702</t>
  </si>
  <si>
    <t>hendri </t>
  </si>
  <si>
    <t>Balita 703</t>
  </si>
  <si>
    <t>Balita 704</t>
  </si>
  <si>
    <t>Balita 705</t>
  </si>
  <si>
    <t>Balita 706</t>
  </si>
  <si>
    <t>Balita 707</t>
  </si>
  <si>
    <t>Balita 708</t>
  </si>
  <si>
    <t>Balita 709</t>
  </si>
  <si>
    <t>ROMI </t>
  </si>
  <si>
    <t>Balita 710</t>
  </si>
  <si>
    <t>HERU SETIAWAN </t>
  </si>
  <si>
    <t>Balita 711</t>
  </si>
  <si>
    <t>Pungki </t>
  </si>
  <si>
    <t>Balita 712</t>
  </si>
  <si>
    <t>ZAKUL </t>
  </si>
  <si>
    <t>Balita 713</t>
  </si>
  <si>
    <t>HENDRA </t>
  </si>
  <si>
    <t>Balita 714</t>
  </si>
  <si>
    <t>Balita 715</t>
  </si>
  <si>
    <t>Balita 716</t>
  </si>
  <si>
    <t>Balita 717</t>
  </si>
  <si>
    <t>Balita 718</t>
  </si>
  <si>
    <t>Balita 719</t>
  </si>
  <si>
    <t>Balita 720</t>
  </si>
  <si>
    <t>Balita 721</t>
  </si>
  <si>
    <t>Balita 722</t>
  </si>
  <si>
    <t>Balita 723</t>
  </si>
  <si>
    <t>winda sulistyaningsih </t>
  </si>
  <si>
    <t>Balita 724</t>
  </si>
  <si>
    <t>ANDI KUSWOYO </t>
  </si>
  <si>
    <t>Balita 725</t>
  </si>
  <si>
    <t>Balita 726</t>
  </si>
  <si>
    <t>Balita 727</t>
  </si>
  <si>
    <t>Balita 728</t>
  </si>
  <si>
    <t>Balita 729</t>
  </si>
  <si>
    <t>lukman mutalib </t>
  </si>
  <si>
    <t>Balita 730</t>
  </si>
  <si>
    <t>Balita 731</t>
  </si>
  <si>
    <t>REMI YONO </t>
  </si>
  <si>
    <t>Balita 732</t>
  </si>
  <si>
    <t>Balita 733</t>
  </si>
  <si>
    <t>DARTIK ARIYANI </t>
  </si>
  <si>
    <t>Balita 734</t>
  </si>
  <si>
    <t>fatchur </t>
  </si>
  <si>
    <t>Balita 735</t>
  </si>
  <si>
    <t>m abid </t>
  </si>
  <si>
    <t>Balita 736</t>
  </si>
  <si>
    <t>ALEX ISTIYANTO </t>
  </si>
  <si>
    <t>Balita 737</t>
  </si>
  <si>
    <t>chorus </t>
  </si>
  <si>
    <t>Balita 738</t>
  </si>
  <si>
    <t>erik </t>
  </si>
  <si>
    <t>Balita 739</t>
  </si>
  <si>
    <t>YUSUF </t>
  </si>
  <si>
    <t>Balita 740</t>
  </si>
  <si>
    <t>Balita 741</t>
  </si>
  <si>
    <t>WAHYUNI/SUSANTO </t>
  </si>
  <si>
    <t>Balita 742</t>
  </si>
  <si>
    <t>VEBRU ADRIANTO </t>
  </si>
  <si>
    <t>Balita 743</t>
  </si>
  <si>
    <t>AGUS DHINI TEGUH PRASETYA </t>
  </si>
  <si>
    <t>Balita 744</t>
  </si>
  <si>
    <t>MUHAMAD ADIB </t>
  </si>
  <si>
    <t>Balita 745</t>
  </si>
  <si>
    <t>Balita 746</t>
  </si>
  <si>
    <t>ANDRIYANTO </t>
  </si>
  <si>
    <t>Balita 747</t>
  </si>
  <si>
    <t>TRI CIPTO SURYO NUSWANTORO </t>
  </si>
  <si>
    <t>Balita 748</t>
  </si>
  <si>
    <t>Balita 749</t>
  </si>
  <si>
    <t>Balita 750</t>
  </si>
  <si>
    <t>Balita 751</t>
  </si>
  <si>
    <t>NUR RAKHIM </t>
  </si>
  <si>
    <t>Balita 752</t>
  </si>
  <si>
    <t>MISKUN </t>
  </si>
  <si>
    <t>Balita 753</t>
  </si>
  <si>
    <t>ROBERTUS </t>
  </si>
  <si>
    <t>Balita 754</t>
  </si>
  <si>
    <t>Balita 755</t>
  </si>
  <si>
    <t>Balita 756</t>
  </si>
  <si>
    <t>Balita 757</t>
  </si>
  <si>
    <t>ARIF B. </t>
  </si>
  <si>
    <t>Balita 758</t>
  </si>
  <si>
    <t>eko nugroho </t>
  </si>
  <si>
    <t>Balita 759</t>
  </si>
  <si>
    <t>SABAMSAHAT </t>
  </si>
  <si>
    <t>Balita 760</t>
  </si>
  <si>
    <t>Balita 761</t>
  </si>
  <si>
    <t>Balita 762</t>
  </si>
  <si>
    <t>KRISTYANTO </t>
  </si>
  <si>
    <t>Balita 763</t>
  </si>
  <si>
    <t>YULI TRIYADI </t>
  </si>
  <si>
    <t>Balita 764</t>
  </si>
  <si>
    <t>Balita 765</t>
  </si>
  <si>
    <t>Balita 766</t>
  </si>
  <si>
    <t>Balita 767</t>
  </si>
  <si>
    <t>ANGGIT </t>
  </si>
  <si>
    <t>Balita 768</t>
  </si>
  <si>
    <t>Balita 769</t>
  </si>
  <si>
    <t>Balita 770</t>
  </si>
  <si>
    <t>Balita 771</t>
  </si>
  <si>
    <t>Balita 772</t>
  </si>
  <si>
    <t>Balita 773</t>
  </si>
  <si>
    <t>Balita 774</t>
  </si>
  <si>
    <t>FATHUN NIAM </t>
  </si>
  <si>
    <t>Balita 775</t>
  </si>
  <si>
    <t>HESTI </t>
  </si>
  <si>
    <t>Balita 776</t>
  </si>
  <si>
    <t>SEPTIANA </t>
  </si>
  <si>
    <t>Balita 777</t>
  </si>
  <si>
    <t>Balita 778</t>
  </si>
  <si>
    <t>Balita 779</t>
  </si>
  <si>
    <t>Balita 780</t>
  </si>
  <si>
    <t>Balita 781</t>
  </si>
  <si>
    <t>EVITA </t>
  </si>
  <si>
    <t>Balita 782</t>
  </si>
  <si>
    <t>Balita 783</t>
  </si>
  <si>
    <t>Balita 784</t>
  </si>
  <si>
    <t>Balita 785</t>
  </si>
  <si>
    <t>KHOIRUN </t>
  </si>
  <si>
    <t>Balita 786</t>
  </si>
  <si>
    <t>DEVYAN APRILIYANTO </t>
  </si>
  <si>
    <t>Balita 787</t>
  </si>
  <si>
    <t>BOGI WICAKSONO </t>
  </si>
  <si>
    <t>Balita 788</t>
  </si>
  <si>
    <t>edy darmawan  </t>
  </si>
  <si>
    <t>Balita 789</t>
  </si>
  <si>
    <t>Balita 790</t>
  </si>
  <si>
    <t>Balita 791</t>
  </si>
  <si>
    <t>Balita 792</t>
  </si>
  <si>
    <t>YUDIARTO </t>
  </si>
  <si>
    <t>Balita 793</t>
  </si>
  <si>
    <t>Balita 794</t>
  </si>
  <si>
    <t>Balita 795</t>
  </si>
  <si>
    <t>rafi </t>
  </si>
  <si>
    <t>Balita 796</t>
  </si>
  <si>
    <t>nur fitri </t>
  </si>
  <si>
    <t>Balita 797</t>
  </si>
  <si>
    <t>arif </t>
  </si>
  <si>
    <t>Balita 798</t>
  </si>
  <si>
    <t>Balita 799</t>
  </si>
  <si>
    <t>Balita 800</t>
  </si>
  <si>
    <t>Balita 801</t>
  </si>
  <si>
    <t>Balita 802</t>
  </si>
  <si>
    <t>Balita 803</t>
  </si>
  <si>
    <t>Balita 804</t>
  </si>
  <si>
    <t>Balita 805</t>
  </si>
  <si>
    <t>Balita 806</t>
  </si>
  <si>
    <t>Balita 807</t>
  </si>
  <si>
    <t>MUHAMMAD TASHIL </t>
  </si>
  <si>
    <t>Balita 808</t>
  </si>
  <si>
    <t>Balita 809</t>
  </si>
  <si>
    <t>ARIF RHAHMAN CHAKIM </t>
  </si>
  <si>
    <t>Balita 810</t>
  </si>
  <si>
    <t>Balita 811</t>
  </si>
  <si>
    <t>Balita 812</t>
  </si>
  <si>
    <t>sutono </t>
  </si>
  <si>
    <t>Balita 813</t>
  </si>
  <si>
    <t>Balita 814</t>
  </si>
  <si>
    <t>Sabarudin </t>
  </si>
  <si>
    <t>Balita 815</t>
  </si>
  <si>
    <t>Balita 816</t>
  </si>
  <si>
    <t>ZAENAL KUMAIDI </t>
  </si>
  <si>
    <t>Balita 817</t>
  </si>
  <si>
    <t>hasan anwar </t>
  </si>
  <si>
    <t>Balita 818</t>
  </si>
  <si>
    <t>a. toyib </t>
  </si>
  <si>
    <t>Balita 819</t>
  </si>
  <si>
    <t>Muh Rosidi </t>
  </si>
  <si>
    <t>Balita 820</t>
  </si>
  <si>
    <t>MUHAMAD JAMALLUDIN </t>
  </si>
  <si>
    <t>Balita 821</t>
  </si>
  <si>
    <t>Balita 822</t>
  </si>
  <si>
    <t>Balita 823</t>
  </si>
  <si>
    <t>Balita 824</t>
  </si>
  <si>
    <t>Balita 825</t>
  </si>
  <si>
    <t>Balita 826</t>
  </si>
  <si>
    <t>Balita 827</t>
  </si>
  <si>
    <t>Balita 828</t>
  </si>
  <si>
    <t>Balita 829</t>
  </si>
  <si>
    <t>IKA PUTRI UTAMI </t>
  </si>
  <si>
    <t>Balita 830</t>
  </si>
  <si>
    <t>Balita 831</t>
  </si>
  <si>
    <t>Balita 832</t>
  </si>
  <si>
    <t>Balita 833</t>
  </si>
  <si>
    <t>Balita 834</t>
  </si>
  <si>
    <t>Balita 835</t>
  </si>
  <si>
    <t>purnadi </t>
  </si>
  <si>
    <t>Balita 836</t>
  </si>
  <si>
    <t>NIKEN PRATIWI </t>
  </si>
  <si>
    <t>Balita 837</t>
  </si>
  <si>
    <t>WIDOWATI </t>
  </si>
  <si>
    <t>Balita 838</t>
  </si>
  <si>
    <t>Balita 839</t>
  </si>
  <si>
    <t>Balita 840</t>
  </si>
  <si>
    <t>Balita 841</t>
  </si>
  <si>
    <t>Balita 842</t>
  </si>
  <si>
    <t>Balita 843</t>
  </si>
  <si>
    <t>Balita 844</t>
  </si>
  <si>
    <t>Balita 845</t>
  </si>
  <si>
    <t>Balita 846</t>
  </si>
  <si>
    <t>Balita 847</t>
  </si>
  <si>
    <t>Balita 848</t>
  </si>
  <si>
    <t>Balita 849</t>
  </si>
  <si>
    <t>Balita 850</t>
  </si>
  <si>
    <t>Balita 851</t>
  </si>
  <si>
    <t>Balita 852</t>
  </si>
  <si>
    <t>Balita 853</t>
  </si>
  <si>
    <t>Balita 854</t>
  </si>
  <si>
    <t>Balita 855</t>
  </si>
  <si>
    <t>Balita 856</t>
  </si>
  <si>
    <t>Balita 857</t>
  </si>
  <si>
    <t>Balita 858</t>
  </si>
  <si>
    <t>Balita 859</t>
  </si>
  <si>
    <t>Balita 860</t>
  </si>
  <si>
    <t>Balita 861</t>
  </si>
  <si>
    <t>Balita 862</t>
  </si>
  <si>
    <t>Balita 863</t>
  </si>
  <si>
    <t>Balita 864</t>
  </si>
  <si>
    <t>Balita 865</t>
  </si>
  <si>
    <t>Balita 866</t>
  </si>
  <si>
    <t>Balita 867</t>
  </si>
  <si>
    <t>Balita 868</t>
  </si>
  <si>
    <t>Balita 869</t>
  </si>
  <si>
    <t>Balita 870</t>
  </si>
  <si>
    <t>Balita 871</t>
  </si>
  <si>
    <t>Balita 872</t>
  </si>
  <si>
    <t>Balita 873</t>
  </si>
  <si>
    <t>Balita 874</t>
  </si>
  <si>
    <t>FAIZA NIKEN </t>
  </si>
  <si>
    <t>Balita 875</t>
  </si>
  <si>
    <t>Balita 876</t>
  </si>
  <si>
    <t>Balita 877</t>
  </si>
  <si>
    <t>RUBIYANTO </t>
  </si>
  <si>
    <t>Balita 878</t>
  </si>
  <si>
    <t>AGUS SUTRISNO </t>
  </si>
  <si>
    <t>Balita 879</t>
  </si>
  <si>
    <t>TERRY OCTA MARENDRA </t>
  </si>
  <si>
    <t>Balita 880</t>
  </si>
  <si>
    <t>Balita 881</t>
  </si>
  <si>
    <t>Balita 882</t>
  </si>
  <si>
    <t>Balita 883</t>
  </si>
  <si>
    <t>Balita 884</t>
  </si>
  <si>
    <t>ARIES BOEDI HARYANTO </t>
  </si>
  <si>
    <t>Balita 885</t>
  </si>
  <si>
    <t>Balita 886</t>
  </si>
  <si>
    <t>Balita 887</t>
  </si>
  <si>
    <t>anisah </t>
  </si>
  <si>
    <t>Balita 888</t>
  </si>
  <si>
    <t>siti yuliyati </t>
  </si>
  <si>
    <t>Balita 889</t>
  </si>
  <si>
    <t>nova triana adriati </t>
  </si>
  <si>
    <t>Balita 890</t>
  </si>
  <si>
    <t>Balita 891</t>
  </si>
  <si>
    <t>Dwi setiawan </t>
  </si>
  <si>
    <t>Balita 892</t>
  </si>
  <si>
    <t>Sony Setiawan  </t>
  </si>
  <si>
    <t>Balita 893</t>
  </si>
  <si>
    <t>Balita 894</t>
  </si>
  <si>
    <t>Balita 895</t>
  </si>
  <si>
    <t>Balita 896</t>
  </si>
  <si>
    <t>Balita 897</t>
  </si>
  <si>
    <t>Balita 898</t>
  </si>
  <si>
    <t>Balita 899</t>
  </si>
  <si>
    <t>Balita 900</t>
  </si>
  <si>
    <t>Balita 901</t>
  </si>
  <si>
    <t>Balita 902</t>
  </si>
  <si>
    <t>Balita 903</t>
  </si>
  <si>
    <t>Balita 904</t>
  </si>
  <si>
    <t>Balita 905</t>
  </si>
  <si>
    <t>Balita 906</t>
  </si>
  <si>
    <t>Balita 907</t>
  </si>
  <si>
    <t>Balita 908</t>
  </si>
  <si>
    <t>Balita 909</t>
  </si>
  <si>
    <t>Balita 910</t>
  </si>
  <si>
    <t>Balita 911</t>
  </si>
  <si>
    <t>SUPRIYADI </t>
  </si>
  <si>
    <t>Balita 912</t>
  </si>
  <si>
    <t>ade saputra </t>
  </si>
  <si>
    <t>Balita 913</t>
  </si>
  <si>
    <t>Balita 914</t>
  </si>
  <si>
    <t>Balita 915</t>
  </si>
  <si>
    <t>Balita 916</t>
  </si>
  <si>
    <t>Balita 917</t>
  </si>
  <si>
    <t>Balita 918</t>
  </si>
  <si>
    <t>Balita 919</t>
  </si>
  <si>
    <t>Balita 920</t>
  </si>
  <si>
    <t>Balita 921</t>
  </si>
  <si>
    <t>Balita 922</t>
  </si>
  <si>
    <t>Balita 923</t>
  </si>
  <si>
    <t>Balita 924</t>
  </si>
  <si>
    <t>M. RIZKA MAFAZA/NOVIKA </t>
  </si>
  <si>
    <t>Balita 925</t>
  </si>
  <si>
    <t>OKI HERMAWAN </t>
  </si>
  <si>
    <t>Balita 926</t>
  </si>
  <si>
    <t>Balita 927</t>
  </si>
  <si>
    <t>Balita 928</t>
  </si>
  <si>
    <t>Balita 929</t>
  </si>
  <si>
    <t>Balita 930</t>
  </si>
  <si>
    <t>hadi sucipto </t>
  </si>
  <si>
    <t>Balita 931</t>
  </si>
  <si>
    <t>Balita 932</t>
  </si>
  <si>
    <t>HENDRATAMA </t>
  </si>
  <si>
    <t>Balita 933</t>
  </si>
  <si>
    <t>Balita 934</t>
  </si>
  <si>
    <t>Balita 935</t>
  </si>
  <si>
    <t>Balita 936</t>
  </si>
  <si>
    <t>Balita 937</t>
  </si>
  <si>
    <t>Balita 938</t>
  </si>
  <si>
    <t>Balita 939</t>
  </si>
  <si>
    <t>Balita 940</t>
  </si>
  <si>
    <t>Balita 941</t>
  </si>
  <si>
    <t>Balita 942</t>
  </si>
  <si>
    <t>Balita 943</t>
  </si>
  <si>
    <t>Balita 944</t>
  </si>
  <si>
    <t>intan permatasari </t>
  </si>
  <si>
    <t>Balita 945</t>
  </si>
  <si>
    <t>Balita 946</t>
  </si>
  <si>
    <t>Balita 947</t>
  </si>
  <si>
    <t>Balita 948</t>
  </si>
  <si>
    <t>Balita 949</t>
  </si>
  <si>
    <t>Balita 950</t>
  </si>
  <si>
    <t>Balita 951</t>
  </si>
  <si>
    <t>Balita 952</t>
  </si>
  <si>
    <t>Balita 953</t>
  </si>
  <si>
    <t>Balita 954</t>
  </si>
  <si>
    <t>Balita 955</t>
  </si>
  <si>
    <t>Balita 956</t>
  </si>
  <si>
    <t>Balita 957</t>
  </si>
  <si>
    <t>Balita 958</t>
  </si>
  <si>
    <t>Balita 959</t>
  </si>
  <si>
    <t>Balita 960</t>
  </si>
  <si>
    <t>Balita 961</t>
  </si>
  <si>
    <t>Balita 962</t>
  </si>
  <si>
    <t>Balita 963</t>
  </si>
  <si>
    <t>Balita 964</t>
  </si>
  <si>
    <t>Balita 965</t>
  </si>
  <si>
    <t>Balita 966</t>
  </si>
  <si>
    <t>Balita 967</t>
  </si>
  <si>
    <t>Balita 968</t>
  </si>
  <si>
    <t>Balita 969</t>
  </si>
  <si>
    <t>Balita 970</t>
  </si>
  <si>
    <t>Balita 971</t>
  </si>
  <si>
    <t>Balita 972</t>
  </si>
  <si>
    <t>ELY WISNU BAHTIAR </t>
  </si>
  <si>
    <t>Balita 973</t>
  </si>
  <si>
    <t>Balita 974</t>
  </si>
  <si>
    <t>Balita 975</t>
  </si>
  <si>
    <t>Balita 976</t>
  </si>
  <si>
    <t>Balita 977</t>
  </si>
  <si>
    <t>Balita 978</t>
  </si>
  <si>
    <t>Balita 979</t>
  </si>
  <si>
    <t>YUWONO </t>
  </si>
  <si>
    <t>Balita 980</t>
  </si>
  <si>
    <t>Balita 981</t>
  </si>
  <si>
    <t>Balita 982</t>
  </si>
  <si>
    <t>Balita 983</t>
  </si>
  <si>
    <t>FERI SAFIQU A </t>
  </si>
  <si>
    <t>Balita 984</t>
  </si>
  <si>
    <t>Balita 985</t>
  </si>
  <si>
    <t>Balita 986</t>
  </si>
  <si>
    <t>Balita 987</t>
  </si>
  <si>
    <t>Balita 988</t>
  </si>
  <si>
    <t>Balita 989</t>
  </si>
  <si>
    <t>HENDRI RASMINTO </t>
  </si>
  <si>
    <t>Balita 990</t>
  </si>
  <si>
    <t>Balita 991</t>
  </si>
  <si>
    <t>Balita 992</t>
  </si>
  <si>
    <t>Balita 993</t>
  </si>
  <si>
    <t>Balita 994</t>
  </si>
  <si>
    <t>Balita 995</t>
  </si>
  <si>
    <t>Balita 996</t>
  </si>
  <si>
    <t>Balita 997</t>
  </si>
  <si>
    <t>Balita 998</t>
  </si>
  <si>
    <t>Balita 999</t>
  </si>
  <si>
    <t>Balita 1000</t>
  </si>
  <si>
    <t>Balita 1001</t>
  </si>
  <si>
    <t>Balita 1002</t>
  </si>
  <si>
    <t>Balita 1003</t>
  </si>
  <si>
    <t>Balita 1004</t>
  </si>
  <si>
    <t>Balita 1005</t>
  </si>
  <si>
    <t>Balita 1006</t>
  </si>
  <si>
    <t>Balita 1007</t>
  </si>
  <si>
    <t>Balita 1008</t>
  </si>
  <si>
    <t>Balita 1009</t>
  </si>
  <si>
    <t>Balita 1010</t>
  </si>
  <si>
    <t>Balita 1011</t>
  </si>
  <si>
    <t>Balita 1012</t>
  </si>
  <si>
    <t>Balita 1013</t>
  </si>
  <si>
    <t>Balita 1014</t>
  </si>
  <si>
    <t>Balita 1015</t>
  </si>
  <si>
    <t>Balita 1016</t>
  </si>
  <si>
    <t>Balita 1017</t>
  </si>
  <si>
    <t>Balita 1018</t>
  </si>
  <si>
    <t>Balita 1019</t>
  </si>
  <si>
    <t>Balita 1020</t>
  </si>
  <si>
    <t>Taufiq </t>
  </si>
  <si>
    <t>Balita 1021</t>
  </si>
  <si>
    <t>Balita 1022</t>
  </si>
  <si>
    <t>MUSTOFA </t>
  </si>
  <si>
    <t>Balita 1023</t>
  </si>
  <si>
    <t>Balita 1024</t>
  </si>
  <si>
    <t>HABIB </t>
  </si>
  <si>
    <t>Balita 1025</t>
  </si>
  <si>
    <t>Balita 1026</t>
  </si>
  <si>
    <t>Balita 1027</t>
  </si>
  <si>
    <t>Balita 1028</t>
  </si>
  <si>
    <t>Balita 1029</t>
  </si>
  <si>
    <t>LUTFI/AMBAR </t>
  </si>
  <si>
    <t>Balita 1030</t>
  </si>
  <si>
    <t>ibnu </t>
  </si>
  <si>
    <t>Balita 1031</t>
  </si>
  <si>
    <t>HENDRO </t>
  </si>
  <si>
    <t>Balita 1032</t>
  </si>
  <si>
    <t>Balita 1033</t>
  </si>
  <si>
    <t>Balita 1034</t>
  </si>
  <si>
    <t>eddra darma putra </t>
  </si>
  <si>
    <t>Balita 1035</t>
  </si>
  <si>
    <t>Balita 1036</t>
  </si>
  <si>
    <t>Balita 1037</t>
  </si>
  <si>
    <t>risas fauzi </t>
  </si>
  <si>
    <t>Balita 1038</t>
  </si>
  <si>
    <t>JATMIKO </t>
  </si>
  <si>
    <t>Balita 1039</t>
  </si>
  <si>
    <t>Balita 1040</t>
  </si>
  <si>
    <t>NURUL HUDA </t>
  </si>
  <si>
    <t>Balita 1041</t>
  </si>
  <si>
    <t>Balita 1042</t>
  </si>
  <si>
    <t>TEGUH HARI PRAYOGO </t>
  </si>
  <si>
    <t>Balita 1043</t>
  </si>
  <si>
    <t>Balita 1044</t>
  </si>
  <si>
    <t>Balita 1045</t>
  </si>
  <si>
    <t>Balita 1046</t>
  </si>
  <si>
    <t>Balita 1047</t>
  </si>
  <si>
    <t>Balita 1048</t>
  </si>
  <si>
    <t>Balita 1049</t>
  </si>
  <si>
    <t>Balita 1050</t>
  </si>
  <si>
    <t>Balita 1051</t>
  </si>
  <si>
    <t>Balita 1052</t>
  </si>
  <si>
    <t>Balita 1053</t>
  </si>
  <si>
    <t>Balita 1054</t>
  </si>
  <si>
    <t>Balita 1055</t>
  </si>
  <si>
    <t>Balita 1056</t>
  </si>
  <si>
    <t>Balita 1057</t>
  </si>
  <si>
    <t>Balita 1058</t>
  </si>
  <si>
    <t>Balita 1059</t>
  </si>
  <si>
    <t>Balita 1060</t>
  </si>
  <si>
    <t>Balita 1061</t>
  </si>
  <si>
    <t>Balita 1062</t>
  </si>
  <si>
    <t>Balita 1063</t>
  </si>
  <si>
    <t>Balita 1064</t>
  </si>
  <si>
    <t>Balita 1065</t>
  </si>
  <si>
    <t>Balita 1066</t>
  </si>
  <si>
    <t>FATMAWATI MUNIR </t>
  </si>
  <si>
    <t>Balita 1067</t>
  </si>
  <si>
    <t>Balita 1068</t>
  </si>
  <si>
    <t>Balita 1069</t>
  </si>
  <si>
    <t>ALI MUNAWAR </t>
  </si>
  <si>
    <t>Balita 1070</t>
  </si>
  <si>
    <t>Balita 1071</t>
  </si>
  <si>
    <t>Balita 1072</t>
  </si>
  <si>
    <t>Balita 1073</t>
  </si>
  <si>
    <t>Balita 1074</t>
  </si>
  <si>
    <t>Balita 1075</t>
  </si>
  <si>
    <t>Balita 1076</t>
  </si>
  <si>
    <t>noer </t>
  </si>
  <si>
    <t>Balita 1077</t>
  </si>
  <si>
    <t>Balita 1078</t>
  </si>
  <si>
    <t>Balita 1079</t>
  </si>
  <si>
    <t>AGUS SETIYANTO </t>
  </si>
  <si>
    <t>Balita 1080</t>
  </si>
  <si>
    <t>Balita 1081</t>
  </si>
  <si>
    <t>Balita 1082</t>
  </si>
  <si>
    <t>Balita 1083</t>
  </si>
  <si>
    <t>Balita 1084</t>
  </si>
  <si>
    <t>Balita 1085</t>
  </si>
  <si>
    <t>Balita 1086</t>
  </si>
  <si>
    <t>Balita 1087</t>
  </si>
  <si>
    <t>Balita 1088</t>
  </si>
  <si>
    <t>TITIS F </t>
  </si>
  <si>
    <t>Balita 1089</t>
  </si>
  <si>
    <t>Balita 1090</t>
  </si>
  <si>
    <t>Balita 1091</t>
  </si>
  <si>
    <t>Balita 1092</t>
  </si>
  <si>
    <t>Balita 1093</t>
  </si>
  <si>
    <t>Balita 1094</t>
  </si>
  <si>
    <t>Balita 1095</t>
  </si>
  <si>
    <t>Balita 1096</t>
  </si>
  <si>
    <t>Balita 1097</t>
  </si>
  <si>
    <t>Balita 1098</t>
  </si>
  <si>
    <t>Balita 1099</t>
  </si>
  <si>
    <t>Balita 1100</t>
  </si>
  <si>
    <t>Balita 1101</t>
  </si>
  <si>
    <t>Balita 1102</t>
  </si>
  <si>
    <t>jumanto </t>
  </si>
  <si>
    <t>Balita 1103</t>
  </si>
  <si>
    <t>Balita 1104</t>
  </si>
  <si>
    <t>Balita 1105</t>
  </si>
  <si>
    <t>Balita 1106</t>
  </si>
  <si>
    <t>weny prawitosari </t>
  </si>
  <si>
    <t>Balita 1107</t>
  </si>
  <si>
    <t>Balita 1108</t>
  </si>
  <si>
    <t>Balita 1109</t>
  </si>
  <si>
    <t>Balita 1110</t>
  </si>
  <si>
    <t>Balita 1111</t>
  </si>
  <si>
    <t>Balita 1112</t>
  </si>
  <si>
    <t>Balita 1113</t>
  </si>
  <si>
    <t>Balita 1114</t>
  </si>
  <si>
    <t>Balita 1115</t>
  </si>
  <si>
    <t>Balita 1116</t>
  </si>
  <si>
    <t>Balita 1117</t>
  </si>
  <si>
    <t>MUHAMAD TAOFIK </t>
  </si>
  <si>
    <t>Balita 1118</t>
  </si>
  <si>
    <t>Balita 1119</t>
  </si>
  <si>
    <t>Balita 1120</t>
  </si>
  <si>
    <t>Balita 1121</t>
  </si>
  <si>
    <t>Balita 1122</t>
  </si>
  <si>
    <t>Balita 1123</t>
  </si>
  <si>
    <t>Balita 1124</t>
  </si>
  <si>
    <t>Balita 1125</t>
  </si>
  <si>
    <t>Balita 1126</t>
  </si>
  <si>
    <t>Balita 1127</t>
  </si>
  <si>
    <t>AHMAD NOVIYANTO </t>
  </si>
  <si>
    <t>Balita 1128</t>
  </si>
  <si>
    <t>Balita 1129</t>
  </si>
  <si>
    <t>Balita 1130</t>
  </si>
  <si>
    <t>Balita 1131</t>
  </si>
  <si>
    <t>Balita 1132</t>
  </si>
  <si>
    <t>MIFTAKHUL HUDA </t>
  </si>
  <si>
    <t>Balita 1133</t>
  </si>
  <si>
    <t>DAVID </t>
  </si>
  <si>
    <t>Balita 1134</t>
  </si>
  <si>
    <t>YUNI </t>
  </si>
  <si>
    <t>Balita 1135</t>
  </si>
  <si>
    <t>MASKUR </t>
  </si>
  <si>
    <t>Balita 1136</t>
  </si>
  <si>
    <t>EDI GANJAR UTAMA </t>
  </si>
  <si>
    <t>Balita 1137</t>
  </si>
  <si>
    <t>ARIF WIDIYATMOKO </t>
  </si>
  <si>
    <t>Balita 1138</t>
  </si>
  <si>
    <t>Balita 1139</t>
  </si>
  <si>
    <t>Balita 1140</t>
  </si>
  <si>
    <t>Balita 1141</t>
  </si>
  <si>
    <t>Balita 1142</t>
  </si>
  <si>
    <t>Balita 1143</t>
  </si>
  <si>
    <t>Balita 1144</t>
  </si>
  <si>
    <t>MUHAMMAD ILHAM HASAN </t>
  </si>
  <si>
    <t>Balita 1145</t>
  </si>
  <si>
    <t>Balita 1146</t>
  </si>
  <si>
    <t>MURNI </t>
  </si>
  <si>
    <t>Balita 1147</t>
  </si>
  <si>
    <t>Balita 1148</t>
  </si>
  <si>
    <t>Balita 1149</t>
  </si>
  <si>
    <t>RIZKY FAUZI </t>
  </si>
  <si>
    <t>Balita 1150</t>
  </si>
  <si>
    <t>Balita 1151</t>
  </si>
  <si>
    <t>Balita 1152</t>
  </si>
  <si>
    <t>Balita 1153</t>
  </si>
  <si>
    <t>Balita 1154</t>
  </si>
  <si>
    <t>Balita 1155</t>
  </si>
  <si>
    <t>Balita 1156</t>
  </si>
  <si>
    <t>Balita 1157</t>
  </si>
  <si>
    <t>HAKIM </t>
  </si>
  <si>
    <t>Balita 1158</t>
  </si>
  <si>
    <t>Balita 1159</t>
  </si>
  <si>
    <t>Balita 1160</t>
  </si>
  <si>
    <t>Balita 1161</t>
  </si>
  <si>
    <t>Balita 1162</t>
  </si>
  <si>
    <t>Zega </t>
  </si>
  <si>
    <t>Balita 1163</t>
  </si>
  <si>
    <t>Balita 1164</t>
  </si>
  <si>
    <t>Balita 1165</t>
  </si>
  <si>
    <t>Balita 1166</t>
  </si>
  <si>
    <t>Balita 1167</t>
  </si>
  <si>
    <t>Balita 1168</t>
  </si>
  <si>
    <t>Balita 1169</t>
  </si>
  <si>
    <t>Balita 1170</t>
  </si>
  <si>
    <t>putra bagus setiawan / yunita dwi widiastuti </t>
  </si>
  <si>
    <t>Balita 1171</t>
  </si>
  <si>
    <t>Balita 1172</t>
  </si>
  <si>
    <t>Balita 1173</t>
  </si>
  <si>
    <t>Balita 1174</t>
  </si>
  <si>
    <t>Balita 1175</t>
  </si>
  <si>
    <t>Balita 1176</t>
  </si>
  <si>
    <t>Balita 1177</t>
  </si>
  <si>
    <t>Balita 1178</t>
  </si>
  <si>
    <t>Balita 1179</t>
  </si>
  <si>
    <t>TRI SUKMA DENY </t>
  </si>
  <si>
    <t>Balita 1180</t>
  </si>
  <si>
    <t>Balita 1181</t>
  </si>
  <si>
    <t>Ali Maftuh </t>
  </si>
  <si>
    <t>Balita 1182</t>
  </si>
  <si>
    <t>ALI MAFTUH </t>
  </si>
  <si>
    <t>Balita 1183</t>
  </si>
  <si>
    <t>Balita 1184</t>
  </si>
  <si>
    <t>MEI SUMARNI </t>
  </si>
  <si>
    <t>Balita 1185</t>
  </si>
  <si>
    <t>Balita 1186</t>
  </si>
  <si>
    <t>Balita 1187</t>
  </si>
  <si>
    <t>Balita 1188</t>
  </si>
  <si>
    <t>Balita 1189</t>
  </si>
  <si>
    <t>Balita 1190</t>
  </si>
  <si>
    <t>Balita 1191</t>
  </si>
  <si>
    <t>Balita 1192</t>
  </si>
  <si>
    <t>Balita 1193</t>
  </si>
  <si>
    <t>Balita 1194</t>
  </si>
  <si>
    <t>Balita 1195</t>
  </si>
  <si>
    <t>Balita 1196</t>
  </si>
  <si>
    <t>Balita 1197</t>
  </si>
  <si>
    <t>Balita 1198</t>
  </si>
  <si>
    <t>Balita 1199</t>
  </si>
  <si>
    <t>Balita 1200</t>
  </si>
  <si>
    <t>Balita 1201</t>
  </si>
  <si>
    <t>Balita 1202</t>
  </si>
  <si>
    <t>M ARIEF S </t>
  </si>
  <si>
    <t>Balita 1203</t>
  </si>
  <si>
    <t>ISTIQOMAH </t>
  </si>
  <si>
    <t>Balita 1204</t>
  </si>
  <si>
    <t>first ryan sukma nuryanto </t>
  </si>
  <si>
    <t>Balita 1205</t>
  </si>
  <si>
    <t>Balita 1206</t>
  </si>
  <si>
    <t>Balita 1207</t>
  </si>
  <si>
    <t>rahman </t>
  </si>
  <si>
    <t>Balita 1208</t>
  </si>
  <si>
    <t>Balita 1209</t>
  </si>
  <si>
    <t>Balita 1210</t>
  </si>
  <si>
    <t>YUSUF P </t>
  </si>
  <si>
    <t>Balita 1211</t>
  </si>
  <si>
    <t>Balita 1212</t>
  </si>
  <si>
    <t>Balita 1213</t>
  </si>
  <si>
    <t>maskun </t>
  </si>
  <si>
    <t>Balita 1214</t>
  </si>
  <si>
    <t>Balita 1215</t>
  </si>
  <si>
    <t>kateno </t>
  </si>
  <si>
    <t>Balita 1216</t>
  </si>
  <si>
    <t>Balita 1217</t>
  </si>
  <si>
    <t>Balita 1218</t>
  </si>
  <si>
    <t>wahyu a </t>
  </si>
  <si>
    <t>Balita 1219</t>
  </si>
  <si>
    <t>YOHANES </t>
  </si>
  <si>
    <t>Balita 1220</t>
  </si>
  <si>
    <t>Balita 1221</t>
  </si>
  <si>
    <t>Balita 1222</t>
  </si>
  <si>
    <t>ABDUL ROSID </t>
  </si>
  <si>
    <t>Balita 1223</t>
  </si>
  <si>
    <t>Balita 1224</t>
  </si>
  <si>
    <t>Balita 1225</t>
  </si>
  <si>
    <t>SUKIRNO </t>
  </si>
  <si>
    <t>Balita 1226</t>
  </si>
  <si>
    <t>M FAUZAN </t>
  </si>
  <si>
    <t>Balita 1227</t>
  </si>
  <si>
    <t>SOLIKHUDIN </t>
  </si>
  <si>
    <t>Balita 1228</t>
  </si>
  <si>
    <t>SUPRAPTO </t>
  </si>
  <si>
    <t>Balita 1229</t>
  </si>
  <si>
    <t>FAUZI </t>
  </si>
  <si>
    <t>Balita 1230</t>
  </si>
  <si>
    <t>Balita 1231</t>
  </si>
  <si>
    <t>Balita 1232</t>
  </si>
  <si>
    <t>Balita 1233</t>
  </si>
  <si>
    <t>Balita 1234</t>
  </si>
  <si>
    <t>Balita 1235</t>
  </si>
  <si>
    <t>Balita 1236</t>
  </si>
  <si>
    <t>Balita 1237</t>
  </si>
  <si>
    <t>Balita 1238</t>
  </si>
  <si>
    <t>marni </t>
  </si>
  <si>
    <t>Balita 1239</t>
  </si>
  <si>
    <t>nurul </t>
  </si>
  <si>
    <t>Balita 1240</t>
  </si>
  <si>
    <t>Balita 1241</t>
  </si>
  <si>
    <t>Balita 1242</t>
  </si>
  <si>
    <t>abdul m s </t>
  </si>
  <si>
    <t>Balita 1243</t>
  </si>
  <si>
    <t>teguh hari </t>
  </si>
  <si>
    <t>Balita 1244</t>
  </si>
  <si>
    <t>Balita 1245</t>
  </si>
  <si>
    <t>Balita 1246</t>
  </si>
  <si>
    <t>Balita 1247</t>
  </si>
  <si>
    <t>Balita 1248</t>
  </si>
  <si>
    <t>Balita 1249</t>
  </si>
  <si>
    <t>Balita 1250</t>
  </si>
  <si>
    <t>Balita 1251</t>
  </si>
  <si>
    <t>ERA NUR RAMADHANTI </t>
  </si>
  <si>
    <t>Balita 1252</t>
  </si>
  <si>
    <t>Balita 1253</t>
  </si>
  <si>
    <t>Balita 1254</t>
  </si>
  <si>
    <t>Balita 1255</t>
  </si>
  <si>
    <t>Balita 1256</t>
  </si>
  <si>
    <t>Balita 1257</t>
  </si>
  <si>
    <t>Balita 1258</t>
  </si>
  <si>
    <t>Balita 1259</t>
  </si>
  <si>
    <t>Balita 1260</t>
  </si>
  <si>
    <t>Balita 1261</t>
  </si>
  <si>
    <t>Balita 1262</t>
  </si>
  <si>
    <t>Balita 1263</t>
  </si>
  <si>
    <t>Balita 1264</t>
  </si>
  <si>
    <t>Balita 1265</t>
  </si>
  <si>
    <t>Balita 1266</t>
  </si>
  <si>
    <t>Balita 1267</t>
  </si>
  <si>
    <t>Balita 1268</t>
  </si>
  <si>
    <t>Balita 1269</t>
  </si>
  <si>
    <t>Balita 1270</t>
  </si>
  <si>
    <t>Balita 1271</t>
  </si>
  <si>
    <t>Balita 1272</t>
  </si>
  <si>
    <t>Balita 1273</t>
  </si>
  <si>
    <t>Balita 1274</t>
  </si>
  <si>
    <t>Balita 1275</t>
  </si>
  <si>
    <t>Balita 1276</t>
  </si>
  <si>
    <t>Balita 1277</t>
  </si>
  <si>
    <t>Balita 1278</t>
  </si>
  <si>
    <t>Balita 1279</t>
  </si>
  <si>
    <t>Balita 1280</t>
  </si>
  <si>
    <t>Balita 1281</t>
  </si>
  <si>
    <t>MASHARI </t>
  </si>
  <si>
    <t>Balita 1282</t>
  </si>
  <si>
    <t>MAYANG </t>
  </si>
  <si>
    <t>Balita 1283</t>
  </si>
  <si>
    <t>RINA NOVIANA </t>
  </si>
  <si>
    <t>Balita 1284</t>
  </si>
  <si>
    <t>SHERLYANA MAYANGSARI </t>
  </si>
  <si>
    <t>Balita 1285</t>
  </si>
  <si>
    <t>Balita 1286</t>
  </si>
  <si>
    <t>Balita 1287</t>
  </si>
  <si>
    <t>Balita 1288</t>
  </si>
  <si>
    <t>Balita 1289</t>
  </si>
  <si>
    <t>Balita 1290</t>
  </si>
  <si>
    <t>Balita 1291</t>
  </si>
  <si>
    <t>Balita 1292</t>
  </si>
  <si>
    <t>Balita 1293</t>
  </si>
  <si>
    <t>Balita 1294</t>
  </si>
  <si>
    <t>Balita 1295</t>
  </si>
  <si>
    <t>Balita 1296</t>
  </si>
  <si>
    <t>Balita 1297</t>
  </si>
  <si>
    <t>Balita 1298</t>
  </si>
  <si>
    <t>Balita 1299</t>
  </si>
  <si>
    <t>Balita 1300</t>
  </si>
  <si>
    <t>Balita 1301</t>
  </si>
  <si>
    <t>Balita 1302</t>
  </si>
  <si>
    <t>Balita 1303</t>
  </si>
  <si>
    <t>Balita 1304</t>
  </si>
  <si>
    <t>Balita 1305</t>
  </si>
  <si>
    <t>Balita 1306</t>
  </si>
  <si>
    <t>Balita 1307</t>
  </si>
  <si>
    <t>Balita 1308</t>
  </si>
  <si>
    <t>Balita 1309</t>
  </si>
  <si>
    <t>Balita 1310</t>
  </si>
  <si>
    <t>Balita 1311</t>
  </si>
  <si>
    <t>Balita 1312</t>
  </si>
  <si>
    <t>Balita 1313</t>
  </si>
  <si>
    <t>Balita 1314</t>
  </si>
  <si>
    <t>Balita 1315</t>
  </si>
  <si>
    <t>Balita 1316</t>
  </si>
  <si>
    <t>Balita 1317</t>
  </si>
  <si>
    <t>Balita 1318</t>
  </si>
  <si>
    <t>Balita 1319</t>
  </si>
  <si>
    <t>Balita 1320</t>
  </si>
  <si>
    <t>Balita 1321</t>
  </si>
  <si>
    <t>Balita 1322</t>
  </si>
  <si>
    <t>Balita 1323</t>
  </si>
  <si>
    <t>Balita 1324</t>
  </si>
  <si>
    <t>Balita 1325</t>
  </si>
  <si>
    <t>Balita 1326</t>
  </si>
  <si>
    <t>Balita 1327</t>
  </si>
  <si>
    <t>Balita 1328</t>
  </si>
  <si>
    <t>Balita 1329</t>
  </si>
  <si>
    <t>Balita 1330</t>
  </si>
  <si>
    <t>Balita 1331</t>
  </si>
  <si>
    <t>Balita 1332</t>
  </si>
  <si>
    <t>Balita 1333</t>
  </si>
  <si>
    <t>Balita 1334</t>
  </si>
  <si>
    <t>Balita 1335</t>
  </si>
  <si>
    <t>Balita 1336</t>
  </si>
  <si>
    <t>Balita 1337</t>
  </si>
  <si>
    <t>Balita 1338</t>
  </si>
  <si>
    <t>Balita 1339</t>
  </si>
  <si>
    <t>Balita 1340</t>
  </si>
  <si>
    <t>Balita 1341</t>
  </si>
  <si>
    <t>Balita 1342</t>
  </si>
  <si>
    <t>Balita 1343</t>
  </si>
  <si>
    <t>Balita 1344</t>
  </si>
  <si>
    <t>Balita 1345</t>
  </si>
  <si>
    <t>Balita 1346</t>
  </si>
  <si>
    <t>Balita 1347</t>
  </si>
  <si>
    <t>Balita 1348</t>
  </si>
  <si>
    <t>Balita 1349</t>
  </si>
  <si>
    <t>Balita 1350</t>
  </si>
  <si>
    <t>Balita 1351</t>
  </si>
  <si>
    <t>Balita 1352</t>
  </si>
  <si>
    <t>Balita 1353</t>
  </si>
  <si>
    <t>Balita 1354</t>
  </si>
  <si>
    <t>Balita 1355</t>
  </si>
  <si>
    <t>Balita 1356</t>
  </si>
  <si>
    <t>Balita 1357</t>
  </si>
  <si>
    <t>Balita 1358</t>
  </si>
  <si>
    <t>Balita 1359</t>
  </si>
  <si>
    <t>Balita 1360</t>
  </si>
  <si>
    <t>Balita 1361</t>
  </si>
  <si>
    <t>Balita 1362</t>
  </si>
  <si>
    <t>Balita 1363</t>
  </si>
  <si>
    <t>Balita 1364</t>
  </si>
  <si>
    <t>Balita 1365</t>
  </si>
  <si>
    <t>Balita 1366</t>
  </si>
  <si>
    <t>Balita 1367</t>
  </si>
  <si>
    <t>Balita 1368</t>
  </si>
  <si>
    <t>Balita 1369</t>
  </si>
  <si>
    <t>Balita 1370</t>
  </si>
  <si>
    <t>Balita 1371</t>
  </si>
  <si>
    <t>Balita 1372</t>
  </si>
  <si>
    <t>Balita 1373</t>
  </si>
  <si>
    <t>Balita 1374</t>
  </si>
  <si>
    <t>Balita 1375</t>
  </si>
  <si>
    <t>Balita 1376</t>
  </si>
  <si>
    <t>Balita 1377</t>
  </si>
  <si>
    <t>Balita 1378</t>
  </si>
  <si>
    <t>Balita 1379</t>
  </si>
  <si>
    <t>Balita 1380</t>
  </si>
  <si>
    <t>Balita 1381</t>
  </si>
  <si>
    <t>Balita 1382</t>
  </si>
  <si>
    <t>Balita 1383</t>
  </si>
  <si>
    <t>Balita 1384</t>
  </si>
  <si>
    <t>Balita 1385</t>
  </si>
  <si>
    <t>Balita 1386</t>
  </si>
  <si>
    <t>Balita 1387</t>
  </si>
  <si>
    <t>Balita 1388</t>
  </si>
  <si>
    <t>Balita 1389</t>
  </si>
  <si>
    <t>Balita 1390</t>
  </si>
  <si>
    <t>Balita 1391</t>
  </si>
  <si>
    <t>Balita 1392</t>
  </si>
  <si>
    <t>Balita 1393</t>
  </si>
  <si>
    <t>Balita 1394</t>
  </si>
  <si>
    <t>Balita 1395</t>
  </si>
  <si>
    <t>Balita 1396</t>
  </si>
  <si>
    <t>Balita 1397</t>
  </si>
  <si>
    <t>Balita 1398</t>
  </si>
  <si>
    <t>Balita 1399</t>
  </si>
  <si>
    <t>Balita 1400</t>
  </si>
  <si>
    <t>Balita 1401</t>
  </si>
  <si>
    <t>Balita 1402</t>
  </si>
  <si>
    <t>Balita 1403</t>
  </si>
  <si>
    <t>Balita 1404</t>
  </si>
  <si>
    <t>Balita 1405</t>
  </si>
  <si>
    <t>Balita 1406</t>
  </si>
  <si>
    <t>Balita 1407</t>
  </si>
  <si>
    <t>Balita 1408</t>
  </si>
  <si>
    <t>Balita 1409</t>
  </si>
  <si>
    <t>Balita 1410</t>
  </si>
  <si>
    <t>Balita 1411</t>
  </si>
  <si>
    <t>Balita 1412</t>
  </si>
  <si>
    <t>Balita 1413</t>
  </si>
  <si>
    <t>Balita 1414</t>
  </si>
  <si>
    <t>Balita 1415</t>
  </si>
  <si>
    <t>Balita 1416</t>
  </si>
  <si>
    <t>Balita 1417</t>
  </si>
  <si>
    <t>Balita 1418</t>
  </si>
  <si>
    <t>Balita 1419</t>
  </si>
  <si>
    <t>Balita 1420</t>
  </si>
  <si>
    <t>Balita 1421</t>
  </si>
  <si>
    <t>Balita 1422</t>
  </si>
  <si>
    <t>Balita 1423</t>
  </si>
  <si>
    <t>Balita 1424</t>
  </si>
  <si>
    <t>Balita 1425</t>
  </si>
  <si>
    <t>Balita 1426</t>
  </si>
  <si>
    <t>Balita 1427</t>
  </si>
  <si>
    <t>Balita 1428</t>
  </si>
  <si>
    <t>Balita 1429</t>
  </si>
  <si>
    <t>Balita 1430</t>
  </si>
  <si>
    <t>Balita 1431</t>
  </si>
  <si>
    <t>Balita 1432</t>
  </si>
  <si>
    <t>Balita 1433</t>
  </si>
  <si>
    <t>Balita 1434</t>
  </si>
  <si>
    <t>Balita 1435</t>
  </si>
  <si>
    <t>Balita 1436</t>
  </si>
  <si>
    <t>Balita 1437</t>
  </si>
  <si>
    <t>Balita 1438</t>
  </si>
  <si>
    <t>Balita 1439</t>
  </si>
  <si>
    <t>Balita 1440</t>
  </si>
  <si>
    <t>Balita 1441</t>
  </si>
  <si>
    <t>Balita 1442</t>
  </si>
  <si>
    <t>Balita 1443</t>
  </si>
  <si>
    <t>Balita 1444</t>
  </si>
  <si>
    <t>Balita 1445</t>
  </si>
  <si>
    <t>Balita 1446</t>
  </si>
  <si>
    <t>Balita 1447</t>
  </si>
  <si>
    <t>Balita 1448</t>
  </si>
  <si>
    <t>Balita 1449</t>
  </si>
  <si>
    <t>Balita 1450</t>
  </si>
  <si>
    <t>Balita 1451</t>
  </si>
  <si>
    <t>Balita 1452</t>
  </si>
  <si>
    <t>Balita 1453</t>
  </si>
  <si>
    <t>Balita 1454</t>
  </si>
  <si>
    <t>Balita 1455</t>
  </si>
  <si>
    <t>Balita 1456</t>
  </si>
  <si>
    <t>Balita 1457</t>
  </si>
  <si>
    <t>Balita 1458</t>
  </si>
  <si>
    <t>Balita 1459</t>
  </si>
  <si>
    <t>Balita 1460</t>
  </si>
  <si>
    <t>Balita 1461</t>
  </si>
  <si>
    <t>Balita 1462</t>
  </si>
  <si>
    <t>Balita 1463</t>
  </si>
  <si>
    <t>Balita 1464</t>
  </si>
  <si>
    <t>Balita 1465</t>
  </si>
  <si>
    <t>Balita 1466</t>
  </si>
  <si>
    <t>Balita 1467</t>
  </si>
  <si>
    <t>Balita 1468</t>
  </si>
  <si>
    <t>Balita 1469</t>
  </si>
  <si>
    <t>Balita 1470</t>
  </si>
  <si>
    <t>Balita 1471</t>
  </si>
  <si>
    <t>Balita 1472</t>
  </si>
  <si>
    <t>Balita 1473</t>
  </si>
  <si>
    <t>Balita 1474</t>
  </si>
  <si>
    <t>Balita 1475</t>
  </si>
  <si>
    <t>Balita 1476</t>
  </si>
  <si>
    <t>Balita 1477</t>
  </si>
  <si>
    <t>Balita 1478</t>
  </si>
  <si>
    <t>Balita 1479</t>
  </si>
  <si>
    <t>Balita 1480</t>
  </si>
  <si>
    <t>Balita 1481</t>
  </si>
  <si>
    <t>Balita 1482</t>
  </si>
  <si>
    <t>Balita 1483</t>
  </si>
  <si>
    <t>Balita 1484</t>
  </si>
  <si>
    <t>Balita 1485</t>
  </si>
  <si>
    <t>Balita 1486</t>
  </si>
  <si>
    <t>Balita 1487</t>
  </si>
  <si>
    <t>Balita 1488</t>
  </si>
  <si>
    <t>Balita 1489</t>
  </si>
  <si>
    <t>Balita 1490</t>
  </si>
  <si>
    <t>Balita 1491</t>
  </si>
  <si>
    <t>Balita 1492</t>
  </si>
  <si>
    <t>Balita 1493</t>
  </si>
  <si>
    <t>Balita 1494</t>
  </si>
  <si>
    <t>Balita 1495</t>
  </si>
  <si>
    <t>Balita 1496</t>
  </si>
  <si>
    <t>Balita 1497</t>
  </si>
  <si>
    <t>Balita 1498</t>
  </si>
  <si>
    <t>Balita 1499</t>
  </si>
  <si>
    <t>Balita 1500</t>
  </si>
  <si>
    <t>Balita 1501</t>
  </si>
  <si>
    <t>Balita 1502</t>
  </si>
  <si>
    <t>Balita 1503</t>
  </si>
  <si>
    <t>Balita 1504</t>
  </si>
  <si>
    <t>Balita 1505</t>
  </si>
  <si>
    <t>Balita 1506</t>
  </si>
  <si>
    <t>Balita 1507</t>
  </si>
  <si>
    <t>Balita 1508</t>
  </si>
  <si>
    <t>Balita 1509</t>
  </si>
  <si>
    <t>Balita 1510</t>
  </si>
  <si>
    <t>Balita 1511</t>
  </si>
  <si>
    <t>Balita 1512</t>
  </si>
  <si>
    <t>Balita 1513</t>
  </si>
  <si>
    <t>Balita 1514</t>
  </si>
  <si>
    <t>Balita 1515</t>
  </si>
  <si>
    <t>Balita 1516</t>
  </si>
  <si>
    <t>Balita 1517</t>
  </si>
  <si>
    <t>Balita 1518</t>
  </si>
  <si>
    <t>Balita 1519</t>
  </si>
  <si>
    <t>Balita 1520</t>
  </si>
  <si>
    <t>Balita 1521</t>
  </si>
  <si>
    <t>Balita 1522</t>
  </si>
  <si>
    <t>Balita 1523</t>
  </si>
  <si>
    <t>Balita 1524</t>
  </si>
  <si>
    <t>Balita 1525</t>
  </si>
  <si>
    <t>Balita 1526</t>
  </si>
  <si>
    <t>Balita 1527</t>
  </si>
  <si>
    <t>Balita 1528</t>
  </si>
  <si>
    <t>Balita 1529</t>
  </si>
  <si>
    <t>Balita 1530</t>
  </si>
  <si>
    <t>Balita 1531</t>
  </si>
  <si>
    <t>Balita 1532</t>
  </si>
  <si>
    <t>Balita 1533</t>
  </si>
  <si>
    <t>Balita 1534</t>
  </si>
  <si>
    <t>Balita 1535</t>
  </si>
  <si>
    <t>Balita 1536</t>
  </si>
  <si>
    <t>Balita 1537</t>
  </si>
  <si>
    <t>Balita 1538</t>
  </si>
  <si>
    <t>Balita 1539</t>
  </si>
  <si>
    <t>Balita 1540</t>
  </si>
  <si>
    <t>Balita 1541</t>
  </si>
  <si>
    <t>Balita 1542</t>
  </si>
  <si>
    <t>Balita 1543</t>
  </si>
  <si>
    <t>Balita 1544</t>
  </si>
  <si>
    <t>Balita 1545</t>
  </si>
  <si>
    <t>Balita 1546</t>
  </si>
  <si>
    <t>Balita 1547</t>
  </si>
  <si>
    <t>Balita 1548</t>
  </si>
  <si>
    <t>Balita 1549</t>
  </si>
  <si>
    <t>Balita 1550</t>
  </si>
  <si>
    <t>Balita 1551</t>
  </si>
  <si>
    <t>Balita 1552</t>
  </si>
  <si>
    <t>Balita 1553</t>
  </si>
  <si>
    <t>Balita 1554</t>
  </si>
  <si>
    <t>Balita 1555</t>
  </si>
  <si>
    <t>Balita 1556</t>
  </si>
  <si>
    <t>Balita 1557</t>
  </si>
  <si>
    <t>Balita 1558</t>
  </si>
  <si>
    <t>Balita 1559</t>
  </si>
  <si>
    <t>Balita 1560</t>
  </si>
  <si>
    <t>Balita 1561</t>
  </si>
  <si>
    <t>Balita 1562</t>
  </si>
  <si>
    <t>Balita 1563</t>
  </si>
  <si>
    <t>Balita 1564</t>
  </si>
  <si>
    <t>Balita 1565</t>
  </si>
  <si>
    <t>Balita 1566</t>
  </si>
  <si>
    <t>Balita 1567</t>
  </si>
  <si>
    <t>Balita 1568</t>
  </si>
  <si>
    <t>Balita 1569</t>
  </si>
  <si>
    <t>Balita 1570</t>
  </si>
  <si>
    <t>Balita 1571</t>
  </si>
  <si>
    <t>Balita 1572</t>
  </si>
  <si>
    <t>Balita 1573</t>
  </si>
  <si>
    <t>Balita 1574</t>
  </si>
  <si>
    <t>Balita 1575</t>
  </si>
  <si>
    <t>Balita 1576</t>
  </si>
  <si>
    <t>Balita 1577</t>
  </si>
  <si>
    <t>Balita 1578</t>
  </si>
  <si>
    <t>Balita 1579</t>
  </si>
  <si>
    <t>Balita 1580</t>
  </si>
  <si>
    <t>Balita 1581</t>
  </si>
  <si>
    <t>Balita 1582</t>
  </si>
  <si>
    <t>Balita 1583</t>
  </si>
  <si>
    <t>Balita 1584</t>
  </si>
  <si>
    <t>Balita 1585</t>
  </si>
  <si>
    <t>Balita 1586</t>
  </si>
  <si>
    <t>Balita 1587</t>
  </si>
  <si>
    <t>Balita 1588</t>
  </si>
  <si>
    <t>Balita 1589</t>
  </si>
  <si>
    <t>Balita 1590</t>
  </si>
  <si>
    <t>Balita 1591</t>
  </si>
  <si>
    <t>Balita 1592</t>
  </si>
  <si>
    <t>Balita 1593</t>
  </si>
  <si>
    <t>Balita 1594</t>
  </si>
  <si>
    <t>Balita 1595</t>
  </si>
  <si>
    <t>Balita 1596</t>
  </si>
  <si>
    <t>Balita 1597</t>
  </si>
  <si>
    <t>Balita 1598</t>
  </si>
  <si>
    <t>Balita 1599</t>
  </si>
  <si>
    <t>Balita 1600</t>
  </si>
  <si>
    <t>Balita 1601</t>
  </si>
  <si>
    <t>Balita 1602</t>
  </si>
  <si>
    <t>Balita 1603</t>
  </si>
  <si>
    <t>Balita 1604</t>
  </si>
  <si>
    <t>Balita 1605</t>
  </si>
  <si>
    <t>Balita 1606</t>
  </si>
  <si>
    <t>Balita 1607</t>
  </si>
  <si>
    <t>Balita 1608</t>
  </si>
  <si>
    <t>Balita 1609</t>
  </si>
  <si>
    <t>Balita 1610</t>
  </si>
  <si>
    <t>Balita 1611</t>
  </si>
  <si>
    <t>Balita 1612</t>
  </si>
  <si>
    <t>Balita 1613</t>
  </si>
  <si>
    <t>Balita 1614</t>
  </si>
  <si>
    <t>Balita 1615</t>
  </si>
  <si>
    <t>Balita 1616</t>
  </si>
  <si>
    <t>Balita 1617</t>
  </si>
  <si>
    <t>Balita 1618</t>
  </si>
  <si>
    <t>Balita 1619</t>
  </si>
  <si>
    <t>Balita 1620</t>
  </si>
  <si>
    <t>Balita 1621</t>
  </si>
  <si>
    <t>Balita 1622</t>
  </si>
  <si>
    <t>Balita 1623</t>
  </si>
  <si>
    <t>Balita 1624</t>
  </si>
  <si>
    <t>Balita 1625</t>
  </si>
  <si>
    <t>Balita 1626</t>
  </si>
  <si>
    <t>Balita 1627</t>
  </si>
  <si>
    <t>Balita 1628</t>
  </si>
  <si>
    <t>Balita 1629</t>
  </si>
  <si>
    <t>Balita 1630</t>
  </si>
  <si>
    <t>Balita 1631</t>
  </si>
  <si>
    <t>Balita 1632</t>
  </si>
  <si>
    <t>Balita 1633</t>
  </si>
  <si>
    <t>Balita 1634</t>
  </si>
  <si>
    <t>Balita 1635</t>
  </si>
  <si>
    <t>Balita 1636</t>
  </si>
  <si>
    <t>Balita 1637</t>
  </si>
  <si>
    <t>Balita 1638</t>
  </si>
  <si>
    <t>Balita 1639</t>
  </si>
  <si>
    <t>Balita 1640</t>
  </si>
  <si>
    <t>Balita 1641</t>
  </si>
  <si>
    <t>Balita 1642</t>
  </si>
  <si>
    <t>Balita 1643</t>
  </si>
  <si>
    <t>Balita 1644</t>
  </si>
  <si>
    <t>Balita 1645</t>
  </si>
  <si>
    <t>Balita 1646</t>
  </si>
  <si>
    <t>Balita 1647</t>
  </si>
  <si>
    <t>Balita 1648</t>
  </si>
  <si>
    <t>Balita 1649</t>
  </si>
  <si>
    <t>Balita 1650</t>
  </si>
  <si>
    <t>Balita 1651</t>
  </si>
  <si>
    <t>Balita 1652</t>
  </si>
  <si>
    <t>Balita 1653</t>
  </si>
  <si>
    <t>Balita 1654</t>
  </si>
  <si>
    <t>Balita 1655</t>
  </si>
  <si>
    <t>Balita 1656</t>
  </si>
  <si>
    <t>Balita 1657</t>
  </si>
  <si>
    <t>Balita 1658</t>
  </si>
  <si>
    <t>Balita 1659</t>
  </si>
  <si>
    <t>Balita 1660</t>
  </si>
  <si>
    <t>Balita 1661</t>
  </si>
  <si>
    <t>Balita 1662</t>
  </si>
  <si>
    <t>Balita 1663</t>
  </si>
  <si>
    <t>Balita 1664</t>
  </si>
  <si>
    <t>Balita 1665</t>
  </si>
  <si>
    <t>Balita 1666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</si>
</sst>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/m/yyyy"/>
    <numFmt numFmtId="166" formatCode="d\.m"/>
    <numFmt numFmtId="171" formatCode="0.0"/>
  </numFmts>
  <fonts count="12">
    <font>
      <sz val="11"/>
      <color theme="1"/>
      <name val="Calibri"/>
      <family val="2"/>
      <scheme val="minor"/>
    </font>
    <font>
      <b/>
      <sz val="12"/>
      <color theme="0"/>
      <name val="Times New Roman"/>
      <family val="1"/>
    </font>
    <font>
      <sz val="12"/>
      <color theme="0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11"/>
      <name val="Calibri"/>
      <family val="2"/>
      <scheme val="minor"/>
    </font>
    <font>
      <sz val="11"/>
      <color theme="1"/>
      <name val="Calibri"/>
      <charset val="134"/>
      <scheme val="minor"/>
    </font>
    <font>
      <b/>
      <sz val="11"/>
      <color indexed="8"/>
      <name val="Calibri"/>
      <charset val="134"/>
    </font>
    <font>
      <sz val="11"/>
      <color indexed="8"/>
      <name val="Calibri"/>
      <charset val="1"/>
    </font>
    <font>
      <sz val="8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theme="4" tint="0.59999389629810485"/>
        <bgColor rgb="FF00FF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CC"/>
        <bgColor rgb="FFFFFFCC"/>
      </patternFill>
    </fill>
    <fill>
      <patternFill patternType="solid">
        <fgColor rgb="FFFF99CC"/>
        <bgColor rgb="FFFF99CC"/>
      </patternFill>
    </fill>
    <fill>
      <patternFill patternType="solid">
        <fgColor rgb="FFFFCC99"/>
        <bgColor rgb="FFFFCC99"/>
      </patternFill>
    </fill>
    <fill>
      <patternFill patternType="solid">
        <fgColor rgb="FFCCFFFF"/>
        <bgColor rgb="FFCCFFFF"/>
      </patternFill>
    </fill>
    <fill>
      <patternFill patternType="solid">
        <fgColor rgb="FFFBE4D5"/>
        <bgColor rgb="FFFBE4D5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00FF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BE4D5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D9E2F3"/>
      </patternFill>
    </fill>
    <fill>
      <patternFill patternType="solid">
        <fgColor theme="0"/>
        <bgColor rgb="FFCCFFCC"/>
      </patternFill>
    </fill>
    <fill>
      <patternFill patternType="solid">
        <fgColor theme="0"/>
        <bgColor rgb="FFE2EFD9"/>
      </patternFill>
    </fill>
    <fill>
      <patternFill patternType="solid">
        <fgColor theme="0"/>
        <bgColor rgb="FFFF0000"/>
      </patternFill>
    </fill>
    <fill>
      <patternFill patternType="solid">
        <fgColor rgb="FFB4C6E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FFFF00"/>
      </patternFill>
    </fill>
    <fill>
      <patternFill patternType="solid">
        <fgColor theme="9" tint="0.59999389629810485"/>
        <bgColor rgb="FFFFFFFF"/>
      </patternFill>
    </fill>
    <fill>
      <patternFill patternType="solid">
        <fgColor theme="9" tint="0.59999389629810485"/>
        <bgColor rgb="FFFBE4D5"/>
      </patternFill>
    </fill>
    <fill>
      <patternFill patternType="solid">
        <fgColor theme="9" tint="0.59999389629810485"/>
        <bgColor rgb="FFFFFFCC"/>
      </patternFill>
    </fill>
    <fill>
      <patternFill patternType="solid">
        <fgColor theme="9" tint="0.59999389629810485"/>
        <bgColor rgb="FFCCFFFF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/>
    <xf numFmtId="0" fontId="8" fillId="0" borderId="0"/>
  </cellStyleXfs>
  <cellXfs count="186">
    <xf numFmtId="0" fontId="0" fillId="0" borderId="0" xfId="0"/>
    <xf numFmtId="0" fontId="1" fillId="2" borderId="5" xfId="0" applyFont="1" applyFill="1" applyBorder="1" applyAlignment="1">
      <alignment horizontal="center" vertical="center"/>
    </xf>
    <xf numFmtId="0" fontId="3" fillId="8" borderId="5" xfId="0" applyFont="1" applyFill="1" applyBorder="1" applyAlignment="1">
      <alignment horizontal="center" vertical="center"/>
    </xf>
    <xf numFmtId="0" fontId="4" fillId="8" borderId="5" xfId="0" applyFont="1" applyFill="1" applyBorder="1" applyAlignment="1">
      <alignment horizontal="center" vertical="center" wrapText="1"/>
    </xf>
    <xf numFmtId="49" fontId="4" fillId="8" borderId="5" xfId="0" applyNumberFormat="1" applyFont="1" applyFill="1" applyBorder="1" applyAlignment="1">
      <alignment horizontal="center" vertical="center" wrapText="1"/>
    </xf>
    <xf numFmtId="164" fontId="3" fillId="4" borderId="5" xfId="0" applyNumberFormat="1" applyFont="1" applyFill="1" applyBorder="1" applyAlignment="1">
      <alignment horizontal="left" vertical="center"/>
    </xf>
    <xf numFmtId="0" fontId="3" fillId="5" borderId="5" xfId="0" applyFont="1" applyFill="1" applyBorder="1" applyAlignment="1">
      <alignment horizontal="left" vertical="center"/>
    </xf>
    <xf numFmtId="0" fontId="3" fillId="6" borderId="5" xfId="0" applyFont="1" applyFill="1" applyBorder="1" applyAlignment="1">
      <alignment horizontal="left" vertical="center"/>
    </xf>
    <xf numFmtId="0" fontId="3" fillId="7" borderId="5" xfId="0" applyFont="1" applyFill="1" applyBorder="1" applyAlignment="1">
      <alignment horizontal="left" vertical="center"/>
    </xf>
    <xf numFmtId="164" fontId="3" fillId="4" borderId="4" xfId="0" applyNumberFormat="1" applyFont="1" applyFill="1" applyBorder="1" applyAlignment="1">
      <alignment horizontal="left" vertical="center"/>
    </xf>
    <xf numFmtId="164" fontId="3" fillId="4" borderId="3" xfId="0" applyNumberFormat="1" applyFont="1" applyFill="1" applyBorder="1" applyAlignment="1">
      <alignment horizontal="left" vertical="center"/>
    </xf>
    <xf numFmtId="0" fontId="5" fillId="12" borderId="5" xfId="0" applyFont="1" applyFill="1" applyBorder="1" applyAlignment="1">
      <alignment horizontal="center" vertical="center" wrapText="1"/>
    </xf>
    <xf numFmtId="164" fontId="6" fillId="13" borderId="5" xfId="0" applyNumberFormat="1" applyFont="1" applyFill="1" applyBorder="1" applyAlignment="1">
      <alignment horizontal="left" vertical="center"/>
    </xf>
    <xf numFmtId="0" fontId="6" fillId="13" borderId="5" xfId="0" applyFont="1" applyFill="1" applyBorder="1" applyAlignment="1">
      <alignment horizontal="left" vertical="center"/>
    </xf>
    <xf numFmtId="164" fontId="6" fillId="13" borderId="4" xfId="0" applyNumberFormat="1" applyFont="1" applyFill="1" applyBorder="1" applyAlignment="1">
      <alignment horizontal="left" vertical="center"/>
    </xf>
    <xf numFmtId="0" fontId="6" fillId="13" borderId="4" xfId="0" applyFont="1" applyFill="1" applyBorder="1" applyAlignment="1">
      <alignment horizontal="left" vertical="center"/>
    </xf>
    <xf numFmtId="164" fontId="6" fillId="13" borderId="6" xfId="0" applyNumberFormat="1" applyFont="1" applyFill="1" applyBorder="1" applyAlignment="1">
      <alignment horizontal="left" vertical="center"/>
    </xf>
    <xf numFmtId="0" fontId="6" fillId="13" borderId="6" xfId="0" applyFont="1" applyFill="1" applyBorder="1" applyAlignment="1">
      <alignment horizontal="left" vertical="center"/>
    </xf>
    <xf numFmtId="164" fontId="6" fillId="14" borderId="4" xfId="0" applyNumberFormat="1" applyFont="1" applyFill="1" applyBorder="1" applyAlignment="1">
      <alignment horizontal="left" vertical="center"/>
    </xf>
    <xf numFmtId="0" fontId="7" fillId="11" borderId="0" xfId="0" applyFont="1" applyFill="1"/>
    <xf numFmtId="0" fontId="6" fillId="9" borderId="4" xfId="0" applyFont="1" applyFill="1" applyBorder="1" applyAlignment="1">
      <alignment horizontal="left"/>
    </xf>
    <xf numFmtId="49" fontId="6" fillId="13" borderId="5" xfId="0" applyNumberFormat="1" applyFont="1" applyFill="1" applyBorder="1" applyAlignment="1">
      <alignment horizontal="left" vertical="center"/>
    </xf>
    <xf numFmtId="14" fontId="6" fillId="13" borderId="5" xfId="0" applyNumberFormat="1" applyFont="1" applyFill="1" applyBorder="1" applyAlignment="1">
      <alignment horizontal="left" vertical="center"/>
    </xf>
    <xf numFmtId="49" fontId="6" fillId="11" borderId="5" xfId="0" applyNumberFormat="1" applyFont="1" applyFill="1" applyBorder="1" applyAlignment="1">
      <alignment horizontal="left" vertical="center"/>
    </xf>
    <xf numFmtId="0" fontId="6" fillId="11" borderId="5" xfId="0" applyFont="1" applyFill="1" applyBorder="1" applyAlignment="1">
      <alignment horizontal="left" vertical="center"/>
    </xf>
    <xf numFmtId="0" fontId="6" fillId="15" borderId="5" xfId="0" applyFont="1" applyFill="1" applyBorder="1" applyAlignment="1">
      <alignment horizontal="left" vertical="center"/>
    </xf>
    <xf numFmtId="0" fontId="6" fillId="16" borderId="5" xfId="0" applyFont="1" applyFill="1" applyBorder="1" applyAlignment="1">
      <alignment horizontal="left" vertical="center"/>
    </xf>
    <xf numFmtId="0" fontId="6" fillId="14" borderId="5" xfId="0" applyFont="1" applyFill="1" applyBorder="1" applyAlignment="1">
      <alignment horizontal="left" vertical="center"/>
    </xf>
    <xf numFmtId="0" fontId="6" fillId="11" borderId="5" xfId="0" applyFont="1" applyFill="1" applyBorder="1" applyAlignment="1">
      <alignment horizontal="left"/>
    </xf>
    <xf numFmtId="14" fontId="6" fillId="11" borderId="5" xfId="0" applyNumberFormat="1" applyFont="1" applyFill="1" applyBorder="1" applyAlignment="1">
      <alignment horizontal="left"/>
    </xf>
    <xf numFmtId="0" fontId="6" fillId="14" borderId="4" xfId="0" applyFont="1" applyFill="1" applyBorder="1" applyAlignment="1">
      <alignment horizontal="left" vertical="center"/>
    </xf>
    <xf numFmtId="0" fontId="6" fillId="11" borderId="4" xfId="0" applyFont="1" applyFill="1" applyBorder="1" applyAlignment="1">
      <alignment horizontal="left" vertical="center"/>
    </xf>
    <xf numFmtId="0" fontId="6" fillId="11" borderId="6" xfId="0" applyFont="1" applyFill="1" applyBorder="1" applyAlignment="1">
      <alignment horizontal="left" vertical="center"/>
    </xf>
    <xf numFmtId="49" fontId="6" fillId="13" borderId="4" xfId="0" applyNumberFormat="1" applyFont="1" applyFill="1" applyBorder="1" applyAlignment="1">
      <alignment horizontal="left" vertical="center"/>
    </xf>
    <xf numFmtId="49" fontId="6" fillId="11" borderId="4" xfId="0" applyNumberFormat="1" applyFont="1" applyFill="1" applyBorder="1" applyAlignment="1">
      <alignment horizontal="left" vertical="center"/>
    </xf>
    <xf numFmtId="0" fontId="6" fillId="11" borderId="0" xfId="0" applyFont="1" applyFill="1" applyAlignment="1">
      <alignment horizontal="left"/>
    </xf>
    <xf numFmtId="0" fontId="6" fillId="15" borderId="4" xfId="0" applyFont="1" applyFill="1" applyBorder="1" applyAlignment="1">
      <alignment horizontal="left" vertical="center"/>
    </xf>
    <xf numFmtId="0" fontId="6" fillId="17" borderId="6" xfId="0" applyFont="1" applyFill="1" applyBorder="1" applyAlignment="1">
      <alignment horizontal="left" vertical="center"/>
    </xf>
    <xf numFmtId="0" fontId="6" fillId="13" borderId="3" xfId="0" applyFont="1" applyFill="1" applyBorder="1" applyAlignment="1">
      <alignment horizontal="left" vertical="center"/>
    </xf>
    <xf numFmtId="0" fontId="6" fillId="17" borderId="7" xfId="0" applyFont="1" applyFill="1" applyBorder="1" applyAlignment="1">
      <alignment horizontal="left" vertical="center"/>
    </xf>
    <xf numFmtId="0" fontId="6" fillId="17" borderId="4" xfId="0" applyFont="1" applyFill="1" applyBorder="1" applyAlignment="1">
      <alignment horizontal="left" vertical="center"/>
    </xf>
    <xf numFmtId="49" fontId="6" fillId="11" borderId="7" xfId="0" applyNumberFormat="1" applyFont="1" applyFill="1" applyBorder="1" applyAlignment="1">
      <alignment horizontal="left" vertical="center"/>
    </xf>
    <xf numFmtId="0" fontId="6" fillId="11" borderId="7" xfId="0" applyFont="1" applyFill="1" applyBorder="1" applyAlignment="1">
      <alignment horizontal="left" vertical="center"/>
    </xf>
    <xf numFmtId="0" fontId="6" fillId="13" borderId="7" xfId="0" applyFont="1" applyFill="1" applyBorder="1" applyAlignment="1">
      <alignment horizontal="left" vertical="center"/>
    </xf>
    <xf numFmtId="49" fontId="6" fillId="11" borderId="3" xfId="0" applyNumberFormat="1" applyFont="1" applyFill="1" applyBorder="1" applyAlignment="1">
      <alignment horizontal="left" vertical="center"/>
    </xf>
    <xf numFmtId="0" fontId="6" fillId="11" borderId="3" xfId="0" applyFont="1" applyFill="1" applyBorder="1" applyAlignment="1">
      <alignment horizontal="left" vertical="center"/>
    </xf>
    <xf numFmtId="0" fontId="6" fillId="17" borderId="3" xfId="0" applyFont="1" applyFill="1" applyBorder="1" applyAlignment="1">
      <alignment horizontal="left" vertical="center"/>
    </xf>
    <xf numFmtId="0" fontId="6" fillId="11" borderId="4" xfId="0" applyFont="1" applyFill="1" applyBorder="1" applyAlignment="1">
      <alignment horizontal="left"/>
    </xf>
    <xf numFmtId="49" fontId="6" fillId="13" borderId="7" xfId="0" applyNumberFormat="1" applyFont="1" applyFill="1" applyBorder="1" applyAlignment="1">
      <alignment horizontal="left" vertical="center"/>
    </xf>
    <xf numFmtId="0" fontId="6" fillId="11" borderId="4" xfId="0" quotePrefix="1" applyFont="1" applyFill="1" applyBorder="1" applyAlignment="1">
      <alignment horizontal="left"/>
    </xf>
    <xf numFmtId="0" fontId="6" fillId="11" borderId="2" xfId="0" applyFont="1" applyFill="1" applyBorder="1" applyAlignment="1">
      <alignment horizontal="left"/>
    </xf>
    <xf numFmtId="0" fontId="6" fillId="14" borderId="4" xfId="0" applyFont="1" applyFill="1" applyBorder="1" applyAlignment="1">
      <alignment horizontal="left"/>
    </xf>
    <xf numFmtId="0" fontId="6" fillId="16" borderId="4" xfId="0" applyFont="1" applyFill="1" applyBorder="1" applyAlignment="1">
      <alignment horizontal="left"/>
    </xf>
    <xf numFmtId="49" fontId="6" fillId="11" borderId="4" xfId="0" applyNumberFormat="1" applyFont="1" applyFill="1" applyBorder="1" applyAlignment="1">
      <alignment horizontal="left"/>
    </xf>
    <xf numFmtId="0" fontId="6" fillId="11" borderId="8" xfId="0" applyFont="1" applyFill="1" applyBorder="1" applyAlignment="1">
      <alignment horizontal="left" vertical="center"/>
    </xf>
    <xf numFmtId="0" fontId="6" fillId="16" borderId="4" xfId="0" applyFont="1" applyFill="1" applyBorder="1" applyAlignment="1">
      <alignment horizontal="left" vertical="center"/>
    </xf>
    <xf numFmtId="0" fontId="6" fillId="11" borderId="2" xfId="0" applyFont="1" applyFill="1" applyBorder="1" applyAlignment="1">
      <alignment horizontal="left" wrapText="1"/>
    </xf>
    <xf numFmtId="14" fontId="6" fillId="11" borderId="4" xfId="0" quotePrefix="1" applyNumberFormat="1" applyFont="1" applyFill="1" applyBorder="1" applyAlignment="1">
      <alignment horizontal="left"/>
    </xf>
    <xf numFmtId="0" fontId="6" fillId="11" borderId="4" xfId="0" quotePrefix="1" applyFont="1" applyFill="1" applyBorder="1" applyAlignment="1">
      <alignment horizontal="left" vertical="center"/>
    </xf>
    <xf numFmtId="49" fontId="6" fillId="14" borderId="4" xfId="0" applyNumberFormat="1" applyFont="1" applyFill="1" applyBorder="1" applyAlignment="1">
      <alignment horizontal="left" vertical="center"/>
    </xf>
    <xf numFmtId="49" fontId="6" fillId="14" borderId="3" xfId="0" applyNumberFormat="1" applyFont="1" applyFill="1" applyBorder="1" applyAlignment="1">
      <alignment horizontal="left" vertical="center"/>
    </xf>
    <xf numFmtId="0" fontId="6" fillId="14" borderId="7" xfId="0" applyFont="1" applyFill="1" applyBorder="1" applyAlignment="1">
      <alignment horizontal="left" vertical="center"/>
    </xf>
    <xf numFmtId="0" fontId="6" fillId="14" borderId="3" xfId="0" applyFont="1" applyFill="1" applyBorder="1" applyAlignment="1">
      <alignment horizontal="left" vertical="center"/>
    </xf>
    <xf numFmtId="49" fontId="6" fillId="14" borderId="7" xfId="0" applyNumberFormat="1" applyFont="1" applyFill="1" applyBorder="1" applyAlignment="1">
      <alignment horizontal="left" vertical="center"/>
    </xf>
    <xf numFmtId="0" fontId="6" fillId="14" borderId="6" xfId="0" applyFont="1" applyFill="1" applyBorder="1" applyAlignment="1">
      <alignment horizontal="left" vertical="center"/>
    </xf>
    <xf numFmtId="49" fontId="6" fillId="13" borderId="4" xfId="0" applyNumberFormat="1" applyFont="1" applyFill="1" applyBorder="1" applyAlignment="1">
      <alignment horizontal="left"/>
    </xf>
    <xf numFmtId="49" fontId="6" fillId="13" borderId="0" xfId="0" applyNumberFormat="1" applyFont="1" applyFill="1" applyAlignment="1">
      <alignment horizontal="left"/>
    </xf>
    <xf numFmtId="49" fontId="6" fillId="13" borderId="7" xfId="0" applyNumberFormat="1" applyFont="1" applyFill="1" applyBorder="1" applyAlignment="1">
      <alignment horizontal="left"/>
    </xf>
    <xf numFmtId="0" fontId="6" fillId="13" borderId="3" xfId="0" applyFont="1" applyFill="1" applyBorder="1" applyAlignment="1">
      <alignment horizontal="left"/>
    </xf>
    <xf numFmtId="0" fontId="6" fillId="13" borderId="6" xfId="0" applyFont="1" applyFill="1" applyBorder="1" applyAlignment="1">
      <alignment horizontal="left"/>
    </xf>
    <xf numFmtId="0" fontId="6" fillId="13" borderId="0" xfId="0" applyFont="1" applyFill="1" applyAlignment="1">
      <alignment horizontal="left"/>
    </xf>
    <xf numFmtId="0" fontId="6" fillId="13" borderId="4" xfId="0" applyFont="1" applyFill="1" applyBorder="1" applyAlignment="1">
      <alignment horizontal="left"/>
    </xf>
    <xf numFmtId="0" fontId="6" fillId="15" borderId="3" xfId="0" applyFont="1" applyFill="1" applyBorder="1" applyAlignment="1">
      <alignment horizontal="left"/>
    </xf>
    <xf numFmtId="0" fontId="6" fillId="11" borderId="3" xfId="0" applyFont="1" applyFill="1" applyBorder="1" applyAlignment="1">
      <alignment horizontal="left"/>
    </xf>
    <xf numFmtId="166" fontId="6" fillId="13" borderId="6" xfId="0" applyNumberFormat="1" applyFont="1" applyFill="1" applyBorder="1" applyAlignment="1">
      <alignment horizontal="left"/>
    </xf>
    <xf numFmtId="0" fontId="6" fillId="13" borderId="7" xfId="0" applyFont="1" applyFill="1" applyBorder="1" applyAlignment="1">
      <alignment horizontal="left"/>
    </xf>
    <xf numFmtId="0" fontId="6" fillId="15" borderId="6" xfId="0" applyFont="1" applyFill="1" applyBorder="1" applyAlignment="1">
      <alignment horizontal="left"/>
    </xf>
    <xf numFmtId="0" fontId="6" fillId="11" borderId="6" xfId="0" applyFont="1" applyFill="1" applyBorder="1" applyAlignment="1">
      <alignment horizontal="left"/>
    </xf>
    <xf numFmtId="0" fontId="6" fillId="11" borderId="7" xfId="0" applyFont="1" applyFill="1" applyBorder="1" applyAlignment="1">
      <alignment horizontal="left"/>
    </xf>
    <xf numFmtId="0" fontId="6" fillId="18" borderId="4" xfId="0" applyFont="1" applyFill="1" applyBorder="1" applyAlignment="1">
      <alignment horizontal="left"/>
    </xf>
    <xf numFmtId="0" fontId="6" fillId="11" borderId="7" xfId="0" quotePrefix="1" applyFont="1" applyFill="1" applyBorder="1" applyAlignment="1">
      <alignment horizontal="left" vertical="center"/>
    </xf>
    <xf numFmtId="0" fontId="6" fillId="11" borderId="3" xfId="0" quotePrefix="1" applyFont="1" applyFill="1" applyBorder="1" applyAlignment="1">
      <alignment horizontal="left" vertical="center"/>
    </xf>
    <xf numFmtId="0" fontId="6" fillId="11" borderId="6" xfId="0" quotePrefix="1" applyFont="1" applyFill="1" applyBorder="1" applyAlignment="1">
      <alignment horizontal="left" vertical="center"/>
    </xf>
    <xf numFmtId="0" fontId="6" fillId="11" borderId="0" xfId="0" applyFont="1" applyFill="1" applyAlignment="1">
      <alignment horizontal="left" vertical="center"/>
    </xf>
    <xf numFmtId="166" fontId="6" fillId="11" borderId="4" xfId="0" applyNumberFormat="1" applyFont="1" applyFill="1" applyBorder="1" applyAlignment="1">
      <alignment horizontal="left"/>
    </xf>
    <xf numFmtId="0" fontId="6" fillId="15" borderId="4" xfId="0" applyFont="1" applyFill="1" applyBorder="1" applyAlignment="1">
      <alignment horizontal="left"/>
    </xf>
    <xf numFmtId="0" fontId="6" fillId="17" borderId="6" xfId="0" applyFont="1" applyFill="1" applyBorder="1" applyAlignment="1">
      <alignment horizontal="left"/>
    </xf>
    <xf numFmtId="0" fontId="6" fillId="17" borderId="7" xfId="0" applyFont="1" applyFill="1" applyBorder="1" applyAlignment="1">
      <alignment horizontal="left"/>
    </xf>
    <xf numFmtId="0" fontId="6" fillId="17" borderId="4" xfId="0" applyFont="1" applyFill="1" applyBorder="1" applyAlignment="1">
      <alignment horizontal="left"/>
    </xf>
    <xf numFmtId="49" fontId="6" fillId="11" borderId="7" xfId="0" applyNumberFormat="1" applyFont="1" applyFill="1" applyBorder="1" applyAlignment="1">
      <alignment horizontal="left"/>
    </xf>
    <xf numFmtId="166" fontId="6" fillId="11" borderId="7" xfId="0" applyNumberFormat="1" applyFont="1" applyFill="1" applyBorder="1" applyAlignment="1">
      <alignment horizontal="left"/>
    </xf>
    <xf numFmtId="0" fontId="6" fillId="11" borderId="7" xfId="0" quotePrefix="1" applyFont="1" applyFill="1" applyBorder="1" applyAlignment="1">
      <alignment horizontal="left"/>
    </xf>
    <xf numFmtId="49" fontId="6" fillId="11" borderId="3" xfId="0" applyNumberFormat="1" applyFont="1" applyFill="1" applyBorder="1" applyAlignment="1">
      <alignment horizontal="left"/>
    </xf>
    <xf numFmtId="166" fontId="6" fillId="11" borderId="3" xfId="0" applyNumberFormat="1" applyFont="1" applyFill="1" applyBorder="1" applyAlignment="1">
      <alignment horizontal="left"/>
    </xf>
    <xf numFmtId="0" fontId="6" fillId="11" borderId="3" xfId="0" quotePrefix="1" applyFont="1" applyFill="1" applyBorder="1" applyAlignment="1">
      <alignment horizontal="left"/>
    </xf>
    <xf numFmtId="0" fontId="6" fillId="17" borderId="3" xfId="0" applyFont="1" applyFill="1" applyBorder="1" applyAlignment="1">
      <alignment horizontal="left"/>
    </xf>
    <xf numFmtId="165" fontId="5" fillId="12" borderId="7" xfId="0" applyNumberFormat="1" applyFont="1" applyFill="1" applyBorder="1" applyAlignment="1">
      <alignment horizontal="left" wrapText="1"/>
    </xf>
    <xf numFmtId="49" fontId="6" fillId="14" borderId="4" xfId="0" applyNumberFormat="1" applyFont="1" applyFill="1" applyBorder="1" applyAlignment="1">
      <alignment horizontal="left"/>
    </xf>
    <xf numFmtId="49" fontId="6" fillId="14" borderId="7" xfId="0" applyNumberFormat="1" applyFont="1" applyFill="1" applyBorder="1" applyAlignment="1">
      <alignment horizontal="left"/>
    </xf>
    <xf numFmtId="0" fontId="6" fillId="14" borderId="7" xfId="0" applyFont="1" applyFill="1" applyBorder="1" applyAlignment="1">
      <alignment horizontal="left"/>
    </xf>
    <xf numFmtId="166" fontId="6" fillId="14" borderId="7" xfId="0" applyNumberFormat="1" applyFont="1" applyFill="1" applyBorder="1" applyAlignment="1">
      <alignment horizontal="left"/>
    </xf>
    <xf numFmtId="0" fontId="6" fillId="14" borderId="7" xfId="0" quotePrefix="1" applyFont="1" applyFill="1" applyBorder="1" applyAlignment="1">
      <alignment horizontal="left"/>
    </xf>
    <xf numFmtId="0" fontId="6" fillId="14" borderId="6" xfId="0" applyFont="1" applyFill="1" applyBorder="1" applyAlignment="1">
      <alignment horizontal="left"/>
    </xf>
    <xf numFmtId="0" fontId="6" fillId="11" borderId="1" xfId="0" applyFont="1" applyFill="1" applyBorder="1" applyAlignment="1">
      <alignment horizontal="left"/>
    </xf>
    <xf numFmtId="0" fontId="6" fillId="14" borderId="2" xfId="0" applyFont="1" applyFill="1" applyBorder="1" applyAlignment="1">
      <alignment horizontal="left" vertical="center"/>
    </xf>
    <xf numFmtId="0" fontId="6" fillId="11" borderId="6" xfId="0" quotePrefix="1" applyFont="1" applyFill="1" applyBorder="1" applyAlignment="1">
      <alignment horizontal="left"/>
    </xf>
    <xf numFmtId="0" fontId="6" fillId="14" borderId="0" xfId="0" quotePrefix="1" applyFont="1" applyFill="1" applyAlignment="1">
      <alignment horizontal="left"/>
    </xf>
    <xf numFmtId="49" fontId="6" fillId="11" borderId="0" xfId="0" applyNumberFormat="1" applyFont="1" applyFill="1" applyAlignment="1">
      <alignment horizontal="left"/>
    </xf>
    <xf numFmtId="166" fontId="6" fillId="11" borderId="6" xfId="0" applyNumberFormat="1" applyFont="1" applyFill="1" applyBorder="1" applyAlignment="1">
      <alignment horizontal="left"/>
    </xf>
    <xf numFmtId="49" fontId="6" fillId="14" borderId="0" xfId="0" applyNumberFormat="1" applyFont="1" applyFill="1" applyAlignment="1">
      <alignment horizontal="left"/>
    </xf>
    <xf numFmtId="0" fontId="6" fillId="14" borderId="3" xfId="0" applyFont="1" applyFill="1" applyBorder="1" applyAlignment="1">
      <alignment horizontal="left"/>
    </xf>
    <xf numFmtId="0" fontId="1" fillId="2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0" fontId="5" fillId="10" borderId="5" xfId="0" applyFont="1" applyFill="1" applyBorder="1" applyAlignment="1">
      <alignment horizontal="center" vertical="center" wrapText="1"/>
    </xf>
    <xf numFmtId="0" fontId="6" fillId="11" borderId="5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49" fontId="1" fillId="2" borderId="5" xfId="0" applyNumberFormat="1" applyFont="1" applyFill="1" applyBorder="1" applyAlignment="1">
      <alignment horizontal="center" vertical="center" wrapText="1"/>
    </xf>
    <xf numFmtId="0" fontId="9" fillId="19" borderId="5" xfId="1" applyFont="1" applyFill="1" applyBorder="1" applyAlignment="1">
      <alignment horizontal="center" vertical="center" wrapText="1"/>
    </xf>
    <xf numFmtId="0" fontId="10" fillId="19" borderId="5" xfId="1" applyFont="1" applyFill="1" applyBorder="1" applyAlignment="1">
      <alignment wrapText="1"/>
    </xf>
    <xf numFmtId="14" fontId="10" fillId="19" borderId="5" xfId="1" applyNumberFormat="1" applyFont="1" applyFill="1" applyBorder="1" applyAlignment="1">
      <alignment wrapText="1"/>
    </xf>
    <xf numFmtId="0" fontId="9" fillId="20" borderId="5" xfId="1" applyFont="1" applyFill="1" applyBorder="1" applyAlignment="1">
      <alignment horizontal="center" vertical="center" wrapText="1"/>
    </xf>
    <xf numFmtId="0" fontId="9" fillId="21" borderId="5" xfId="1" applyFont="1" applyFill="1" applyBorder="1" applyAlignment="1">
      <alignment horizontal="center" vertical="center" wrapText="1"/>
    </xf>
    <xf numFmtId="0" fontId="10" fillId="20" borderId="5" xfId="1" applyFont="1" applyFill="1" applyBorder="1" applyAlignment="1">
      <alignment wrapText="1"/>
    </xf>
    <xf numFmtId="0" fontId="10" fillId="21" borderId="5" xfId="1" applyFont="1" applyFill="1" applyBorder="1"/>
    <xf numFmtId="0" fontId="10" fillId="19" borderId="5" xfId="1" applyFont="1" applyFill="1" applyBorder="1" applyAlignment="1">
      <alignment horizontal="center" wrapText="1"/>
    </xf>
    <xf numFmtId="171" fontId="10" fillId="19" borderId="5" xfId="1" applyNumberFormat="1" applyFont="1" applyFill="1" applyBorder="1" applyAlignment="1">
      <alignment wrapText="1"/>
    </xf>
    <xf numFmtId="49" fontId="6" fillId="22" borderId="5" xfId="0" applyNumberFormat="1" applyFont="1" applyFill="1" applyBorder="1" applyAlignment="1">
      <alignment horizontal="center" vertical="center"/>
    </xf>
    <xf numFmtId="14" fontId="6" fillId="24" borderId="5" xfId="0" applyNumberFormat="1" applyFont="1" applyFill="1" applyBorder="1" applyAlignment="1">
      <alignment horizontal="center" vertical="center"/>
    </xf>
    <xf numFmtId="0" fontId="6" fillId="22" borderId="5" xfId="0" applyFont="1" applyFill="1" applyBorder="1" applyAlignment="1">
      <alignment horizontal="center" vertical="center" wrapText="1"/>
    </xf>
    <xf numFmtId="0" fontId="6" fillId="11" borderId="5" xfId="0" applyFont="1" applyFill="1" applyBorder="1" applyAlignment="1">
      <alignment horizontal="center" vertical="center" wrapText="1"/>
    </xf>
    <xf numFmtId="0" fontId="6" fillId="22" borderId="5" xfId="0" applyFont="1" applyFill="1" applyBorder="1" applyAlignment="1">
      <alignment horizontal="center" vertical="center"/>
    </xf>
    <xf numFmtId="164" fontId="3" fillId="26" borderId="4" xfId="0" applyNumberFormat="1" applyFont="1" applyFill="1" applyBorder="1" applyAlignment="1">
      <alignment horizontal="center" vertical="center"/>
    </xf>
    <xf numFmtId="0" fontId="3" fillId="27" borderId="5" xfId="0" applyFont="1" applyFill="1" applyBorder="1" applyAlignment="1">
      <alignment horizontal="center" vertical="center"/>
    </xf>
    <xf numFmtId="0" fontId="6" fillId="24" borderId="5" xfId="0" applyFont="1" applyFill="1" applyBorder="1" applyAlignment="1">
      <alignment horizontal="center" vertical="center"/>
    </xf>
    <xf numFmtId="0" fontId="6" fillId="23" borderId="4" xfId="0" applyFont="1" applyFill="1" applyBorder="1" applyAlignment="1">
      <alignment horizontal="center" vertical="center"/>
    </xf>
    <xf numFmtId="0" fontId="6" fillId="24" borderId="6" xfId="0" applyFont="1" applyFill="1" applyBorder="1" applyAlignment="1">
      <alignment horizontal="center" vertical="center"/>
    </xf>
    <xf numFmtId="0" fontId="6" fillId="22" borderId="4" xfId="0" applyFont="1" applyFill="1" applyBorder="1" applyAlignment="1">
      <alignment horizontal="center" vertical="center"/>
    </xf>
    <xf numFmtId="0" fontId="6" fillId="22" borderId="6" xfId="0" applyFont="1" applyFill="1" applyBorder="1" applyAlignment="1">
      <alignment horizontal="center" vertical="center"/>
    </xf>
    <xf numFmtId="164" fontId="3" fillId="26" borderId="5" xfId="0" applyNumberFormat="1" applyFont="1" applyFill="1" applyBorder="1" applyAlignment="1">
      <alignment horizontal="center" vertical="center"/>
    </xf>
    <xf numFmtId="49" fontId="6" fillId="24" borderId="4" xfId="0" applyNumberFormat="1" applyFont="1" applyFill="1" applyBorder="1" applyAlignment="1">
      <alignment horizontal="center" vertical="center"/>
    </xf>
    <xf numFmtId="0" fontId="6" fillId="22" borderId="4" xfId="0" applyFont="1" applyFill="1" applyBorder="1" applyAlignment="1">
      <alignment horizontal="center" vertical="center" wrapText="1"/>
    </xf>
    <xf numFmtId="0" fontId="6" fillId="24" borderId="4" xfId="0" applyFont="1" applyFill="1" applyBorder="1" applyAlignment="1">
      <alignment horizontal="center" vertical="center"/>
    </xf>
    <xf numFmtId="0" fontId="6" fillId="24" borderId="3" xfId="0" applyFont="1" applyFill="1" applyBorder="1" applyAlignment="1">
      <alignment horizontal="center" vertical="center"/>
    </xf>
    <xf numFmtId="0" fontId="6" fillId="22" borderId="7" xfId="0" applyFont="1" applyFill="1" applyBorder="1" applyAlignment="1">
      <alignment horizontal="center" vertical="center" wrapText="1"/>
    </xf>
    <xf numFmtId="0" fontId="6" fillId="24" borderId="7" xfId="0" applyFont="1" applyFill="1" applyBorder="1" applyAlignment="1">
      <alignment horizontal="center" vertical="center"/>
    </xf>
    <xf numFmtId="0" fontId="6" fillId="22" borderId="3" xfId="0" applyFont="1" applyFill="1" applyBorder="1" applyAlignment="1">
      <alignment horizontal="center" vertical="center" wrapText="1"/>
    </xf>
    <xf numFmtId="0" fontId="6" fillId="22" borderId="7" xfId="0" applyFont="1" applyFill="1" applyBorder="1" applyAlignment="1">
      <alignment horizontal="center" vertical="center"/>
    </xf>
    <xf numFmtId="49" fontId="6" fillId="24" borderId="7" xfId="0" applyNumberFormat="1" applyFont="1" applyFill="1" applyBorder="1" applyAlignment="1">
      <alignment horizontal="center" vertical="center"/>
    </xf>
    <xf numFmtId="0" fontId="6" fillId="22" borderId="6" xfId="0" applyFont="1" applyFill="1" applyBorder="1" applyAlignment="1">
      <alignment horizontal="center" vertical="center" wrapText="1"/>
    </xf>
    <xf numFmtId="164" fontId="3" fillId="26" borderId="3" xfId="0" applyNumberFormat="1" applyFont="1" applyFill="1" applyBorder="1" applyAlignment="1">
      <alignment horizontal="center" vertical="center"/>
    </xf>
    <xf numFmtId="0" fontId="6" fillId="23" borderId="4" xfId="0" applyFont="1" applyFill="1" applyBorder="1" applyAlignment="1">
      <alignment horizontal="center" vertical="center" wrapText="1"/>
    </xf>
    <xf numFmtId="49" fontId="6" fillId="23" borderId="5" xfId="0" applyNumberFormat="1" applyFont="1" applyFill="1" applyBorder="1" applyAlignment="1">
      <alignment horizontal="center" vertical="center"/>
    </xf>
    <xf numFmtId="49" fontId="6" fillId="23" borderId="4" xfId="0" applyNumberFormat="1" applyFont="1" applyFill="1" applyBorder="1" applyAlignment="1">
      <alignment horizontal="center" vertical="center"/>
    </xf>
    <xf numFmtId="0" fontId="6" fillId="23" borderId="3" xfId="0" applyFont="1" applyFill="1" applyBorder="1" applyAlignment="1">
      <alignment horizontal="center" vertical="center" wrapText="1"/>
    </xf>
    <xf numFmtId="0" fontId="6" fillId="23" borderId="3" xfId="0" applyFont="1" applyFill="1" applyBorder="1" applyAlignment="1">
      <alignment horizontal="center" vertical="center"/>
    </xf>
    <xf numFmtId="0" fontId="6" fillId="23" borderId="7" xfId="0" applyFont="1" applyFill="1" applyBorder="1" applyAlignment="1">
      <alignment horizontal="center" vertical="center" wrapText="1"/>
    </xf>
    <xf numFmtId="0" fontId="6" fillId="23" borderId="7" xfId="0" applyFont="1" applyFill="1" applyBorder="1" applyAlignment="1">
      <alignment horizontal="center" vertical="center"/>
    </xf>
    <xf numFmtId="0" fontId="6" fillId="23" borderId="6" xfId="0" applyFont="1" applyFill="1" applyBorder="1" applyAlignment="1">
      <alignment horizontal="center" vertical="center"/>
    </xf>
    <xf numFmtId="0" fontId="6" fillId="22" borderId="0" xfId="0" applyFont="1" applyFill="1" applyAlignment="1">
      <alignment horizontal="center" vertical="center" wrapText="1"/>
    </xf>
    <xf numFmtId="0" fontId="6" fillId="11" borderId="4" xfId="0" applyFont="1" applyFill="1" applyBorder="1" applyAlignment="1">
      <alignment horizontal="center" vertical="center" wrapText="1"/>
    </xf>
    <xf numFmtId="0" fontId="6" fillId="11" borderId="7" xfId="0" applyFont="1" applyFill="1" applyBorder="1" applyAlignment="1">
      <alignment horizontal="center" vertical="center" wrapText="1"/>
    </xf>
    <xf numFmtId="0" fontId="10" fillId="19" borderId="5" xfId="1" applyFont="1" applyFill="1" applyBorder="1" applyAlignment="1">
      <alignment horizontal="center" vertical="center" wrapText="1"/>
    </xf>
    <xf numFmtId="14" fontId="10" fillId="19" borderId="5" xfId="1" applyNumberFormat="1" applyFont="1" applyFill="1" applyBorder="1" applyAlignment="1">
      <alignment horizontal="center" vertical="center" wrapText="1"/>
    </xf>
    <xf numFmtId="0" fontId="10" fillId="20" borderId="5" xfId="1" applyFont="1" applyFill="1" applyBorder="1" applyAlignment="1">
      <alignment horizontal="center" vertical="center" wrapText="1"/>
    </xf>
    <xf numFmtId="0" fontId="10" fillId="21" borderId="5" xfId="1" applyFont="1" applyFill="1" applyBorder="1" applyAlignment="1">
      <alignment horizontal="center" vertical="center"/>
    </xf>
    <xf numFmtId="171" fontId="10" fillId="19" borderId="5" xfId="1" applyNumberFormat="1" applyFont="1" applyFill="1" applyBorder="1" applyAlignment="1">
      <alignment horizontal="center" vertical="center" wrapText="1"/>
    </xf>
    <xf numFmtId="0" fontId="10" fillId="3" borderId="5" xfId="1" applyFont="1" applyFill="1" applyBorder="1" applyAlignment="1">
      <alignment horizontal="center" vertical="center" wrapText="1"/>
    </xf>
    <xf numFmtId="0" fontId="10" fillId="22" borderId="5" xfId="1" applyFont="1" applyFill="1" applyBorder="1" applyAlignment="1">
      <alignment horizontal="center" vertical="center" wrapText="1"/>
    </xf>
    <xf numFmtId="0" fontId="0" fillId="22" borderId="5" xfId="0" applyFill="1" applyBorder="1" applyAlignment="1">
      <alignment horizontal="center" vertical="center"/>
    </xf>
    <xf numFmtId="14" fontId="6" fillId="22" borderId="5" xfId="0" applyNumberFormat="1" applyFont="1" applyFill="1" applyBorder="1" applyAlignment="1">
      <alignment horizontal="center" vertical="center"/>
    </xf>
    <xf numFmtId="0" fontId="6" fillId="11" borderId="0" xfId="0" applyFont="1" applyFill="1" applyAlignment="1">
      <alignment horizontal="center" vertical="center" wrapText="1"/>
    </xf>
    <xf numFmtId="0" fontId="6" fillId="14" borderId="4" xfId="0" applyFont="1" applyFill="1" applyBorder="1" applyAlignment="1">
      <alignment horizontal="center" vertical="center" wrapText="1"/>
    </xf>
    <xf numFmtId="49" fontId="6" fillId="24" borderId="5" xfId="0" applyNumberFormat="1" applyFont="1" applyFill="1" applyBorder="1" applyAlignment="1">
      <alignment horizontal="center" vertical="center"/>
    </xf>
    <xf numFmtId="49" fontId="6" fillId="24" borderId="0" xfId="0" applyNumberFormat="1" applyFont="1" applyFill="1" applyAlignment="1">
      <alignment horizontal="center" vertical="center"/>
    </xf>
    <xf numFmtId="0" fontId="6" fillId="24" borderId="3" xfId="0" applyFont="1" applyFill="1" applyBorder="1" applyAlignment="1">
      <alignment horizontal="center" vertical="center" wrapText="1"/>
    </xf>
    <xf numFmtId="0" fontId="6" fillId="13" borderId="0" xfId="0" applyFont="1" applyFill="1" applyAlignment="1">
      <alignment horizontal="center" vertical="center" wrapText="1"/>
    </xf>
    <xf numFmtId="0" fontId="6" fillId="22" borderId="3" xfId="0" applyFont="1" applyFill="1" applyBorder="1" applyAlignment="1">
      <alignment horizontal="center" vertical="center"/>
    </xf>
    <xf numFmtId="0" fontId="6" fillId="24" borderId="6" xfId="0" applyFont="1" applyFill="1" applyBorder="1" applyAlignment="1">
      <alignment horizontal="center" vertical="center" wrapText="1"/>
    </xf>
    <xf numFmtId="0" fontId="6" fillId="11" borderId="6" xfId="0" applyFont="1" applyFill="1" applyBorder="1" applyAlignment="1">
      <alignment horizontal="center" vertical="center" wrapText="1"/>
    </xf>
    <xf numFmtId="165" fontId="5" fillId="25" borderId="7" xfId="0" applyNumberFormat="1" applyFont="1" applyFill="1" applyBorder="1" applyAlignment="1">
      <alignment horizontal="center" vertical="center" wrapText="1"/>
    </xf>
    <xf numFmtId="0" fontId="6" fillId="14" borderId="6" xfId="0" applyFont="1" applyFill="1" applyBorder="1" applyAlignment="1">
      <alignment horizontal="center" vertical="center" wrapText="1"/>
    </xf>
    <xf numFmtId="0" fontId="6" fillId="22" borderId="1" xfId="0" applyFont="1" applyFill="1" applyBorder="1" applyAlignment="1">
      <alignment horizontal="center" vertical="center"/>
    </xf>
    <xf numFmtId="49" fontId="6" fillId="23" borderId="7" xfId="0" applyNumberFormat="1" applyFont="1" applyFill="1" applyBorder="1" applyAlignment="1">
      <alignment horizontal="center" vertical="center"/>
    </xf>
    <xf numFmtId="166" fontId="6" fillId="22" borderId="6" xfId="0" applyNumberFormat="1" applyFont="1" applyFill="1" applyBorder="1" applyAlignment="1">
      <alignment horizontal="center" vertical="center"/>
    </xf>
    <xf numFmtId="166" fontId="6" fillId="22" borderId="7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Normal" xfId="0" builtinId="0"/>
    <cellStyle name="Normal 2" xfId="1" xr:uid="{B1BB6B43-5F63-420F-AE6F-D44641761BE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9E605-D3A6-4DEF-97AD-89EC7115D58F}">
  <dimension ref="A1:AI381"/>
  <sheetViews>
    <sheetView tabSelected="1" topLeftCell="O1" zoomScaleNormal="100" workbookViewId="0">
      <selection activeCell="W3" sqref="W3"/>
    </sheetView>
  </sheetViews>
  <sheetFormatPr defaultRowHeight="14.4"/>
  <cols>
    <col min="3" max="3" width="16.5546875" bestFit="1" customWidth="1"/>
    <col min="6" max="6" width="19.5546875" bestFit="1" customWidth="1"/>
    <col min="7" max="7" width="39" bestFit="1" customWidth="1"/>
    <col min="8" max="8" width="12.109375" bestFit="1" customWidth="1"/>
    <col min="9" max="9" width="21.44140625" bestFit="1" customWidth="1"/>
    <col min="10" max="10" width="17.5546875" bestFit="1" customWidth="1"/>
    <col min="12" max="12" width="31.44140625" bestFit="1" customWidth="1"/>
    <col min="13" max="13" width="19.5546875" bestFit="1" customWidth="1"/>
    <col min="14" max="14" width="34.5546875" bestFit="1" customWidth="1"/>
    <col min="26" max="26" width="11.109375" bestFit="1" customWidth="1"/>
    <col min="29" max="29" width="18.109375" style="19" bestFit="1" customWidth="1"/>
    <col min="34" max="34" width="11" bestFit="1" customWidth="1"/>
    <col min="35" max="35" width="9.44140625" bestFit="1" customWidth="1"/>
    <col min="36" max="36" width="15" bestFit="1" customWidth="1"/>
    <col min="37" max="37" width="8.5546875" customWidth="1"/>
  </cols>
  <sheetData>
    <row r="1" spans="1:35" ht="15.6">
      <c r="A1" s="115" t="s">
        <v>0</v>
      </c>
      <c r="B1" s="116" t="s">
        <v>1</v>
      </c>
      <c r="C1" s="116" t="s">
        <v>2</v>
      </c>
      <c r="D1" s="116" t="s">
        <v>3</v>
      </c>
      <c r="E1" s="111" t="s">
        <v>4</v>
      </c>
      <c r="F1" s="115" t="s">
        <v>5</v>
      </c>
      <c r="G1" s="115" t="s">
        <v>6</v>
      </c>
      <c r="H1" s="111" t="s">
        <v>7</v>
      </c>
      <c r="I1" s="111" t="s">
        <v>8</v>
      </c>
      <c r="J1" s="111" t="s">
        <v>9</v>
      </c>
      <c r="K1" s="115" t="s">
        <v>10</v>
      </c>
      <c r="L1" s="115" t="s">
        <v>11</v>
      </c>
      <c r="M1" s="115" t="s">
        <v>12</v>
      </c>
      <c r="N1" s="115" t="s">
        <v>13</v>
      </c>
      <c r="O1" s="115" t="s">
        <v>14</v>
      </c>
      <c r="P1" s="115" t="s">
        <v>15</v>
      </c>
      <c r="Q1" s="115" t="s">
        <v>16</v>
      </c>
      <c r="R1" s="112"/>
      <c r="S1" s="112"/>
      <c r="T1" s="115" t="s">
        <v>17</v>
      </c>
      <c r="U1" s="112"/>
      <c r="V1" s="112"/>
      <c r="W1" s="1" t="s">
        <v>18</v>
      </c>
      <c r="X1" s="1" t="s">
        <v>19</v>
      </c>
      <c r="Y1" s="1" t="s">
        <v>20</v>
      </c>
      <c r="Z1" s="111" t="s">
        <v>21</v>
      </c>
      <c r="AA1" s="111" t="s">
        <v>22</v>
      </c>
      <c r="AB1" s="111" t="s">
        <v>23</v>
      </c>
      <c r="AC1" s="113" t="s">
        <v>24</v>
      </c>
      <c r="AD1" s="115" t="s">
        <v>25</v>
      </c>
      <c r="AE1" s="112"/>
      <c r="AF1" s="112"/>
      <c r="AG1" s="115" t="s">
        <v>26</v>
      </c>
      <c r="AH1" s="112"/>
      <c r="AI1" s="112"/>
    </row>
    <row r="2" spans="1:35" ht="15.6">
      <c r="A2" s="112"/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" t="s">
        <v>27</v>
      </c>
      <c r="R2" s="1" t="s">
        <v>28</v>
      </c>
      <c r="S2" s="1" t="s">
        <v>29</v>
      </c>
      <c r="T2" s="1" t="s">
        <v>27</v>
      </c>
      <c r="U2" s="1" t="s">
        <v>28</v>
      </c>
      <c r="V2" s="1" t="s">
        <v>29</v>
      </c>
      <c r="W2" s="1" t="s">
        <v>30</v>
      </c>
      <c r="X2" s="1" t="s">
        <v>31</v>
      </c>
      <c r="Y2" s="1" t="s">
        <v>32</v>
      </c>
      <c r="Z2" s="112"/>
      <c r="AA2" s="112"/>
      <c r="AB2" s="112"/>
      <c r="AC2" s="114"/>
      <c r="AD2" s="1" t="s">
        <v>33</v>
      </c>
      <c r="AE2" s="1" t="s">
        <v>34</v>
      </c>
      <c r="AF2" s="1" t="s">
        <v>35</v>
      </c>
      <c r="AG2" s="1" t="s">
        <v>33</v>
      </c>
      <c r="AH2" s="1" t="s">
        <v>34</v>
      </c>
      <c r="AI2" s="1" t="s">
        <v>35</v>
      </c>
    </row>
    <row r="3" spans="1:35" ht="128.25" customHeight="1">
      <c r="A3" s="2"/>
      <c r="B3" s="3" t="s">
        <v>200</v>
      </c>
      <c r="C3" s="3" t="s">
        <v>201</v>
      </c>
      <c r="D3" s="3" t="s">
        <v>202</v>
      </c>
      <c r="E3" s="3" t="s">
        <v>203</v>
      </c>
      <c r="F3" s="4" t="s">
        <v>204</v>
      </c>
      <c r="G3" s="3" t="s">
        <v>205</v>
      </c>
      <c r="H3" s="3" t="s">
        <v>206</v>
      </c>
      <c r="I3" s="3" t="s">
        <v>207</v>
      </c>
      <c r="J3" s="3" t="s">
        <v>208</v>
      </c>
      <c r="K3" s="3" t="s">
        <v>209</v>
      </c>
      <c r="L3" s="3" t="s">
        <v>210</v>
      </c>
      <c r="M3" s="3" t="s">
        <v>211</v>
      </c>
      <c r="N3" s="3" t="s">
        <v>212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 t="s">
        <v>213</v>
      </c>
      <c r="AA3" s="3"/>
      <c r="AB3" s="3"/>
      <c r="AC3" s="11" t="s">
        <v>214</v>
      </c>
      <c r="AD3" s="2"/>
      <c r="AE3" s="2"/>
      <c r="AF3" s="2"/>
      <c r="AG3" s="2"/>
      <c r="AH3" s="2"/>
      <c r="AI3" s="2"/>
    </row>
    <row r="4" spans="1:35" ht="15.6">
      <c r="A4" s="13">
        <v>1</v>
      </c>
      <c r="B4" s="21" t="s">
        <v>36</v>
      </c>
      <c r="C4" s="22">
        <v>43959</v>
      </c>
      <c r="D4" s="23" t="s">
        <v>37</v>
      </c>
      <c r="E4" s="24">
        <v>2</v>
      </c>
      <c r="F4" s="24" t="s">
        <v>38</v>
      </c>
      <c r="G4" s="24" t="s">
        <v>39</v>
      </c>
      <c r="H4" s="24">
        <v>2.5</v>
      </c>
      <c r="I4" s="24">
        <v>48</v>
      </c>
      <c r="J4" s="24">
        <v>1</v>
      </c>
      <c r="K4" s="24" t="s">
        <v>40</v>
      </c>
      <c r="L4" s="24" t="s">
        <v>41</v>
      </c>
      <c r="M4" s="24"/>
      <c r="N4" s="24" t="s">
        <v>42</v>
      </c>
      <c r="O4" s="24">
        <v>4</v>
      </c>
      <c r="P4" s="24">
        <v>6</v>
      </c>
      <c r="Q4" s="25">
        <v>21</v>
      </c>
      <c r="R4" s="25">
        <v>1</v>
      </c>
      <c r="S4" s="25">
        <v>25</v>
      </c>
      <c r="T4" s="26">
        <v>8</v>
      </c>
      <c r="U4" s="26">
        <v>5</v>
      </c>
      <c r="V4" s="26">
        <v>20</v>
      </c>
      <c r="W4" s="27">
        <f t="shared" ref="W4:W49" si="0">IF(E4&gt;0,IF(E4&lt;3,IF(V4&gt;0,IF((Q4-T4)&gt;=0,(S4-V4)*12+(R4-U4),(S4-V4)*12-1+(R4-U4))," "),""),"")</f>
        <v>56</v>
      </c>
      <c r="X4" s="28">
        <v>14.1</v>
      </c>
      <c r="Y4" s="28">
        <v>106</v>
      </c>
      <c r="Z4" s="28" t="s">
        <v>43</v>
      </c>
      <c r="AA4" s="28">
        <v>49</v>
      </c>
      <c r="AB4" s="28">
        <v>14</v>
      </c>
      <c r="AC4" s="12" t="s">
        <v>53</v>
      </c>
      <c r="AD4" s="9">
        <v>0.16798569939999999</v>
      </c>
      <c r="AE4" s="9">
        <v>-1.9990802219999999</v>
      </c>
      <c r="AF4" s="9">
        <v>-0.1364179714</v>
      </c>
      <c r="AG4" s="6" t="str">
        <f t="shared" ref="AG4:AG67" si="1">IF(Y4&gt;0,IF(AD4&lt;-3,"S.Pendek",IF(AD4&lt;-2,"Pendek",IF(AD4&lt;=3,"Normal","Tinggi")))," ")</f>
        <v>Normal</v>
      </c>
      <c r="AH4" s="7" t="str">
        <f t="shared" ref="AH4:AH67" si="2">IF(X4&gt;0,IF(AE4&lt;-3,"BB S.Krg",IF(AE4&lt;-2,"BB Krg",IF(AE4&lt;=1,"BB Normal","Ris Lbh")))," ")</f>
        <v>BB Normal</v>
      </c>
      <c r="AI4" s="8" t="str">
        <f t="shared" ref="AI4:AI67" si="3">IF(X4&gt;0,IF(Y4&gt;0,IF(AF4&lt;-3,"Gz.Brk",IF(AF4&lt;-2,"Gz.Krg",IF(AF4&lt;=1,"Normal",IF(AF4&lt;=2,"R.Gz.Lbh",IF(AF4&lt;=3,"Gz.Lbh","Obesitas")))))," "),"")</f>
        <v>Normal</v>
      </c>
    </row>
    <row r="5" spans="1:35" ht="15.6">
      <c r="A5" s="13">
        <v>2</v>
      </c>
      <c r="B5" s="21" t="s">
        <v>44</v>
      </c>
      <c r="C5" s="22">
        <v>44008</v>
      </c>
      <c r="D5" s="23" t="s">
        <v>37</v>
      </c>
      <c r="E5" s="24">
        <v>2</v>
      </c>
      <c r="F5" s="24" t="s">
        <v>45</v>
      </c>
      <c r="G5" s="24" t="s">
        <v>46</v>
      </c>
      <c r="H5" s="24">
        <v>2.8</v>
      </c>
      <c r="I5" s="24">
        <v>49</v>
      </c>
      <c r="J5" s="24">
        <v>1</v>
      </c>
      <c r="K5" s="24" t="s">
        <v>40</v>
      </c>
      <c r="L5" s="24" t="s">
        <v>47</v>
      </c>
      <c r="M5" s="24"/>
      <c r="N5" s="24" t="s">
        <v>42</v>
      </c>
      <c r="O5" s="13">
        <v>3</v>
      </c>
      <c r="P5" s="13">
        <v>6</v>
      </c>
      <c r="Q5" s="25">
        <v>21</v>
      </c>
      <c r="R5" s="25">
        <v>1</v>
      </c>
      <c r="S5" s="25">
        <v>25</v>
      </c>
      <c r="T5" s="26">
        <v>26</v>
      </c>
      <c r="U5" s="26">
        <v>6</v>
      </c>
      <c r="V5" s="26">
        <v>20</v>
      </c>
      <c r="W5" s="27">
        <f t="shared" si="0"/>
        <v>54</v>
      </c>
      <c r="X5" s="24">
        <v>13.7</v>
      </c>
      <c r="Y5" s="24">
        <v>97.4</v>
      </c>
      <c r="Z5" s="24" t="s">
        <v>43</v>
      </c>
      <c r="AA5" s="24">
        <v>46</v>
      </c>
      <c r="AB5" s="24">
        <v>15</v>
      </c>
      <c r="AC5" s="12" t="s">
        <v>53</v>
      </c>
      <c r="AD5" s="9">
        <v>1.957193097</v>
      </c>
      <c r="AE5" s="9">
        <v>3.4063682630000001</v>
      </c>
      <c r="AF5" s="9">
        <v>2.0086995970000001</v>
      </c>
      <c r="AG5" s="6" t="str">
        <f t="shared" si="1"/>
        <v>Normal</v>
      </c>
      <c r="AH5" s="7" t="str">
        <f t="shared" si="2"/>
        <v>Ris Lbh</v>
      </c>
      <c r="AI5" s="8" t="str">
        <f t="shared" si="3"/>
        <v>Gz.Lbh</v>
      </c>
    </row>
    <row r="6" spans="1:35" ht="15.6">
      <c r="A6" s="13">
        <f t="shared" ref="A6:A9" si="4">1+A5</f>
        <v>3</v>
      </c>
      <c r="B6" s="28">
        <v>3</v>
      </c>
      <c r="C6" s="29">
        <v>44011</v>
      </c>
      <c r="D6" s="28" t="s">
        <v>48</v>
      </c>
      <c r="E6" s="28">
        <v>1</v>
      </c>
      <c r="F6" s="28"/>
      <c r="G6" s="28" t="s">
        <v>49</v>
      </c>
      <c r="H6" s="28">
        <v>2.8</v>
      </c>
      <c r="I6" s="28">
        <v>49</v>
      </c>
      <c r="J6" s="28">
        <v>1</v>
      </c>
      <c r="K6" s="28" t="s">
        <v>40</v>
      </c>
      <c r="L6" s="28" t="s">
        <v>50</v>
      </c>
      <c r="M6" s="28"/>
      <c r="N6" s="24" t="s">
        <v>42</v>
      </c>
      <c r="O6" s="24">
        <v>4</v>
      </c>
      <c r="P6" s="24">
        <v>6</v>
      </c>
      <c r="Q6" s="25">
        <v>21</v>
      </c>
      <c r="R6" s="25">
        <v>1</v>
      </c>
      <c r="S6" s="25">
        <v>25</v>
      </c>
      <c r="T6" s="26">
        <v>29</v>
      </c>
      <c r="U6" s="26">
        <v>6</v>
      </c>
      <c r="V6" s="26">
        <v>20</v>
      </c>
      <c r="W6" s="27">
        <f t="shared" si="0"/>
        <v>54</v>
      </c>
      <c r="X6" s="28">
        <v>14.4</v>
      </c>
      <c r="Y6" s="28">
        <v>103</v>
      </c>
      <c r="Z6" s="28" t="s">
        <v>43</v>
      </c>
      <c r="AA6" s="28">
        <v>50</v>
      </c>
      <c r="AB6" s="28">
        <v>14.5</v>
      </c>
      <c r="AC6" s="12" t="s">
        <v>53</v>
      </c>
      <c r="AD6" s="9">
        <v>-0.1715433133</v>
      </c>
      <c r="AE6" s="9">
        <v>0.94510909880000005</v>
      </c>
      <c r="AF6" s="9">
        <v>-1.359514176</v>
      </c>
      <c r="AG6" s="6" t="str">
        <f t="shared" si="1"/>
        <v>Normal</v>
      </c>
      <c r="AH6" s="7" t="str">
        <f t="shared" si="2"/>
        <v>BB Normal</v>
      </c>
      <c r="AI6" s="8" t="str">
        <f t="shared" si="3"/>
        <v>Normal</v>
      </c>
    </row>
    <row r="7" spans="1:35" ht="15.6">
      <c r="A7" s="13">
        <f t="shared" si="4"/>
        <v>4</v>
      </c>
      <c r="B7" s="28">
        <v>1</v>
      </c>
      <c r="C7" s="29">
        <v>44082</v>
      </c>
      <c r="D7" s="28" t="s">
        <v>37</v>
      </c>
      <c r="E7" s="28">
        <v>2</v>
      </c>
      <c r="F7" s="28" t="s">
        <v>51</v>
      </c>
      <c r="G7" s="28" t="s">
        <v>52</v>
      </c>
      <c r="H7" s="28">
        <v>2.5</v>
      </c>
      <c r="I7" s="28">
        <v>48</v>
      </c>
      <c r="J7" s="28">
        <v>1</v>
      </c>
      <c r="K7" s="28" t="s">
        <v>53</v>
      </c>
      <c r="L7" s="28" t="s">
        <v>54</v>
      </c>
      <c r="M7" s="28" t="s">
        <v>55</v>
      </c>
      <c r="N7" s="24" t="s">
        <v>42</v>
      </c>
      <c r="O7" s="24">
        <v>1</v>
      </c>
      <c r="P7" s="24">
        <v>6</v>
      </c>
      <c r="Q7" s="25">
        <v>21</v>
      </c>
      <c r="R7" s="25">
        <v>1</v>
      </c>
      <c r="S7" s="25">
        <v>25</v>
      </c>
      <c r="T7" s="26">
        <v>8</v>
      </c>
      <c r="U7" s="26">
        <v>9</v>
      </c>
      <c r="V7" s="26">
        <v>20</v>
      </c>
      <c r="W7" s="27">
        <f t="shared" si="0"/>
        <v>52</v>
      </c>
      <c r="X7" s="28">
        <v>11.1</v>
      </c>
      <c r="Y7" s="28">
        <v>93.2</v>
      </c>
      <c r="Z7" s="28" t="s">
        <v>43</v>
      </c>
      <c r="AA7" s="28">
        <v>49</v>
      </c>
      <c r="AB7" s="28">
        <v>14</v>
      </c>
      <c r="AC7" s="12" t="s">
        <v>53</v>
      </c>
      <c r="AD7" s="9">
        <v>1.5591474940000001</v>
      </c>
      <c r="AE7" s="9">
        <v>2.5028789699999998</v>
      </c>
      <c r="AF7" s="9">
        <v>0.60965601390000002</v>
      </c>
      <c r="AG7" s="6" t="str">
        <f t="shared" si="1"/>
        <v>Normal</v>
      </c>
      <c r="AH7" s="7" t="str">
        <f t="shared" si="2"/>
        <v>Ris Lbh</v>
      </c>
      <c r="AI7" s="8" t="str">
        <f t="shared" si="3"/>
        <v>Normal</v>
      </c>
    </row>
    <row r="8" spans="1:35" ht="15.6">
      <c r="A8" s="13">
        <f t="shared" si="4"/>
        <v>5</v>
      </c>
      <c r="B8" s="28">
        <v>2</v>
      </c>
      <c r="C8" s="29">
        <v>44083</v>
      </c>
      <c r="D8" s="28" t="s">
        <v>48</v>
      </c>
      <c r="E8" s="28">
        <v>1</v>
      </c>
      <c r="F8" s="28"/>
      <c r="G8" s="28" t="s">
        <v>56</v>
      </c>
      <c r="H8" s="28">
        <v>2.8</v>
      </c>
      <c r="I8" s="28">
        <v>49</v>
      </c>
      <c r="J8" s="28">
        <v>1</v>
      </c>
      <c r="K8" s="28" t="s">
        <v>57</v>
      </c>
      <c r="L8" s="28" t="s">
        <v>58</v>
      </c>
      <c r="M8" s="28"/>
      <c r="N8" s="24" t="s">
        <v>42</v>
      </c>
      <c r="O8" s="24">
        <v>3</v>
      </c>
      <c r="P8" s="24">
        <v>6</v>
      </c>
      <c r="Q8" s="25">
        <v>21</v>
      </c>
      <c r="R8" s="25">
        <v>1</v>
      </c>
      <c r="S8" s="25">
        <v>25</v>
      </c>
      <c r="T8" s="26">
        <v>9</v>
      </c>
      <c r="U8" s="26">
        <v>9</v>
      </c>
      <c r="V8" s="26">
        <v>20</v>
      </c>
      <c r="W8" s="27">
        <f t="shared" si="0"/>
        <v>52</v>
      </c>
      <c r="X8" s="28">
        <v>12.5</v>
      </c>
      <c r="Y8" s="28">
        <v>94</v>
      </c>
      <c r="Z8" s="28" t="s">
        <v>43</v>
      </c>
      <c r="AA8" s="28">
        <v>49</v>
      </c>
      <c r="AB8" s="28">
        <v>14</v>
      </c>
      <c r="AC8" s="12" t="s">
        <v>53</v>
      </c>
      <c r="AD8" s="9">
        <v>-1.146861656</v>
      </c>
      <c r="AE8" s="9">
        <v>-1.6977755329999999</v>
      </c>
      <c r="AF8" s="9">
        <v>0.1749311181</v>
      </c>
      <c r="AG8" s="6" t="str">
        <f t="shared" si="1"/>
        <v>Normal</v>
      </c>
      <c r="AH8" s="7" t="str">
        <f t="shared" si="2"/>
        <v>BB Normal</v>
      </c>
      <c r="AI8" s="8" t="str">
        <f t="shared" si="3"/>
        <v>Normal</v>
      </c>
    </row>
    <row r="9" spans="1:35" ht="15.6">
      <c r="A9" s="13">
        <f t="shared" si="4"/>
        <v>6</v>
      </c>
      <c r="B9" s="28">
        <v>1</v>
      </c>
      <c r="C9" s="29">
        <v>44108</v>
      </c>
      <c r="D9" s="28" t="s">
        <v>37</v>
      </c>
      <c r="E9" s="28">
        <v>2</v>
      </c>
      <c r="F9" s="28" t="s">
        <v>59</v>
      </c>
      <c r="G9" s="28" t="s">
        <v>60</v>
      </c>
      <c r="H9" s="28">
        <v>2.8</v>
      </c>
      <c r="I9" s="28">
        <v>49</v>
      </c>
      <c r="J9" s="28">
        <v>1</v>
      </c>
      <c r="K9" s="28" t="s">
        <v>57</v>
      </c>
      <c r="L9" s="28" t="s">
        <v>61</v>
      </c>
      <c r="M9" s="28"/>
      <c r="N9" s="24" t="s">
        <v>42</v>
      </c>
      <c r="O9" s="24">
        <v>1</v>
      </c>
      <c r="P9" s="24">
        <v>6</v>
      </c>
      <c r="Q9" s="25">
        <v>21</v>
      </c>
      <c r="R9" s="25">
        <v>1</v>
      </c>
      <c r="S9" s="25">
        <v>25</v>
      </c>
      <c r="T9" s="26">
        <v>4</v>
      </c>
      <c r="U9" s="26">
        <v>10</v>
      </c>
      <c r="V9" s="26">
        <v>20</v>
      </c>
      <c r="W9" s="27">
        <f t="shared" si="0"/>
        <v>51</v>
      </c>
      <c r="X9" s="28">
        <v>15.9</v>
      </c>
      <c r="Y9" s="28">
        <v>100.5</v>
      </c>
      <c r="Z9" s="28" t="s">
        <v>43</v>
      </c>
      <c r="AA9" s="28">
        <v>50</v>
      </c>
      <c r="AB9" s="28">
        <v>17</v>
      </c>
      <c r="AC9" s="12" t="s">
        <v>53</v>
      </c>
      <c r="AD9" s="9">
        <v>0.16798569939999999</v>
      </c>
      <c r="AE9" s="9">
        <v>-1.673123524</v>
      </c>
      <c r="AF9" s="9">
        <v>3.1039614869999999</v>
      </c>
      <c r="AG9" s="6" t="str">
        <f t="shared" si="1"/>
        <v>Normal</v>
      </c>
      <c r="AH9" s="7" t="str">
        <f t="shared" si="2"/>
        <v>BB Normal</v>
      </c>
      <c r="AI9" s="8" t="str">
        <f t="shared" si="3"/>
        <v>Obesitas</v>
      </c>
    </row>
    <row r="10" spans="1:35" ht="15.6">
      <c r="A10" s="13">
        <v>7</v>
      </c>
      <c r="B10" s="28">
        <v>2</v>
      </c>
      <c r="C10" s="29">
        <v>44155</v>
      </c>
      <c r="D10" s="28" t="s">
        <v>37</v>
      </c>
      <c r="E10" s="28">
        <v>2</v>
      </c>
      <c r="F10" s="28" t="s">
        <v>62</v>
      </c>
      <c r="G10" s="28" t="s">
        <v>63</v>
      </c>
      <c r="H10" s="28">
        <v>3.2</v>
      </c>
      <c r="I10" s="28">
        <v>50</v>
      </c>
      <c r="J10" s="28">
        <v>1</v>
      </c>
      <c r="K10" s="28" t="s">
        <v>57</v>
      </c>
      <c r="L10" s="28" t="s">
        <v>64</v>
      </c>
      <c r="M10" s="28"/>
      <c r="N10" s="24" t="s">
        <v>42</v>
      </c>
      <c r="O10" s="24">
        <v>1</v>
      </c>
      <c r="P10" s="24">
        <v>6</v>
      </c>
      <c r="Q10" s="25">
        <v>21</v>
      </c>
      <c r="R10" s="25">
        <v>1</v>
      </c>
      <c r="S10" s="25">
        <v>25</v>
      </c>
      <c r="T10" s="26">
        <v>20</v>
      </c>
      <c r="U10" s="26">
        <v>11</v>
      </c>
      <c r="V10" s="26">
        <v>20</v>
      </c>
      <c r="W10" s="27">
        <f t="shared" si="0"/>
        <v>50</v>
      </c>
      <c r="X10" s="28">
        <v>14.1</v>
      </c>
      <c r="Y10" s="28">
        <v>106</v>
      </c>
      <c r="Z10" s="28" t="s">
        <v>43</v>
      </c>
      <c r="AA10" s="28">
        <v>49</v>
      </c>
      <c r="AB10" s="28">
        <v>14</v>
      </c>
      <c r="AC10" s="12" t="s">
        <v>53</v>
      </c>
      <c r="AD10" s="9">
        <v>-2.4370645</v>
      </c>
      <c r="AE10" s="9">
        <v>-1.7961859739999999</v>
      </c>
      <c r="AF10" s="9">
        <v>-1.284648689</v>
      </c>
      <c r="AG10" s="6" t="str">
        <f t="shared" si="1"/>
        <v>Pendek</v>
      </c>
      <c r="AH10" s="7" t="str">
        <f t="shared" si="2"/>
        <v>BB Normal</v>
      </c>
      <c r="AI10" s="8" t="str">
        <f t="shared" si="3"/>
        <v>Normal</v>
      </c>
    </row>
    <row r="11" spans="1:35" ht="15.6">
      <c r="A11" s="13">
        <v>8</v>
      </c>
      <c r="B11" s="28">
        <v>2</v>
      </c>
      <c r="C11" s="29">
        <v>44273</v>
      </c>
      <c r="D11" s="28" t="s">
        <v>37</v>
      </c>
      <c r="E11" s="28">
        <v>2</v>
      </c>
      <c r="F11" s="28" t="s">
        <v>65</v>
      </c>
      <c r="G11" s="28" t="s">
        <v>66</v>
      </c>
      <c r="H11" s="28">
        <v>2.6</v>
      </c>
      <c r="I11" s="28">
        <v>47</v>
      </c>
      <c r="J11" s="28">
        <v>1</v>
      </c>
      <c r="K11" s="28" t="s">
        <v>57</v>
      </c>
      <c r="L11" s="28" t="s">
        <v>67</v>
      </c>
      <c r="M11" s="28" t="s">
        <v>68</v>
      </c>
      <c r="N11" s="24" t="s">
        <v>42</v>
      </c>
      <c r="O11" s="24">
        <v>4</v>
      </c>
      <c r="P11" s="24">
        <v>6</v>
      </c>
      <c r="Q11" s="25">
        <v>21</v>
      </c>
      <c r="R11" s="25">
        <v>1</v>
      </c>
      <c r="S11" s="25">
        <v>25</v>
      </c>
      <c r="T11" s="26">
        <v>18</v>
      </c>
      <c r="U11" s="26">
        <v>3</v>
      </c>
      <c r="V11" s="26">
        <v>21</v>
      </c>
      <c r="W11" s="27">
        <f t="shared" si="0"/>
        <v>46</v>
      </c>
      <c r="X11" s="28">
        <v>14.8</v>
      </c>
      <c r="Y11" s="28">
        <v>97.6</v>
      </c>
      <c r="Z11" s="28" t="s">
        <v>43</v>
      </c>
      <c r="AA11" s="28">
        <v>50</v>
      </c>
      <c r="AB11" s="28">
        <v>17</v>
      </c>
      <c r="AC11" s="12" t="s">
        <v>53</v>
      </c>
      <c r="AD11" s="9">
        <v>-0.72017569319999997</v>
      </c>
      <c r="AE11" s="9">
        <v>0.8752717955</v>
      </c>
      <c r="AF11" s="9">
        <v>-0.45449538610000001</v>
      </c>
      <c r="AG11" s="6" t="str">
        <f t="shared" si="1"/>
        <v>Normal</v>
      </c>
      <c r="AH11" s="7" t="str">
        <f t="shared" si="2"/>
        <v>BB Normal</v>
      </c>
      <c r="AI11" s="8" t="str">
        <f t="shared" si="3"/>
        <v>Normal</v>
      </c>
    </row>
    <row r="12" spans="1:35" ht="15.6">
      <c r="A12" s="13">
        <v>9</v>
      </c>
      <c r="B12" s="28">
        <v>1</v>
      </c>
      <c r="C12" s="29">
        <v>44284</v>
      </c>
      <c r="D12" s="28" t="s">
        <v>37</v>
      </c>
      <c r="E12" s="28">
        <v>2</v>
      </c>
      <c r="F12" s="28" t="s">
        <v>69</v>
      </c>
      <c r="G12" s="28" t="s">
        <v>70</v>
      </c>
      <c r="H12" s="28">
        <v>3.5</v>
      </c>
      <c r="I12" s="28">
        <v>49</v>
      </c>
      <c r="J12" s="28">
        <v>1</v>
      </c>
      <c r="K12" s="28" t="s">
        <v>57</v>
      </c>
      <c r="L12" s="28" t="s">
        <v>71</v>
      </c>
      <c r="M12" s="28" t="s">
        <v>72</v>
      </c>
      <c r="N12" s="24" t="s">
        <v>42</v>
      </c>
      <c r="O12" s="24">
        <v>3</v>
      </c>
      <c r="P12" s="24">
        <v>6</v>
      </c>
      <c r="Q12" s="25">
        <v>21</v>
      </c>
      <c r="R12" s="25">
        <v>1</v>
      </c>
      <c r="S12" s="25">
        <v>25</v>
      </c>
      <c r="T12" s="26">
        <v>29</v>
      </c>
      <c r="U12" s="26">
        <v>3</v>
      </c>
      <c r="V12" s="26">
        <v>21</v>
      </c>
      <c r="W12" s="27">
        <f t="shared" si="0"/>
        <v>45</v>
      </c>
      <c r="X12" s="28">
        <v>17.2</v>
      </c>
      <c r="Y12" s="28">
        <v>103</v>
      </c>
      <c r="Z12" s="28" t="s">
        <v>43</v>
      </c>
      <c r="AA12" s="28">
        <v>51</v>
      </c>
      <c r="AB12" s="28">
        <v>17</v>
      </c>
      <c r="AC12" s="12" t="s">
        <v>53</v>
      </c>
      <c r="AD12" s="9">
        <v>-2.028164699</v>
      </c>
      <c r="AE12" s="9">
        <v>-1.9990802219999999</v>
      </c>
      <c r="AF12" s="9">
        <v>3.1039614869999999</v>
      </c>
      <c r="AG12" s="6" t="str">
        <f t="shared" si="1"/>
        <v>Pendek</v>
      </c>
      <c r="AH12" s="7" t="str">
        <f t="shared" si="2"/>
        <v>BB Normal</v>
      </c>
      <c r="AI12" s="8" t="str">
        <f t="shared" si="3"/>
        <v>Obesitas</v>
      </c>
    </row>
    <row r="13" spans="1:35" ht="15.6">
      <c r="A13" s="13">
        <v>10</v>
      </c>
      <c r="B13" s="28">
        <v>2</v>
      </c>
      <c r="C13" s="29">
        <v>44317</v>
      </c>
      <c r="D13" s="28" t="s">
        <v>37</v>
      </c>
      <c r="E13" s="28">
        <v>2</v>
      </c>
      <c r="F13" s="28"/>
      <c r="G13" s="28" t="s">
        <v>73</v>
      </c>
      <c r="H13" s="28">
        <v>2.8</v>
      </c>
      <c r="I13" s="28">
        <v>47</v>
      </c>
      <c r="J13" s="28">
        <v>1</v>
      </c>
      <c r="K13" s="28" t="s">
        <v>57</v>
      </c>
      <c r="L13" s="28" t="s">
        <v>74</v>
      </c>
      <c r="M13" s="28"/>
      <c r="N13" s="24" t="s">
        <v>42</v>
      </c>
      <c r="O13" s="24">
        <v>3</v>
      </c>
      <c r="P13" s="24">
        <v>6</v>
      </c>
      <c r="Q13" s="25">
        <v>21</v>
      </c>
      <c r="R13" s="25">
        <v>1</v>
      </c>
      <c r="S13" s="25">
        <v>25</v>
      </c>
      <c r="T13" s="26">
        <v>1</v>
      </c>
      <c r="U13" s="26">
        <v>5</v>
      </c>
      <c r="V13" s="26">
        <v>21</v>
      </c>
      <c r="W13" s="27">
        <f t="shared" si="0"/>
        <v>44</v>
      </c>
      <c r="X13" s="30">
        <v>9.1999999999999993</v>
      </c>
      <c r="Y13" s="30">
        <v>80</v>
      </c>
      <c r="Z13" s="28" t="s">
        <v>43</v>
      </c>
      <c r="AA13" s="28">
        <v>49</v>
      </c>
      <c r="AB13" s="28">
        <v>16</v>
      </c>
      <c r="AC13" s="12" t="s">
        <v>53</v>
      </c>
      <c r="AD13" s="9">
        <v>-0.2328013323</v>
      </c>
      <c r="AE13" s="9">
        <v>0.25332594419999999</v>
      </c>
      <c r="AF13" s="9">
        <v>-1.562722312</v>
      </c>
      <c r="AG13" s="6" t="str">
        <f t="shared" si="1"/>
        <v>Normal</v>
      </c>
      <c r="AH13" s="7" t="str">
        <f t="shared" si="2"/>
        <v>BB Normal</v>
      </c>
      <c r="AI13" s="8" t="str">
        <f t="shared" si="3"/>
        <v>Normal</v>
      </c>
    </row>
    <row r="14" spans="1:35" ht="15.6">
      <c r="A14" s="13">
        <f t="shared" ref="A14:A15" si="5">1+A13</f>
        <v>11</v>
      </c>
      <c r="B14" s="28">
        <v>1</v>
      </c>
      <c r="C14" s="29">
        <v>44345</v>
      </c>
      <c r="D14" s="28" t="s">
        <v>48</v>
      </c>
      <c r="E14" s="28">
        <v>1</v>
      </c>
      <c r="F14" s="28"/>
      <c r="G14" s="28" t="s">
        <v>75</v>
      </c>
      <c r="H14" s="28">
        <v>3.4</v>
      </c>
      <c r="I14" s="28">
        <v>50</v>
      </c>
      <c r="J14" s="28">
        <v>1</v>
      </c>
      <c r="K14" s="28" t="s">
        <v>57</v>
      </c>
      <c r="L14" s="28" t="s">
        <v>76</v>
      </c>
      <c r="M14" s="28"/>
      <c r="N14" s="24" t="s">
        <v>42</v>
      </c>
      <c r="O14" s="24">
        <v>1</v>
      </c>
      <c r="P14" s="24">
        <v>6</v>
      </c>
      <c r="Q14" s="25">
        <v>21</v>
      </c>
      <c r="R14" s="25">
        <v>1</v>
      </c>
      <c r="S14" s="25">
        <v>25</v>
      </c>
      <c r="T14" s="26">
        <v>29</v>
      </c>
      <c r="U14" s="26">
        <v>5</v>
      </c>
      <c r="V14" s="26">
        <v>21</v>
      </c>
      <c r="W14" s="27">
        <f t="shared" si="0"/>
        <v>43</v>
      </c>
      <c r="X14" s="30">
        <v>7.08</v>
      </c>
      <c r="Y14" s="30">
        <v>72</v>
      </c>
      <c r="Z14" s="28" t="s">
        <v>43</v>
      </c>
      <c r="AA14" s="24">
        <v>46</v>
      </c>
      <c r="AB14" s="24">
        <v>15</v>
      </c>
      <c r="AC14" s="12" t="s">
        <v>53</v>
      </c>
      <c r="AD14" s="9">
        <v>-0.13194324290000001</v>
      </c>
      <c r="AE14" s="9">
        <v>2.927690938E-2</v>
      </c>
      <c r="AF14" s="9">
        <v>-0.2498828012</v>
      </c>
      <c r="AG14" s="6" t="str">
        <f t="shared" si="1"/>
        <v>Normal</v>
      </c>
      <c r="AH14" s="7" t="str">
        <f t="shared" si="2"/>
        <v>BB Normal</v>
      </c>
      <c r="AI14" s="8" t="str">
        <f t="shared" si="3"/>
        <v>Normal</v>
      </c>
    </row>
    <row r="15" spans="1:35" ht="15.6">
      <c r="A15" s="13">
        <f t="shared" si="5"/>
        <v>12</v>
      </c>
      <c r="B15" s="28">
        <v>1</v>
      </c>
      <c r="C15" s="29">
        <v>44412</v>
      </c>
      <c r="D15" s="28" t="s">
        <v>48</v>
      </c>
      <c r="E15" s="28">
        <v>1</v>
      </c>
      <c r="F15" s="28" t="s">
        <v>77</v>
      </c>
      <c r="G15" s="28" t="s">
        <v>78</v>
      </c>
      <c r="H15" s="28">
        <v>2.8</v>
      </c>
      <c r="I15" s="28">
        <v>50</v>
      </c>
      <c r="J15" s="28">
        <v>1</v>
      </c>
      <c r="K15" s="28" t="s">
        <v>57</v>
      </c>
      <c r="L15" s="28" t="s">
        <v>79</v>
      </c>
      <c r="M15" s="28"/>
      <c r="N15" s="24" t="s">
        <v>42</v>
      </c>
      <c r="O15" s="24">
        <v>4</v>
      </c>
      <c r="P15" s="24">
        <v>6</v>
      </c>
      <c r="Q15" s="25">
        <v>21</v>
      </c>
      <c r="R15" s="25">
        <v>1</v>
      </c>
      <c r="S15" s="25">
        <v>25</v>
      </c>
      <c r="T15" s="26">
        <v>4</v>
      </c>
      <c r="U15" s="26">
        <v>8</v>
      </c>
      <c r="V15" s="26">
        <v>21</v>
      </c>
      <c r="W15" s="27">
        <f t="shared" si="0"/>
        <v>41</v>
      </c>
      <c r="X15" s="30">
        <v>14.2</v>
      </c>
      <c r="Y15" s="30">
        <v>86.1</v>
      </c>
      <c r="Z15" s="28" t="s">
        <v>43</v>
      </c>
      <c r="AA15" s="28">
        <v>50</v>
      </c>
      <c r="AB15" s="28">
        <v>17</v>
      </c>
      <c r="AC15" s="12" t="s">
        <v>53</v>
      </c>
      <c r="AD15" s="9">
        <v>-0.66677972630000004</v>
      </c>
      <c r="AE15" s="9">
        <v>1.836764821</v>
      </c>
      <c r="AF15" s="9">
        <v>-1.6157209269999999</v>
      </c>
      <c r="AG15" s="6" t="str">
        <f t="shared" si="1"/>
        <v>Normal</v>
      </c>
      <c r="AH15" s="7" t="str">
        <f t="shared" si="2"/>
        <v>Ris Lbh</v>
      </c>
      <c r="AI15" s="8" t="str">
        <f t="shared" si="3"/>
        <v>Normal</v>
      </c>
    </row>
    <row r="16" spans="1:35" ht="15.6">
      <c r="A16" s="13">
        <v>13</v>
      </c>
      <c r="B16" s="28">
        <v>1</v>
      </c>
      <c r="C16" s="29">
        <v>44436</v>
      </c>
      <c r="D16" s="28" t="s">
        <v>37</v>
      </c>
      <c r="E16" s="28">
        <v>2</v>
      </c>
      <c r="F16" s="28" t="s">
        <v>80</v>
      </c>
      <c r="G16" s="28" t="s">
        <v>81</v>
      </c>
      <c r="H16" s="28">
        <v>3.5</v>
      </c>
      <c r="I16" s="28">
        <v>49</v>
      </c>
      <c r="J16" s="28">
        <v>1</v>
      </c>
      <c r="K16" s="28" t="s">
        <v>57</v>
      </c>
      <c r="L16" s="28" t="s">
        <v>82</v>
      </c>
      <c r="M16" s="28"/>
      <c r="N16" s="24" t="s">
        <v>42</v>
      </c>
      <c r="O16" s="24">
        <v>4</v>
      </c>
      <c r="P16" s="24">
        <v>6</v>
      </c>
      <c r="Q16" s="25">
        <v>21</v>
      </c>
      <c r="R16" s="25">
        <v>1</v>
      </c>
      <c r="S16" s="25">
        <v>25</v>
      </c>
      <c r="T16" s="26">
        <v>28</v>
      </c>
      <c r="U16" s="26">
        <v>8</v>
      </c>
      <c r="V16" s="26">
        <v>21</v>
      </c>
      <c r="W16" s="27">
        <f t="shared" si="0"/>
        <v>40</v>
      </c>
      <c r="X16" s="28">
        <v>14.8</v>
      </c>
      <c r="Y16" s="28">
        <v>97.6</v>
      </c>
      <c r="Z16" s="28" t="s">
        <v>83</v>
      </c>
      <c r="AA16" s="28">
        <v>50</v>
      </c>
      <c r="AB16" s="28">
        <v>16</v>
      </c>
      <c r="AC16" s="12" t="s">
        <v>53</v>
      </c>
      <c r="AD16" s="9">
        <v>-6.6601742980000003E-2</v>
      </c>
      <c r="AE16" s="9">
        <v>-0.85889886150000005</v>
      </c>
      <c r="AF16" s="9">
        <v>-0.72565268390000004</v>
      </c>
      <c r="AG16" s="6" t="str">
        <f t="shared" si="1"/>
        <v>Normal</v>
      </c>
      <c r="AH16" s="7" t="str">
        <f t="shared" si="2"/>
        <v>BB Normal</v>
      </c>
      <c r="AI16" s="8" t="str">
        <f t="shared" si="3"/>
        <v>Normal</v>
      </c>
    </row>
    <row r="17" spans="1:35" ht="15.6">
      <c r="A17" s="13">
        <v>14</v>
      </c>
      <c r="B17" s="28">
        <v>2</v>
      </c>
      <c r="C17" s="29">
        <v>44508</v>
      </c>
      <c r="D17" s="28" t="s">
        <v>37</v>
      </c>
      <c r="E17" s="28">
        <v>2</v>
      </c>
      <c r="F17" s="28" t="s">
        <v>84</v>
      </c>
      <c r="G17" s="28" t="s">
        <v>85</v>
      </c>
      <c r="H17" s="28">
        <v>2.6</v>
      </c>
      <c r="I17" s="28">
        <v>48</v>
      </c>
      <c r="J17" s="28">
        <v>1</v>
      </c>
      <c r="K17" s="28" t="s">
        <v>57</v>
      </c>
      <c r="L17" s="28" t="s">
        <v>86</v>
      </c>
      <c r="M17" s="28"/>
      <c r="N17" s="24" t="s">
        <v>42</v>
      </c>
      <c r="O17" s="24">
        <v>4</v>
      </c>
      <c r="P17" s="24">
        <v>6</v>
      </c>
      <c r="Q17" s="25">
        <v>21</v>
      </c>
      <c r="R17" s="25">
        <v>1</v>
      </c>
      <c r="S17" s="25">
        <v>25</v>
      </c>
      <c r="T17" s="26">
        <v>8</v>
      </c>
      <c r="U17" s="26">
        <v>11</v>
      </c>
      <c r="V17" s="26">
        <v>21</v>
      </c>
      <c r="W17" s="27">
        <f t="shared" si="0"/>
        <v>38</v>
      </c>
      <c r="X17" s="28">
        <v>13.3</v>
      </c>
      <c r="Y17" s="28">
        <v>90.5</v>
      </c>
      <c r="Z17" s="28" t="s">
        <v>83</v>
      </c>
      <c r="AA17" s="28">
        <v>50</v>
      </c>
      <c r="AB17" s="28">
        <v>16</v>
      </c>
      <c r="AC17" s="12" t="s">
        <v>53</v>
      </c>
      <c r="AD17" s="9">
        <v>-2.6106485589999999</v>
      </c>
      <c r="AE17" s="9">
        <v>-1.7605402960000001</v>
      </c>
      <c r="AF17" s="9">
        <v>-1.5120086109999999</v>
      </c>
      <c r="AG17" s="6" t="str">
        <f t="shared" si="1"/>
        <v>Pendek</v>
      </c>
      <c r="AH17" s="7" t="str">
        <f t="shared" si="2"/>
        <v>BB Normal</v>
      </c>
      <c r="AI17" s="8" t="str">
        <f t="shared" si="3"/>
        <v>Normal</v>
      </c>
    </row>
    <row r="18" spans="1:35" ht="15.6">
      <c r="A18" s="13">
        <f t="shared" ref="A18:A21" si="6">1+A17</f>
        <v>15</v>
      </c>
      <c r="B18" s="28">
        <v>2</v>
      </c>
      <c r="C18" s="29">
        <v>44518</v>
      </c>
      <c r="D18" s="28" t="s">
        <v>37</v>
      </c>
      <c r="E18" s="28">
        <v>2</v>
      </c>
      <c r="F18" s="28" t="s">
        <v>87</v>
      </c>
      <c r="G18" s="28" t="s">
        <v>88</v>
      </c>
      <c r="H18" s="28">
        <v>3.2</v>
      </c>
      <c r="I18" s="28">
        <v>48</v>
      </c>
      <c r="J18" s="28">
        <v>1</v>
      </c>
      <c r="K18" s="28" t="s">
        <v>57</v>
      </c>
      <c r="L18" s="28" t="s">
        <v>89</v>
      </c>
      <c r="M18" s="28" t="s">
        <v>90</v>
      </c>
      <c r="N18" s="24" t="s">
        <v>42</v>
      </c>
      <c r="O18" s="24">
        <v>3</v>
      </c>
      <c r="P18" s="24">
        <v>6</v>
      </c>
      <c r="Q18" s="25">
        <v>21</v>
      </c>
      <c r="R18" s="25">
        <v>1</v>
      </c>
      <c r="S18" s="25">
        <v>25</v>
      </c>
      <c r="T18" s="26">
        <v>18</v>
      </c>
      <c r="U18" s="26">
        <v>11</v>
      </c>
      <c r="V18" s="26">
        <v>21</v>
      </c>
      <c r="W18" s="27">
        <f t="shared" si="0"/>
        <v>38</v>
      </c>
      <c r="X18" s="28">
        <v>18.100000000000001</v>
      </c>
      <c r="Y18" s="28">
        <v>100.5</v>
      </c>
      <c r="Z18" s="28" t="s">
        <v>83</v>
      </c>
      <c r="AA18" s="28">
        <v>51</v>
      </c>
      <c r="AB18" s="28">
        <v>19.5</v>
      </c>
      <c r="AC18" s="12" t="s">
        <v>53</v>
      </c>
      <c r="AD18" s="9">
        <v>-0.63809569300000002</v>
      </c>
      <c r="AE18" s="9">
        <v>-1.0100177100000001</v>
      </c>
      <c r="AF18" s="9">
        <v>0.78849130909999998</v>
      </c>
      <c r="AG18" s="6" t="str">
        <f t="shared" si="1"/>
        <v>Normal</v>
      </c>
      <c r="AH18" s="7" t="str">
        <f t="shared" si="2"/>
        <v>BB Normal</v>
      </c>
      <c r="AI18" s="8" t="str">
        <f t="shared" si="3"/>
        <v>Normal</v>
      </c>
    </row>
    <row r="19" spans="1:35" ht="15.6">
      <c r="A19" s="13">
        <f t="shared" si="6"/>
        <v>16</v>
      </c>
      <c r="B19" s="28">
        <v>2</v>
      </c>
      <c r="C19" s="29">
        <v>44573</v>
      </c>
      <c r="D19" s="28" t="s">
        <v>37</v>
      </c>
      <c r="E19" s="28">
        <v>2</v>
      </c>
      <c r="F19" s="28" t="s">
        <v>91</v>
      </c>
      <c r="G19" s="28" t="s">
        <v>92</v>
      </c>
      <c r="H19" s="28">
        <v>3.2</v>
      </c>
      <c r="I19" s="28">
        <v>48</v>
      </c>
      <c r="J19" s="28">
        <v>1</v>
      </c>
      <c r="K19" s="28" t="s">
        <v>57</v>
      </c>
      <c r="L19" s="28" t="s">
        <v>93</v>
      </c>
      <c r="M19" s="28" t="s">
        <v>94</v>
      </c>
      <c r="N19" s="24" t="s">
        <v>42</v>
      </c>
      <c r="O19" s="24">
        <v>4</v>
      </c>
      <c r="P19" s="24">
        <v>6</v>
      </c>
      <c r="Q19" s="25">
        <v>21</v>
      </c>
      <c r="R19" s="25">
        <v>1</v>
      </c>
      <c r="S19" s="25">
        <v>25</v>
      </c>
      <c r="T19" s="26">
        <v>12</v>
      </c>
      <c r="U19" s="26">
        <v>1</v>
      </c>
      <c r="V19" s="26">
        <v>22</v>
      </c>
      <c r="W19" s="27">
        <f t="shared" si="0"/>
        <v>36</v>
      </c>
      <c r="X19" s="28">
        <v>9.1</v>
      </c>
      <c r="Y19" s="17">
        <v>74</v>
      </c>
      <c r="Z19" s="28" t="s">
        <v>83</v>
      </c>
      <c r="AA19" s="28">
        <v>50</v>
      </c>
      <c r="AB19" s="28">
        <v>17</v>
      </c>
      <c r="AC19" s="12" t="s">
        <v>53</v>
      </c>
      <c r="AD19" s="9">
        <v>-0.2165070029</v>
      </c>
      <c r="AE19" s="9">
        <v>0.82031681919999999</v>
      </c>
      <c r="AF19" s="9">
        <v>0.42800933759999998</v>
      </c>
      <c r="AG19" s="6" t="str">
        <f t="shared" si="1"/>
        <v>Normal</v>
      </c>
      <c r="AH19" s="7" t="str">
        <f t="shared" si="2"/>
        <v>BB Normal</v>
      </c>
      <c r="AI19" s="8" t="str">
        <f t="shared" si="3"/>
        <v>Normal</v>
      </c>
    </row>
    <row r="20" spans="1:35" ht="15.6">
      <c r="A20" s="13">
        <f t="shared" si="6"/>
        <v>17</v>
      </c>
      <c r="B20" s="28">
        <v>3</v>
      </c>
      <c r="C20" s="29">
        <v>44597</v>
      </c>
      <c r="D20" s="28" t="s">
        <v>48</v>
      </c>
      <c r="E20" s="28">
        <v>1</v>
      </c>
      <c r="F20" s="28" t="s">
        <v>95</v>
      </c>
      <c r="G20" s="28" t="s">
        <v>96</v>
      </c>
      <c r="H20" s="28">
        <v>2.8</v>
      </c>
      <c r="I20" s="28">
        <v>49</v>
      </c>
      <c r="J20" s="28">
        <v>1</v>
      </c>
      <c r="K20" s="28" t="s">
        <v>57</v>
      </c>
      <c r="L20" s="28" t="s">
        <v>97</v>
      </c>
      <c r="M20" s="28" t="s">
        <v>98</v>
      </c>
      <c r="N20" s="24" t="s">
        <v>42</v>
      </c>
      <c r="O20" s="24">
        <v>1</v>
      </c>
      <c r="P20" s="24">
        <v>6</v>
      </c>
      <c r="Q20" s="25">
        <v>21</v>
      </c>
      <c r="R20" s="25">
        <v>1</v>
      </c>
      <c r="S20" s="25">
        <v>25</v>
      </c>
      <c r="T20" s="26">
        <v>5</v>
      </c>
      <c r="U20" s="26">
        <v>2</v>
      </c>
      <c r="V20" s="26">
        <v>22</v>
      </c>
      <c r="W20" s="27">
        <f t="shared" si="0"/>
        <v>35</v>
      </c>
      <c r="X20" s="28">
        <v>11</v>
      </c>
      <c r="Y20" s="31">
        <v>73</v>
      </c>
      <c r="Z20" s="28" t="s">
        <v>83</v>
      </c>
      <c r="AA20" s="28">
        <v>47</v>
      </c>
      <c r="AB20" s="28">
        <v>14</v>
      </c>
      <c r="AC20" s="12" t="s">
        <v>53</v>
      </c>
      <c r="AD20" s="9">
        <v>-7.1479191299999995E-2</v>
      </c>
      <c r="AE20" s="9">
        <v>0.73156299400000002</v>
      </c>
      <c r="AF20" s="9">
        <v>-1.7636182540000001</v>
      </c>
      <c r="AG20" s="6" t="str">
        <f t="shared" si="1"/>
        <v>Normal</v>
      </c>
      <c r="AH20" s="7" t="str">
        <f t="shared" si="2"/>
        <v>BB Normal</v>
      </c>
      <c r="AI20" s="8" t="str">
        <f t="shared" si="3"/>
        <v>Normal</v>
      </c>
    </row>
    <row r="21" spans="1:35" ht="15.6">
      <c r="A21" s="13">
        <f t="shared" si="6"/>
        <v>18</v>
      </c>
      <c r="B21" s="28">
        <v>2</v>
      </c>
      <c r="C21" s="29">
        <v>44669</v>
      </c>
      <c r="D21" s="28" t="s">
        <v>37</v>
      </c>
      <c r="E21" s="28">
        <v>2</v>
      </c>
      <c r="F21" s="28" t="s">
        <v>99</v>
      </c>
      <c r="G21" s="28" t="s">
        <v>100</v>
      </c>
      <c r="H21" s="28">
        <v>2.5</v>
      </c>
      <c r="I21" s="28">
        <v>48</v>
      </c>
      <c r="J21" s="28">
        <v>1</v>
      </c>
      <c r="K21" s="28" t="s">
        <v>57</v>
      </c>
      <c r="L21" s="28" t="s">
        <v>101</v>
      </c>
      <c r="M21" s="28" t="s">
        <v>55</v>
      </c>
      <c r="N21" s="24" t="s">
        <v>42</v>
      </c>
      <c r="O21" s="24">
        <v>1</v>
      </c>
      <c r="P21" s="24">
        <v>6</v>
      </c>
      <c r="Q21" s="25">
        <v>21</v>
      </c>
      <c r="R21" s="25">
        <v>1</v>
      </c>
      <c r="S21" s="25">
        <v>25</v>
      </c>
      <c r="T21" s="26">
        <v>18</v>
      </c>
      <c r="U21" s="26">
        <v>4</v>
      </c>
      <c r="V21" s="26">
        <v>22</v>
      </c>
      <c r="W21" s="27">
        <f t="shared" si="0"/>
        <v>33</v>
      </c>
      <c r="X21" s="28">
        <v>11.4</v>
      </c>
      <c r="Y21" s="31">
        <v>80</v>
      </c>
      <c r="Z21" s="28" t="s">
        <v>83</v>
      </c>
      <c r="AA21" s="28">
        <v>49</v>
      </c>
      <c r="AB21" s="28">
        <v>15</v>
      </c>
      <c r="AC21" s="12" t="s">
        <v>53</v>
      </c>
      <c r="AD21" s="9">
        <v>-4.8998490569999997E-2</v>
      </c>
      <c r="AE21" s="9">
        <v>0.19009242570000001</v>
      </c>
      <c r="AF21" s="9">
        <v>-0.61260610800000004</v>
      </c>
      <c r="AG21" s="6" t="str">
        <f t="shared" si="1"/>
        <v>Normal</v>
      </c>
      <c r="AH21" s="7" t="str">
        <f t="shared" si="2"/>
        <v>BB Normal</v>
      </c>
      <c r="AI21" s="8" t="str">
        <f t="shared" si="3"/>
        <v>Normal</v>
      </c>
    </row>
    <row r="22" spans="1:35" ht="15.6">
      <c r="A22" s="13">
        <v>19</v>
      </c>
      <c r="B22" s="28">
        <v>2</v>
      </c>
      <c r="C22" s="29">
        <v>44666</v>
      </c>
      <c r="D22" s="28" t="s">
        <v>37</v>
      </c>
      <c r="E22" s="28">
        <v>2</v>
      </c>
      <c r="F22" s="28" t="s">
        <v>102</v>
      </c>
      <c r="G22" s="28" t="s">
        <v>103</v>
      </c>
      <c r="H22" s="28">
        <v>3.3</v>
      </c>
      <c r="I22" s="28">
        <v>48</v>
      </c>
      <c r="J22" s="28">
        <v>1</v>
      </c>
      <c r="K22" s="28" t="s">
        <v>57</v>
      </c>
      <c r="L22" s="28" t="s">
        <v>104</v>
      </c>
      <c r="M22" s="28" t="s">
        <v>105</v>
      </c>
      <c r="N22" s="24" t="s">
        <v>42</v>
      </c>
      <c r="O22" s="24">
        <v>1</v>
      </c>
      <c r="P22" s="24">
        <v>6</v>
      </c>
      <c r="Q22" s="25">
        <v>21</v>
      </c>
      <c r="R22" s="25">
        <v>1</v>
      </c>
      <c r="S22" s="25">
        <v>25</v>
      </c>
      <c r="T22" s="26">
        <v>15</v>
      </c>
      <c r="U22" s="26">
        <v>4</v>
      </c>
      <c r="V22" s="26">
        <v>22</v>
      </c>
      <c r="W22" s="27">
        <f t="shared" si="0"/>
        <v>33</v>
      </c>
      <c r="X22" s="31">
        <v>10.5</v>
      </c>
      <c r="Y22" s="17">
        <v>75</v>
      </c>
      <c r="Z22" s="28" t="s">
        <v>83</v>
      </c>
      <c r="AA22" s="28">
        <v>50</v>
      </c>
      <c r="AB22" s="28">
        <v>16</v>
      </c>
      <c r="AC22" s="12" t="s">
        <v>53</v>
      </c>
      <c r="AD22" s="9">
        <v>1.449226288</v>
      </c>
      <c r="AE22" s="9">
        <v>0.90715708500000003</v>
      </c>
      <c r="AF22" s="9">
        <v>-1.528880316</v>
      </c>
      <c r="AG22" s="6" t="str">
        <f t="shared" si="1"/>
        <v>Normal</v>
      </c>
      <c r="AH22" s="7" t="str">
        <f t="shared" si="2"/>
        <v>BB Normal</v>
      </c>
      <c r="AI22" s="8" t="str">
        <f t="shared" si="3"/>
        <v>Normal</v>
      </c>
    </row>
    <row r="23" spans="1:35" ht="15.6">
      <c r="A23" s="13">
        <v>20</v>
      </c>
      <c r="B23" s="28">
        <v>2</v>
      </c>
      <c r="C23" s="29">
        <v>44735</v>
      </c>
      <c r="D23" s="28" t="s">
        <v>106</v>
      </c>
      <c r="E23" s="28">
        <v>1</v>
      </c>
      <c r="F23" s="28"/>
      <c r="G23" s="28" t="s">
        <v>107</v>
      </c>
      <c r="H23" s="28">
        <v>3.4</v>
      </c>
      <c r="I23" s="28">
        <v>50</v>
      </c>
      <c r="J23" s="28">
        <v>1</v>
      </c>
      <c r="K23" s="28" t="s">
        <v>57</v>
      </c>
      <c r="L23" s="28" t="s">
        <v>108</v>
      </c>
      <c r="M23" s="28"/>
      <c r="N23" s="24" t="s">
        <v>42</v>
      </c>
      <c r="O23" s="24">
        <v>2</v>
      </c>
      <c r="P23" s="24">
        <v>6</v>
      </c>
      <c r="Q23" s="25">
        <v>21</v>
      </c>
      <c r="R23" s="25">
        <v>1</v>
      </c>
      <c r="S23" s="25">
        <v>25</v>
      </c>
      <c r="T23" s="26">
        <v>23</v>
      </c>
      <c r="U23" s="26">
        <v>6</v>
      </c>
      <c r="V23" s="26">
        <v>22</v>
      </c>
      <c r="W23" s="27">
        <f t="shared" si="0"/>
        <v>30</v>
      </c>
      <c r="X23" s="31">
        <v>9.6999999999999993</v>
      </c>
      <c r="Y23" s="32">
        <v>68</v>
      </c>
      <c r="Z23" s="28" t="s">
        <v>83</v>
      </c>
      <c r="AA23" s="28">
        <v>51</v>
      </c>
      <c r="AB23" s="28">
        <v>19.5</v>
      </c>
      <c r="AC23" s="12" t="s">
        <v>53</v>
      </c>
      <c r="AD23" s="9">
        <v>-0.61257111799999997</v>
      </c>
      <c r="AE23" s="9">
        <v>-0.54007168579999998</v>
      </c>
      <c r="AF23" s="9">
        <v>-0.54852103389999995</v>
      </c>
      <c r="AG23" s="6" t="str">
        <f t="shared" si="1"/>
        <v>Normal</v>
      </c>
      <c r="AH23" s="7" t="str">
        <f t="shared" si="2"/>
        <v>BB Normal</v>
      </c>
      <c r="AI23" s="8" t="str">
        <f t="shared" si="3"/>
        <v>Normal</v>
      </c>
    </row>
    <row r="24" spans="1:35" ht="15.6">
      <c r="A24" s="13">
        <v>21</v>
      </c>
      <c r="B24" s="28">
        <v>2</v>
      </c>
      <c r="C24" s="29">
        <v>44758</v>
      </c>
      <c r="D24" s="28" t="s">
        <v>37</v>
      </c>
      <c r="E24" s="28">
        <v>2</v>
      </c>
      <c r="F24" s="28" t="s">
        <v>109</v>
      </c>
      <c r="G24" s="28" t="s">
        <v>110</v>
      </c>
      <c r="H24" s="28">
        <v>2.7</v>
      </c>
      <c r="I24" s="28">
        <v>48</v>
      </c>
      <c r="J24" s="28">
        <v>1</v>
      </c>
      <c r="K24" s="28" t="s">
        <v>57</v>
      </c>
      <c r="L24" s="28" t="s">
        <v>111</v>
      </c>
      <c r="M24" s="28" t="s">
        <v>112</v>
      </c>
      <c r="N24" s="24" t="s">
        <v>42</v>
      </c>
      <c r="O24" s="24">
        <v>3</v>
      </c>
      <c r="P24" s="24">
        <v>6</v>
      </c>
      <c r="Q24" s="25">
        <v>21</v>
      </c>
      <c r="R24" s="25">
        <v>1</v>
      </c>
      <c r="S24" s="25">
        <v>25</v>
      </c>
      <c r="T24" s="26">
        <v>16</v>
      </c>
      <c r="U24" s="26">
        <v>7</v>
      </c>
      <c r="V24" s="26">
        <v>22</v>
      </c>
      <c r="W24" s="27">
        <f t="shared" si="0"/>
        <v>30</v>
      </c>
      <c r="X24" s="31">
        <v>12</v>
      </c>
      <c r="Y24" s="32">
        <v>73</v>
      </c>
      <c r="Z24" s="28" t="s">
        <v>83</v>
      </c>
      <c r="AA24" s="28">
        <v>50</v>
      </c>
      <c r="AB24" s="28">
        <v>17</v>
      </c>
      <c r="AC24" s="12" t="s">
        <v>53</v>
      </c>
      <c r="AD24" s="9">
        <v>-2.2349008700000002</v>
      </c>
      <c r="AE24" s="9">
        <v>-2.0395403179999998</v>
      </c>
      <c r="AF24" s="9">
        <v>-1.656654831</v>
      </c>
      <c r="AG24" s="6" t="str">
        <f t="shared" si="1"/>
        <v>Pendek</v>
      </c>
      <c r="AH24" s="7" t="str">
        <f t="shared" si="2"/>
        <v>BB Krg</v>
      </c>
      <c r="AI24" s="8" t="str">
        <f t="shared" si="3"/>
        <v>Normal</v>
      </c>
    </row>
    <row r="25" spans="1:35" ht="15.6">
      <c r="A25" s="13">
        <v>22</v>
      </c>
      <c r="B25" s="28">
        <v>2</v>
      </c>
      <c r="C25" s="29">
        <v>44814</v>
      </c>
      <c r="D25" s="28" t="s">
        <v>37</v>
      </c>
      <c r="E25" s="28">
        <v>2</v>
      </c>
      <c r="F25" s="28" t="s">
        <v>113</v>
      </c>
      <c r="G25" s="28" t="s">
        <v>114</v>
      </c>
      <c r="H25" s="28">
        <v>2.1</v>
      </c>
      <c r="I25" s="28">
        <v>43</v>
      </c>
      <c r="J25" s="28">
        <v>1</v>
      </c>
      <c r="K25" s="28" t="s">
        <v>57</v>
      </c>
      <c r="L25" s="28" t="s">
        <v>115</v>
      </c>
      <c r="M25" s="28" t="s">
        <v>116</v>
      </c>
      <c r="N25" s="24" t="s">
        <v>42</v>
      </c>
      <c r="O25" s="24">
        <v>2</v>
      </c>
      <c r="P25" s="24">
        <v>6</v>
      </c>
      <c r="Q25" s="25">
        <v>21</v>
      </c>
      <c r="R25" s="25">
        <v>1</v>
      </c>
      <c r="S25" s="25">
        <v>25</v>
      </c>
      <c r="T25" s="26">
        <v>10</v>
      </c>
      <c r="U25" s="26">
        <v>9</v>
      </c>
      <c r="V25" s="26">
        <v>22</v>
      </c>
      <c r="W25" s="27">
        <f t="shared" si="0"/>
        <v>28</v>
      </c>
      <c r="X25" s="31">
        <v>10.5</v>
      </c>
      <c r="Y25" s="32">
        <v>62</v>
      </c>
      <c r="Z25" s="28" t="s">
        <v>83</v>
      </c>
      <c r="AA25" s="28">
        <v>48</v>
      </c>
      <c r="AB25" s="28">
        <v>13</v>
      </c>
      <c r="AC25" s="12" t="s">
        <v>53</v>
      </c>
      <c r="AD25" s="9">
        <v>-0.93537593600000002</v>
      </c>
      <c r="AE25" s="9">
        <v>-0.31585767450000002</v>
      </c>
      <c r="AF25" s="9">
        <v>0.2413076026</v>
      </c>
      <c r="AG25" s="6" t="str">
        <f t="shared" si="1"/>
        <v>Normal</v>
      </c>
      <c r="AH25" s="7" t="str">
        <f t="shared" si="2"/>
        <v>BB Normal</v>
      </c>
      <c r="AI25" s="8" t="str">
        <f t="shared" si="3"/>
        <v>Normal</v>
      </c>
    </row>
    <row r="26" spans="1:35" ht="15.6">
      <c r="A26" s="13">
        <v>23</v>
      </c>
      <c r="B26" s="28">
        <v>1</v>
      </c>
      <c r="C26" s="29">
        <v>44826</v>
      </c>
      <c r="D26" s="28" t="s">
        <v>37</v>
      </c>
      <c r="E26" s="28">
        <v>2</v>
      </c>
      <c r="F26" s="28"/>
      <c r="G26" s="28" t="s">
        <v>117</v>
      </c>
      <c r="H26" s="28">
        <v>2.6</v>
      </c>
      <c r="I26" s="28">
        <v>48</v>
      </c>
      <c r="J26" s="28">
        <v>1</v>
      </c>
      <c r="K26" s="28" t="s">
        <v>57</v>
      </c>
      <c r="L26" s="28" t="s">
        <v>118</v>
      </c>
      <c r="M26" s="28" t="s">
        <v>119</v>
      </c>
      <c r="N26" s="24" t="s">
        <v>42</v>
      </c>
      <c r="O26" s="24">
        <v>2</v>
      </c>
      <c r="P26" s="24">
        <v>6</v>
      </c>
      <c r="Q26" s="25">
        <v>21</v>
      </c>
      <c r="R26" s="25">
        <v>1</v>
      </c>
      <c r="S26" s="25">
        <v>25</v>
      </c>
      <c r="T26" s="26">
        <v>22</v>
      </c>
      <c r="U26" s="26">
        <v>9</v>
      </c>
      <c r="V26" s="26">
        <v>22</v>
      </c>
      <c r="W26" s="27">
        <f t="shared" si="0"/>
        <v>27</v>
      </c>
      <c r="X26" s="31">
        <v>10.7</v>
      </c>
      <c r="Y26" s="17">
        <v>75</v>
      </c>
      <c r="Z26" s="28" t="s">
        <v>83</v>
      </c>
      <c r="AA26" s="28">
        <v>51</v>
      </c>
      <c r="AB26" s="28">
        <v>17</v>
      </c>
      <c r="AC26" s="12" t="s">
        <v>53</v>
      </c>
      <c r="AD26" s="9">
        <v>-0.82626249829999998</v>
      </c>
      <c r="AE26" s="9">
        <v>-0.26600147190000001</v>
      </c>
      <c r="AF26" s="9">
        <v>1.3609944460000001</v>
      </c>
      <c r="AG26" s="6" t="str">
        <f t="shared" si="1"/>
        <v>Normal</v>
      </c>
      <c r="AH26" s="7" t="str">
        <f t="shared" si="2"/>
        <v>BB Normal</v>
      </c>
      <c r="AI26" s="8" t="str">
        <f t="shared" si="3"/>
        <v>R.Gz.Lbh</v>
      </c>
    </row>
    <row r="27" spans="1:35" ht="15.6">
      <c r="A27" s="13">
        <f>1+A26</f>
        <v>24</v>
      </c>
      <c r="B27" s="28">
        <v>1</v>
      </c>
      <c r="C27" s="29">
        <v>44826</v>
      </c>
      <c r="D27" s="28" t="s">
        <v>48</v>
      </c>
      <c r="E27" s="28">
        <v>1</v>
      </c>
      <c r="F27" s="28"/>
      <c r="G27" s="28" t="s">
        <v>120</v>
      </c>
      <c r="H27" s="28">
        <v>3.6</v>
      </c>
      <c r="I27" s="28">
        <v>50</v>
      </c>
      <c r="J27" s="28">
        <v>1</v>
      </c>
      <c r="K27" s="28" t="s">
        <v>57</v>
      </c>
      <c r="L27" s="28" t="s">
        <v>121</v>
      </c>
      <c r="M27" s="28"/>
      <c r="N27" s="24" t="s">
        <v>42</v>
      </c>
      <c r="O27" s="24">
        <v>4</v>
      </c>
      <c r="P27" s="24">
        <v>6</v>
      </c>
      <c r="Q27" s="25">
        <v>21</v>
      </c>
      <c r="R27" s="25">
        <v>1</v>
      </c>
      <c r="S27" s="25">
        <v>25</v>
      </c>
      <c r="T27" s="26">
        <v>22</v>
      </c>
      <c r="U27" s="26">
        <v>9</v>
      </c>
      <c r="V27" s="26">
        <v>22</v>
      </c>
      <c r="W27" s="27">
        <f t="shared" si="0"/>
        <v>27</v>
      </c>
      <c r="X27" s="28">
        <v>11.1</v>
      </c>
      <c r="Y27" s="28">
        <v>84</v>
      </c>
      <c r="Z27" s="28" t="s">
        <v>83</v>
      </c>
      <c r="AA27" s="28">
        <v>49</v>
      </c>
      <c r="AB27" s="28">
        <v>13.5</v>
      </c>
      <c r="AC27" s="12" t="s">
        <v>53</v>
      </c>
      <c r="AD27" s="9">
        <v>5.2242879409999998E-2</v>
      </c>
      <c r="AE27" s="9">
        <v>1.0156607790000001</v>
      </c>
      <c r="AF27" s="9">
        <v>-0.43498788640000002</v>
      </c>
      <c r="AG27" s="6" t="str">
        <f t="shared" si="1"/>
        <v>Normal</v>
      </c>
      <c r="AH27" s="7" t="str">
        <f t="shared" si="2"/>
        <v>Ris Lbh</v>
      </c>
      <c r="AI27" s="8" t="str">
        <f t="shared" si="3"/>
        <v>Normal</v>
      </c>
    </row>
    <row r="28" spans="1:35" ht="15.6">
      <c r="A28" s="13">
        <v>25</v>
      </c>
      <c r="B28" s="28">
        <v>1</v>
      </c>
      <c r="C28" s="29">
        <v>44843</v>
      </c>
      <c r="D28" s="28" t="s">
        <v>48</v>
      </c>
      <c r="E28" s="28">
        <v>1</v>
      </c>
      <c r="F28" s="28" t="s">
        <v>122</v>
      </c>
      <c r="G28" s="28" t="s">
        <v>123</v>
      </c>
      <c r="H28" s="28">
        <v>2.6</v>
      </c>
      <c r="I28" s="28">
        <v>48</v>
      </c>
      <c r="J28" s="28">
        <v>1</v>
      </c>
      <c r="K28" s="28" t="s">
        <v>57</v>
      </c>
      <c r="L28" s="28" t="s">
        <v>124</v>
      </c>
      <c r="M28" s="28"/>
      <c r="N28" s="24" t="s">
        <v>42</v>
      </c>
      <c r="O28" s="24">
        <v>4</v>
      </c>
      <c r="P28" s="24">
        <v>6</v>
      </c>
      <c r="Q28" s="25">
        <v>21</v>
      </c>
      <c r="R28" s="25">
        <v>1</v>
      </c>
      <c r="S28" s="25">
        <v>25</v>
      </c>
      <c r="T28" s="26">
        <v>9</v>
      </c>
      <c r="U28" s="26">
        <v>10</v>
      </c>
      <c r="V28" s="26">
        <v>22</v>
      </c>
      <c r="W28" s="27">
        <f t="shared" si="0"/>
        <v>27</v>
      </c>
      <c r="X28" s="28">
        <v>14.3</v>
      </c>
      <c r="Y28" s="28">
        <v>88.5</v>
      </c>
      <c r="Z28" s="28" t="s">
        <v>83</v>
      </c>
      <c r="AA28" s="28">
        <v>48</v>
      </c>
      <c r="AB28" s="28">
        <v>16.5</v>
      </c>
      <c r="AC28" s="12" t="s">
        <v>53</v>
      </c>
      <c r="AD28" s="9">
        <v>-1.7368095429999999</v>
      </c>
      <c r="AE28" s="9">
        <v>-1.0444861320000001</v>
      </c>
      <c r="AF28" s="9">
        <v>-1.288739219</v>
      </c>
      <c r="AG28" s="6" t="str">
        <f t="shared" si="1"/>
        <v>Normal</v>
      </c>
      <c r="AH28" s="7" t="str">
        <f t="shared" si="2"/>
        <v>BB Normal</v>
      </c>
      <c r="AI28" s="8" t="str">
        <f t="shared" si="3"/>
        <v>Normal</v>
      </c>
    </row>
    <row r="29" spans="1:35" ht="15.6">
      <c r="A29" s="13">
        <v>26</v>
      </c>
      <c r="B29" s="28">
        <v>1</v>
      </c>
      <c r="C29" s="29">
        <v>44917</v>
      </c>
      <c r="D29" s="28" t="s">
        <v>48</v>
      </c>
      <c r="E29" s="28">
        <v>1</v>
      </c>
      <c r="F29" s="28" t="s">
        <v>125</v>
      </c>
      <c r="G29" s="28" t="s">
        <v>126</v>
      </c>
      <c r="H29" s="28">
        <v>3.1</v>
      </c>
      <c r="I29" s="28">
        <v>49</v>
      </c>
      <c r="J29" s="28">
        <v>1</v>
      </c>
      <c r="K29" s="28" t="s">
        <v>57</v>
      </c>
      <c r="L29" s="28" t="s">
        <v>127</v>
      </c>
      <c r="M29" s="28" t="s">
        <v>128</v>
      </c>
      <c r="N29" s="24" t="s">
        <v>42</v>
      </c>
      <c r="O29" s="24">
        <v>3</v>
      </c>
      <c r="P29" s="24">
        <v>6</v>
      </c>
      <c r="Q29" s="25">
        <v>21</v>
      </c>
      <c r="R29" s="25">
        <v>1</v>
      </c>
      <c r="S29" s="25">
        <v>25</v>
      </c>
      <c r="T29" s="26">
        <v>22</v>
      </c>
      <c r="U29" s="26">
        <v>12</v>
      </c>
      <c r="V29" s="26">
        <v>22</v>
      </c>
      <c r="W29" s="27">
        <f t="shared" si="0"/>
        <v>24</v>
      </c>
      <c r="X29" s="28">
        <v>8.1</v>
      </c>
      <c r="Y29" s="28">
        <v>78.400000000000006</v>
      </c>
      <c r="Z29" s="28" t="s">
        <v>83</v>
      </c>
      <c r="AA29" s="28">
        <v>48</v>
      </c>
      <c r="AB29" s="28">
        <v>12</v>
      </c>
      <c r="AC29" s="12" t="s">
        <v>53</v>
      </c>
      <c r="AD29" s="9">
        <v>-2.7124677770000001</v>
      </c>
      <c r="AE29" s="9">
        <v>-1.10514954</v>
      </c>
      <c r="AF29" s="9">
        <v>1.6463544740000001E-3</v>
      </c>
      <c r="AG29" s="6" t="str">
        <f t="shared" si="1"/>
        <v>Pendek</v>
      </c>
      <c r="AH29" s="7" t="str">
        <f t="shared" si="2"/>
        <v>BB Normal</v>
      </c>
      <c r="AI29" s="8" t="str">
        <f t="shared" si="3"/>
        <v>Normal</v>
      </c>
    </row>
    <row r="30" spans="1:35" ht="15.6">
      <c r="A30" s="13">
        <f t="shared" ref="A30:A33" si="7">1+A29</f>
        <v>27</v>
      </c>
      <c r="B30" s="28">
        <v>1</v>
      </c>
      <c r="C30" s="29">
        <v>44994</v>
      </c>
      <c r="D30" s="28" t="s">
        <v>48</v>
      </c>
      <c r="E30" s="28">
        <v>1</v>
      </c>
      <c r="F30" s="28"/>
      <c r="G30" s="28" t="s">
        <v>129</v>
      </c>
      <c r="H30" s="28">
        <v>3.4</v>
      </c>
      <c r="I30" s="28">
        <v>50</v>
      </c>
      <c r="J30" s="28">
        <v>1</v>
      </c>
      <c r="K30" s="28" t="s">
        <v>57</v>
      </c>
      <c r="L30" s="28" t="s">
        <v>130</v>
      </c>
      <c r="M30" s="28"/>
      <c r="N30" s="24" t="s">
        <v>42</v>
      </c>
      <c r="O30" s="24">
        <v>3</v>
      </c>
      <c r="P30" s="24">
        <v>6</v>
      </c>
      <c r="Q30" s="25">
        <v>21</v>
      </c>
      <c r="R30" s="25">
        <v>1</v>
      </c>
      <c r="S30" s="25">
        <v>25</v>
      </c>
      <c r="T30" s="26">
        <v>9</v>
      </c>
      <c r="U30" s="26">
        <v>3</v>
      </c>
      <c r="V30" s="26">
        <v>23</v>
      </c>
      <c r="W30" s="27">
        <f t="shared" si="0"/>
        <v>22</v>
      </c>
      <c r="X30" s="28">
        <v>12.7</v>
      </c>
      <c r="Y30" s="28">
        <v>83</v>
      </c>
      <c r="Z30" s="28" t="s">
        <v>131</v>
      </c>
      <c r="AA30" s="28">
        <v>48</v>
      </c>
      <c r="AB30" s="28">
        <v>18</v>
      </c>
      <c r="AC30" s="13" t="s">
        <v>222</v>
      </c>
      <c r="AD30" s="9">
        <v>7.9583967229999997E-2</v>
      </c>
      <c r="AE30" s="9">
        <v>0.62883266670000004</v>
      </c>
      <c r="AF30" s="9">
        <v>-1.2990833610000001</v>
      </c>
      <c r="AG30" s="6" t="str">
        <f t="shared" si="1"/>
        <v>Normal</v>
      </c>
      <c r="AH30" s="7" t="str">
        <f t="shared" si="2"/>
        <v>BB Normal</v>
      </c>
      <c r="AI30" s="8" t="str">
        <f t="shared" si="3"/>
        <v>Normal</v>
      </c>
    </row>
    <row r="31" spans="1:35" ht="15.6">
      <c r="A31" s="13">
        <f t="shared" si="7"/>
        <v>28</v>
      </c>
      <c r="B31" s="28">
        <v>1</v>
      </c>
      <c r="C31" s="29">
        <v>45032</v>
      </c>
      <c r="D31" s="28" t="s">
        <v>37</v>
      </c>
      <c r="E31" s="28">
        <v>2</v>
      </c>
      <c r="F31" s="28" t="s">
        <v>132</v>
      </c>
      <c r="G31" s="28" t="s">
        <v>133</v>
      </c>
      <c r="H31" s="28">
        <v>3.2</v>
      </c>
      <c r="I31" s="28">
        <v>49</v>
      </c>
      <c r="J31" s="28">
        <v>1</v>
      </c>
      <c r="K31" s="28" t="s">
        <v>57</v>
      </c>
      <c r="L31" s="28" t="s">
        <v>134</v>
      </c>
      <c r="M31" s="28" t="s">
        <v>135</v>
      </c>
      <c r="N31" s="24" t="s">
        <v>42</v>
      </c>
      <c r="O31" s="24">
        <v>1</v>
      </c>
      <c r="P31" s="24">
        <v>6</v>
      </c>
      <c r="Q31" s="25">
        <v>21</v>
      </c>
      <c r="R31" s="25">
        <v>1</v>
      </c>
      <c r="S31" s="25">
        <v>25</v>
      </c>
      <c r="T31" s="26">
        <v>16</v>
      </c>
      <c r="U31" s="26">
        <v>4</v>
      </c>
      <c r="V31" s="26">
        <v>23</v>
      </c>
      <c r="W31" s="27">
        <f t="shared" si="0"/>
        <v>21</v>
      </c>
      <c r="X31" s="28">
        <v>13</v>
      </c>
      <c r="Y31" s="28">
        <v>83</v>
      </c>
      <c r="Z31" s="28" t="s">
        <v>131</v>
      </c>
      <c r="AA31" s="28">
        <v>50</v>
      </c>
      <c r="AB31" s="28">
        <v>17</v>
      </c>
      <c r="AC31" s="13" t="s">
        <v>222</v>
      </c>
      <c r="AD31" s="9">
        <v>0.68840943809999999</v>
      </c>
      <c r="AE31" s="9">
        <v>0.83451937580000002</v>
      </c>
      <c r="AF31" s="9">
        <v>4.0682224939999996</v>
      </c>
      <c r="AG31" s="6" t="str">
        <f t="shared" si="1"/>
        <v>Normal</v>
      </c>
      <c r="AH31" s="7" t="str">
        <f t="shared" si="2"/>
        <v>BB Normal</v>
      </c>
      <c r="AI31" s="8" t="str">
        <f t="shared" si="3"/>
        <v>Obesitas</v>
      </c>
    </row>
    <row r="32" spans="1:35" ht="15.6">
      <c r="A32" s="13">
        <f t="shared" si="7"/>
        <v>29</v>
      </c>
      <c r="B32" s="28">
        <v>1</v>
      </c>
      <c r="C32" s="29">
        <v>45058</v>
      </c>
      <c r="D32" s="28" t="s">
        <v>37</v>
      </c>
      <c r="E32" s="28">
        <v>2</v>
      </c>
      <c r="F32" s="28" t="s">
        <v>136</v>
      </c>
      <c r="G32" s="28" t="s">
        <v>137</v>
      </c>
      <c r="H32" s="28">
        <v>3.3</v>
      </c>
      <c r="I32" s="28">
        <v>49</v>
      </c>
      <c r="J32" s="28">
        <v>1</v>
      </c>
      <c r="K32" s="28" t="s">
        <v>57</v>
      </c>
      <c r="L32" s="28" t="s">
        <v>138</v>
      </c>
      <c r="M32" s="28" t="s">
        <v>139</v>
      </c>
      <c r="N32" s="24" t="s">
        <v>42</v>
      </c>
      <c r="O32" s="24">
        <v>3</v>
      </c>
      <c r="P32" s="24">
        <v>6</v>
      </c>
      <c r="Q32" s="25">
        <v>21</v>
      </c>
      <c r="R32" s="25">
        <v>1</v>
      </c>
      <c r="S32" s="25">
        <v>25</v>
      </c>
      <c r="T32" s="26">
        <v>12</v>
      </c>
      <c r="U32" s="26">
        <v>5</v>
      </c>
      <c r="V32" s="26">
        <v>23</v>
      </c>
      <c r="W32" s="27">
        <f t="shared" si="0"/>
        <v>20</v>
      </c>
      <c r="X32" s="28">
        <v>11.1</v>
      </c>
      <c r="Y32" s="28">
        <v>79.099999999999994</v>
      </c>
      <c r="Z32" s="28" t="s">
        <v>131</v>
      </c>
      <c r="AA32" s="28">
        <v>48</v>
      </c>
      <c r="AB32" s="28">
        <v>16</v>
      </c>
      <c r="AC32" s="13" t="s">
        <v>222</v>
      </c>
      <c r="AD32" s="9">
        <v>-0.36773832950000002</v>
      </c>
      <c r="AE32" s="9">
        <v>-0.16036189570000001</v>
      </c>
      <c r="AF32" s="9">
        <v>3.0429888840000001</v>
      </c>
      <c r="AG32" s="6" t="str">
        <f t="shared" si="1"/>
        <v>Normal</v>
      </c>
      <c r="AH32" s="7" t="str">
        <f t="shared" si="2"/>
        <v>BB Normal</v>
      </c>
      <c r="AI32" s="8" t="str">
        <f t="shared" si="3"/>
        <v>Obesitas</v>
      </c>
    </row>
    <row r="33" spans="1:35" ht="15.6">
      <c r="A33" s="13">
        <f t="shared" si="7"/>
        <v>30</v>
      </c>
      <c r="B33" s="28">
        <v>2</v>
      </c>
      <c r="C33" s="29">
        <v>45100</v>
      </c>
      <c r="D33" s="28" t="s">
        <v>48</v>
      </c>
      <c r="E33" s="28">
        <v>1</v>
      </c>
      <c r="F33" s="28" t="s">
        <v>140</v>
      </c>
      <c r="G33" s="28" t="s">
        <v>141</v>
      </c>
      <c r="H33" s="28">
        <v>2.8</v>
      </c>
      <c r="I33" s="28">
        <v>50</v>
      </c>
      <c r="J33" s="28">
        <v>1</v>
      </c>
      <c r="K33" s="28" t="s">
        <v>57</v>
      </c>
      <c r="L33" s="28" t="s">
        <v>142</v>
      </c>
      <c r="M33" s="28"/>
      <c r="N33" s="24" t="s">
        <v>42</v>
      </c>
      <c r="O33" s="24">
        <v>4</v>
      </c>
      <c r="P33" s="24">
        <v>6</v>
      </c>
      <c r="Q33" s="25">
        <v>21</v>
      </c>
      <c r="R33" s="25">
        <v>1</v>
      </c>
      <c r="S33" s="25">
        <v>25</v>
      </c>
      <c r="T33" s="26">
        <v>23</v>
      </c>
      <c r="U33" s="26">
        <v>6</v>
      </c>
      <c r="V33" s="26">
        <v>23</v>
      </c>
      <c r="W33" s="27">
        <f t="shared" si="0"/>
        <v>18</v>
      </c>
      <c r="X33" s="28">
        <v>12.7</v>
      </c>
      <c r="Y33" s="28">
        <v>83</v>
      </c>
      <c r="Z33" s="28" t="s">
        <v>131</v>
      </c>
      <c r="AA33" s="28">
        <v>50</v>
      </c>
      <c r="AB33" s="28">
        <v>18</v>
      </c>
      <c r="AC33" s="13" t="s">
        <v>222</v>
      </c>
      <c r="AD33" s="9">
        <v>-0.1075737725</v>
      </c>
      <c r="AE33" s="9">
        <v>-0.92917421820000001</v>
      </c>
      <c r="AF33" s="9">
        <v>3.1039614869999999</v>
      </c>
      <c r="AG33" s="6" t="str">
        <f t="shared" si="1"/>
        <v>Normal</v>
      </c>
      <c r="AH33" s="7" t="str">
        <f t="shared" si="2"/>
        <v>BB Normal</v>
      </c>
      <c r="AI33" s="8" t="str">
        <f t="shared" si="3"/>
        <v>Obesitas</v>
      </c>
    </row>
    <row r="34" spans="1:35" ht="15.6">
      <c r="A34" s="13">
        <v>31</v>
      </c>
      <c r="B34" s="28">
        <v>2</v>
      </c>
      <c r="C34" s="29">
        <v>45117</v>
      </c>
      <c r="D34" s="28" t="s">
        <v>48</v>
      </c>
      <c r="E34" s="28">
        <v>1</v>
      </c>
      <c r="F34" s="28" t="s">
        <v>143</v>
      </c>
      <c r="G34" s="28" t="s">
        <v>144</v>
      </c>
      <c r="H34" s="28">
        <v>3</v>
      </c>
      <c r="I34" s="28">
        <v>50</v>
      </c>
      <c r="J34" s="28">
        <v>1</v>
      </c>
      <c r="K34" s="28" t="s">
        <v>57</v>
      </c>
      <c r="L34" s="28" t="s">
        <v>145</v>
      </c>
      <c r="M34" s="28" t="s">
        <v>146</v>
      </c>
      <c r="N34" s="24" t="s">
        <v>42</v>
      </c>
      <c r="O34" s="24">
        <v>4</v>
      </c>
      <c r="P34" s="24">
        <v>6</v>
      </c>
      <c r="Q34" s="25">
        <v>21</v>
      </c>
      <c r="R34" s="25">
        <v>1</v>
      </c>
      <c r="S34" s="25">
        <v>25</v>
      </c>
      <c r="T34" s="26">
        <v>10</v>
      </c>
      <c r="U34" s="26">
        <v>7</v>
      </c>
      <c r="V34" s="26">
        <v>23</v>
      </c>
      <c r="W34" s="27">
        <f t="shared" si="0"/>
        <v>18</v>
      </c>
      <c r="X34" s="28">
        <v>10.76</v>
      </c>
      <c r="Y34" s="28">
        <v>84.5</v>
      </c>
      <c r="Z34" s="28" t="s">
        <v>131</v>
      </c>
      <c r="AA34" s="28">
        <v>48</v>
      </c>
      <c r="AB34" s="28">
        <v>15</v>
      </c>
      <c r="AC34" s="13" t="s">
        <v>222</v>
      </c>
      <c r="AD34" s="9">
        <v>0.1367919615</v>
      </c>
      <c r="AE34" s="9">
        <v>1.5097884909999999</v>
      </c>
      <c r="AF34" s="9">
        <v>-1.284648689</v>
      </c>
      <c r="AG34" s="6" t="str">
        <f t="shared" si="1"/>
        <v>Normal</v>
      </c>
      <c r="AH34" s="7" t="str">
        <f t="shared" si="2"/>
        <v>Ris Lbh</v>
      </c>
      <c r="AI34" s="8" t="str">
        <f t="shared" si="3"/>
        <v>Normal</v>
      </c>
    </row>
    <row r="35" spans="1:35" ht="15.6">
      <c r="A35" s="13">
        <v>32</v>
      </c>
      <c r="B35" s="28">
        <v>1</v>
      </c>
      <c r="C35" s="29">
        <v>45156</v>
      </c>
      <c r="D35" s="28" t="s">
        <v>37</v>
      </c>
      <c r="E35" s="28">
        <v>2</v>
      </c>
      <c r="F35" s="28" t="s">
        <v>147</v>
      </c>
      <c r="G35" s="28" t="s">
        <v>148</v>
      </c>
      <c r="H35" s="28">
        <v>2.7</v>
      </c>
      <c r="I35" s="28">
        <v>48</v>
      </c>
      <c r="J35" s="28">
        <v>1</v>
      </c>
      <c r="K35" s="28" t="s">
        <v>57</v>
      </c>
      <c r="L35" s="28" t="s">
        <v>149</v>
      </c>
      <c r="M35" s="28" t="s">
        <v>150</v>
      </c>
      <c r="N35" s="24" t="s">
        <v>42</v>
      </c>
      <c r="O35" s="24">
        <v>3</v>
      </c>
      <c r="P35" s="24">
        <v>6</v>
      </c>
      <c r="Q35" s="25">
        <v>21</v>
      </c>
      <c r="R35" s="25">
        <v>1</v>
      </c>
      <c r="S35" s="25">
        <v>25</v>
      </c>
      <c r="T35" s="26">
        <v>18</v>
      </c>
      <c r="U35" s="26">
        <v>8</v>
      </c>
      <c r="V35" s="26">
        <v>23</v>
      </c>
      <c r="W35" s="27">
        <f t="shared" si="0"/>
        <v>17</v>
      </c>
      <c r="X35" s="28">
        <v>9.4499999999999993</v>
      </c>
      <c r="Y35" s="28">
        <v>78</v>
      </c>
      <c r="Z35" s="28" t="s">
        <v>131</v>
      </c>
      <c r="AA35" s="28">
        <v>47</v>
      </c>
      <c r="AB35" s="28">
        <v>14</v>
      </c>
      <c r="AC35" s="13" t="s">
        <v>222</v>
      </c>
      <c r="AD35" s="9">
        <v>-1.1101762749999999</v>
      </c>
      <c r="AE35" s="9">
        <v>-1.9882001659999999</v>
      </c>
      <c r="AF35" s="9">
        <v>-1.97729029</v>
      </c>
      <c r="AG35" s="6" t="str">
        <f t="shared" si="1"/>
        <v>Normal</v>
      </c>
      <c r="AH35" s="7" t="str">
        <f t="shared" si="2"/>
        <v>BB Normal</v>
      </c>
      <c r="AI35" s="8" t="str">
        <f t="shared" si="3"/>
        <v>Normal</v>
      </c>
    </row>
    <row r="36" spans="1:35" ht="15.6">
      <c r="A36" s="13">
        <v>33</v>
      </c>
      <c r="B36" s="28">
        <v>1</v>
      </c>
      <c r="C36" s="29">
        <v>45173</v>
      </c>
      <c r="D36" s="28" t="s">
        <v>37</v>
      </c>
      <c r="E36" s="28">
        <v>2</v>
      </c>
      <c r="F36" s="28" t="s">
        <v>151</v>
      </c>
      <c r="G36" s="28" t="s">
        <v>152</v>
      </c>
      <c r="H36" s="28">
        <v>3</v>
      </c>
      <c r="I36" s="28">
        <v>48</v>
      </c>
      <c r="J36" s="28">
        <v>1</v>
      </c>
      <c r="K36" s="28" t="s">
        <v>57</v>
      </c>
      <c r="L36" s="28" t="s">
        <v>153</v>
      </c>
      <c r="M36" s="28" t="s">
        <v>154</v>
      </c>
      <c r="N36" s="24" t="s">
        <v>42</v>
      </c>
      <c r="O36" s="24">
        <v>4</v>
      </c>
      <c r="P36" s="24">
        <v>6</v>
      </c>
      <c r="Q36" s="25">
        <v>21</v>
      </c>
      <c r="R36" s="25">
        <v>1</v>
      </c>
      <c r="S36" s="25">
        <v>25</v>
      </c>
      <c r="T36" s="26">
        <v>4</v>
      </c>
      <c r="U36" s="26">
        <v>9</v>
      </c>
      <c r="V36" s="26">
        <v>23</v>
      </c>
      <c r="W36" s="27">
        <f t="shared" si="0"/>
        <v>16</v>
      </c>
      <c r="X36" s="28">
        <v>9.81</v>
      </c>
      <c r="Y36" s="28">
        <v>76.8</v>
      </c>
      <c r="Z36" s="28" t="s">
        <v>131</v>
      </c>
      <c r="AA36" s="28">
        <v>48</v>
      </c>
      <c r="AB36" s="28">
        <v>15.5</v>
      </c>
      <c r="AC36" s="13" t="s">
        <v>222</v>
      </c>
      <c r="AD36" s="9">
        <v>-0.3133050946</v>
      </c>
      <c r="AE36" s="9">
        <v>1.528914103E-2</v>
      </c>
      <c r="AF36" s="9">
        <v>0.32543580290000002</v>
      </c>
      <c r="AG36" s="6" t="str">
        <f t="shared" si="1"/>
        <v>Normal</v>
      </c>
      <c r="AH36" s="7" t="str">
        <f t="shared" si="2"/>
        <v>BB Normal</v>
      </c>
      <c r="AI36" s="8" t="str">
        <f t="shared" si="3"/>
        <v>Normal</v>
      </c>
    </row>
    <row r="37" spans="1:35" ht="15.6">
      <c r="A37" s="13">
        <v>34</v>
      </c>
      <c r="B37" s="28">
        <v>1</v>
      </c>
      <c r="C37" s="29">
        <v>45259</v>
      </c>
      <c r="D37" s="28" t="s">
        <v>48</v>
      </c>
      <c r="E37" s="28">
        <v>1</v>
      </c>
      <c r="F37" s="28"/>
      <c r="G37" s="28" t="s">
        <v>155</v>
      </c>
      <c r="H37" s="28">
        <v>2.5</v>
      </c>
      <c r="I37" s="28">
        <v>48</v>
      </c>
      <c r="J37" s="28">
        <v>1</v>
      </c>
      <c r="K37" s="28" t="s">
        <v>57</v>
      </c>
      <c r="L37" s="28"/>
      <c r="M37" s="28"/>
      <c r="N37" s="24" t="s">
        <v>42</v>
      </c>
      <c r="O37" s="24">
        <v>2</v>
      </c>
      <c r="P37" s="24">
        <v>6</v>
      </c>
      <c r="Q37" s="25">
        <v>21</v>
      </c>
      <c r="R37" s="25">
        <v>1</v>
      </c>
      <c r="S37" s="25">
        <v>25</v>
      </c>
      <c r="T37" s="26">
        <v>29</v>
      </c>
      <c r="U37" s="26">
        <v>11</v>
      </c>
      <c r="V37" s="26">
        <v>23</v>
      </c>
      <c r="W37" s="27">
        <f t="shared" si="0"/>
        <v>13</v>
      </c>
      <c r="X37" s="28">
        <v>12.7</v>
      </c>
      <c r="Y37" s="28">
        <v>88.5</v>
      </c>
      <c r="Z37" s="28" t="s">
        <v>131</v>
      </c>
      <c r="AA37" s="28">
        <v>50</v>
      </c>
      <c r="AB37" s="28">
        <v>17</v>
      </c>
      <c r="AC37" s="13" t="s">
        <v>222</v>
      </c>
      <c r="AD37" s="9">
        <v>-0.44386636089999998</v>
      </c>
      <c r="AE37" s="9">
        <v>-0.62439422590000004</v>
      </c>
      <c r="AF37" s="9">
        <v>-0.54481594249999998</v>
      </c>
      <c r="AG37" s="6" t="str">
        <f t="shared" si="1"/>
        <v>Normal</v>
      </c>
      <c r="AH37" s="7" t="str">
        <f t="shared" si="2"/>
        <v>BB Normal</v>
      </c>
      <c r="AI37" s="8" t="str">
        <f t="shared" si="3"/>
        <v>Normal</v>
      </c>
    </row>
    <row r="38" spans="1:35" ht="15.6">
      <c r="A38" s="13">
        <f t="shared" ref="A38:A39" si="8">1+A37</f>
        <v>35</v>
      </c>
      <c r="B38" s="28">
        <v>2</v>
      </c>
      <c r="C38" s="29">
        <v>45281</v>
      </c>
      <c r="D38" s="28" t="s">
        <v>48</v>
      </c>
      <c r="E38" s="28">
        <v>1</v>
      </c>
      <c r="F38" s="28"/>
      <c r="G38" s="28" t="s">
        <v>156</v>
      </c>
      <c r="H38" s="28">
        <v>3</v>
      </c>
      <c r="I38" s="28">
        <v>50</v>
      </c>
      <c r="J38" s="28">
        <v>1</v>
      </c>
      <c r="K38" s="28" t="s">
        <v>57</v>
      </c>
      <c r="L38" s="28" t="s">
        <v>157</v>
      </c>
      <c r="M38" s="28"/>
      <c r="N38" s="24" t="s">
        <v>42</v>
      </c>
      <c r="O38" s="24">
        <v>1</v>
      </c>
      <c r="P38" s="24">
        <v>6</v>
      </c>
      <c r="Q38" s="25">
        <v>21</v>
      </c>
      <c r="R38" s="25">
        <v>1</v>
      </c>
      <c r="S38" s="25">
        <v>25</v>
      </c>
      <c r="T38" s="26">
        <v>21</v>
      </c>
      <c r="U38" s="26">
        <v>12</v>
      </c>
      <c r="V38" s="26">
        <v>23</v>
      </c>
      <c r="W38" s="27">
        <f t="shared" si="0"/>
        <v>13</v>
      </c>
      <c r="X38" s="28">
        <v>14.3</v>
      </c>
      <c r="Y38" s="28">
        <v>78.400000000000006</v>
      </c>
      <c r="Z38" s="28" t="s">
        <v>131</v>
      </c>
      <c r="AA38" s="28">
        <v>50</v>
      </c>
      <c r="AB38" s="28">
        <v>17</v>
      </c>
      <c r="AC38" s="13" t="s">
        <v>222</v>
      </c>
      <c r="AD38" s="9">
        <v>-0.43918188689999998</v>
      </c>
      <c r="AE38" s="9">
        <v>-1.3171745909999999</v>
      </c>
      <c r="AF38" s="9">
        <v>-1.642726482</v>
      </c>
      <c r="AG38" s="6" t="str">
        <f t="shared" si="1"/>
        <v>Normal</v>
      </c>
      <c r="AH38" s="7" t="str">
        <f t="shared" si="2"/>
        <v>BB Normal</v>
      </c>
      <c r="AI38" s="8" t="str">
        <f t="shared" si="3"/>
        <v>Normal</v>
      </c>
    </row>
    <row r="39" spans="1:35" ht="15.6">
      <c r="A39" s="13">
        <f t="shared" si="8"/>
        <v>36</v>
      </c>
      <c r="B39" s="28">
        <v>2</v>
      </c>
      <c r="C39" s="29">
        <v>45352</v>
      </c>
      <c r="D39" s="28" t="s">
        <v>37</v>
      </c>
      <c r="E39" s="28">
        <v>2</v>
      </c>
      <c r="F39" s="28" t="s">
        <v>158</v>
      </c>
      <c r="G39" s="28" t="s">
        <v>159</v>
      </c>
      <c r="H39" s="28">
        <v>2.8</v>
      </c>
      <c r="I39" s="28">
        <v>48</v>
      </c>
      <c r="J39" s="28">
        <v>1</v>
      </c>
      <c r="K39" s="28" t="s">
        <v>57</v>
      </c>
      <c r="L39" s="28" t="s">
        <v>160</v>
      </c>
      <c r="M39" s="28" t="s">
        <v>161</v>
      </c>
      <c r="N39" s="24" t="s">
        <v>42</v>
      </c>
      <c r="O39" s="24">
        <v>1</v>
      </c>
      <c r="P39" s="24">
        <v>6</v>
      </c>
      <c r="Q39" s="25">
        <v>21</v>
      </c>
      <c r="R39" s="25">
        <v>1</v>
      </c>
      <c r="S39" s="25">
        <v>25</v>
      </c>
      <c r="T39" s="26">
        <v>1</v>
      </c>
      <c r="U39" s="26">
        <v>3</v>
      </c>
      <c r="V39" s="26">
        <v>24</v>
      </c>
      <c r="W39" s="27">
        <f t="shared" si="0"/>
        <v>10</v>
      </c>
      <c r="X39" s="28">
        <v>8.59</v>
      </c>
      <c r="Y39" s="28">
        <v>83</v>
      </c>
      <c r="Z39" s="28" t="s">
        <v>131</v>
      </c>
      <c r="AA39" s="28">
        <v>44</v>
      </c>
      <c r="AB39" s="28">
        <v>15</v>
      </c>
      <c r="AC39" s="13" t="s">
        <v>222</v>
      </c>
      <c r="AD39" s="9">
        <v>24.162095220000001</v>
      </c>
      <c r="AE39" s="9">
        <v>-0.54484065140000004</v>
      </c>
      <c r="AF39" s="9">
        <v>-1.955509267E-2</v>
      </c>
      <c r="AG39" s="6" t="str">
        <f t="shared" si="1"/>
        <v>Tinggi</v>
      </c>
      <c r="AH39" s="7" t="str">
        <f t="shared" si="2"/>
        <v>BB Normal</v>
      </c>
      <c r="AI39" s="8" t="str">
        <f t="shared" si="3"/>
        <v>Normal</v>
      </c>
    </row>
    <row r="40" spans="1:35" ht="15.6">
      <c r="A40" s="13">
        <v>37</v>
      </c>
      <c r="B40" s="28">
        <v>1</v>
      </c>
      <c r="C40" s="29">
        <v>45385</v>
      </c>
      <c r="D40" s="28" t="s">
        <v>48</v>
      </c>
      <c r="E40" s="28">
        <v>1</v>
      </c>
      <c r="F40" s="28" t="s">
        <v>162</v>
      </c>
      <c r="G40" s="28" t="s">
        <v>163</v>
      </c>
      <c r="H40" s="28">
        <v>3.2</v>
      </c>
      <c r="I40" s="28">
        <v>49</v>
      </c>
      <c r="J40" s="28">
        <v>1</v>
      </c>
      <c r="K40" s="28" t="s">
        <v>57</v>
      </c>
      <c r="L40" s="28" t="s">
        <v>164</v>
      </c>
      <c r="M40" s="28" t="s">
        <v>165</v>
      </c>
      <c r="N40" s="24" t="s">
        <v>42</v>
      </c>
      <c r="O40" s="24">
        <v>4</v>
      </c>
      <c r="P40" s="24">
        <v>6</v>
      </c>
      <c r="Q40" s="25">
        <v>21</v>
      </c>
      <c r="R40" s="25">
        <v>1</v>
      </c>
      <c r="S40" s="25">
        <v>25</v>
      </c>
      <c r="T40" s="26">
        <v>3</v>
      </c>
      <c r="U40" s="26">
        <v>4</v>
      </c>
      <c r="V40" s="26">
        <v>24</v>
      </c>
      <c r="W40" s="27">
        <f t="shared" si="0"/>
        <v>9</v>
      </c>
      <c r="X40" s="28">
        <v>9.81</v>
      </c>
      <c r="Y40" s="28">
        <v>74.5</v>
      </c>
      <c r="Z40" s="28" t="s">
        <v>131</v>
      </c>
      <c r="AA40" s="28">
        <v>48</v>
      </c>
      <c r="AB40" s="28">
        <v>16.5</v>
      </c>
      <c r="AC40" s="13" t="s">
        <v>53</v>
      </c>
      <c r="AD40" s="9">
        <v>20.42641995</v>
      </c>
      <c r="AE40" s="9">
        <v>-1.519655771</v>
      </c>
      <c r="AF40" s="9">
        <v>-1.632755814</v>
      </c>
      <c r="AG40" s="6" t="str">
        <f t="shared" si="1"/>
        <v>Tinggi</v>
      </c>
      <c r="AH40" s="7" t="str">
        <f t="shared" si="2"/>
        <v>BB Normal</v>
      </c>
      <c r="AI40" s="8" t="str">
        <f t="shared" si="3"/>
        <v>Normal</v>
      </c>
    </row>
    <row r="41" spans="1:35" ht="15.6">
      <c r="A41" s="13">
        <v>38</v>
      </c>
      <c r="B41" s="28">
        <v>3</v>
      </c>
      <c r="C41" s="29">
        <v>45390</v>
      </c>
      <c r="D41" s="28" t="s">
        <v>37</v>
      </c>
      <c r="E41" s="28">
        <v>2</v>
      </c>
      <c r="F41" s="28" t="s">
        <v>166</v>
      </c>
      <c r="G41" s="28" t="s">
        <v>167</v>
      </c>
      <c r="H41" s="28">
        <v>3.1</v>
      </c>
      <c r="I41" s="28">
        <v>51</v>
      </c>
      <c r="J41" s="28">
        <v>1</v>
      </c>
      <c r="K41" s="28" t="s">
        <v>57</v>
      </c>
      <c r="L41" s="28" t="s">
        <v>168</v>
      </c>
      <c r="M41" s="28" t="s">
        <v>169</v>
      </c>
      <c r="N41" s="24" t="s">
        <v>42</v>
      </c>
      <c r="O41" s="24">
        <v>3</v>
      </c>
      <c r="P41" s="24">
        <v>6</v>
      </c>
      <c r="Q41" s="25">
        <v>21</v>
      </c>
      <c r="R41" s="25">
        <v>1</v>
      </c>
      <c r="S41" s="25">
        <v>25</v>
      </c>
      <c r="T41" s="26">
        <v>8</v>
      </c>
      <c r="U41" s="26">
        <v>4</v>
      </c>
      <c r="V41" s="26">
        <v>24</v>
      </c>
      <c r="W41" s="27">
        <f t="shared" si="0"/>
        <v>9</v>
      </c>
      <c r="X41" s="28">
        <v>9.75</v>
      </c>
      <c r="Y41" s="28">
        <v>75</v>
      </c>
      <c r="Z41" s="28" t="s">
        <v>131</v>
      </c>
      <c r="AA41" s="28">
        <v>44</v>
      </c>
      <c r="AB41" s="28">
        <v>15</v>
      </c>
      <c r="AC41" s="12" t="s">
        <v>53</v>
      </c>
      <c r="AD41" s="9">
        <v>18.310755539999999</v>
      </c>
      <c r="AE41" s="9">
        <v>-1.489707004</v>
      </c>
      <c r="AF41" s="9">
        <v>-0.22259590439999999</v>
      </c>
      <c r="AG41" s="6" t="str">
        <f t="shared" si="1"/>
        <v>Tinggi</v>
      </c>
      <c r="AH41" s="7" t="str">
        <f t="shared" si="2"/>
        <v>BB Normal</v>
      </c>
      <c r="AI41" s="8" t="str">
        <f t="shared" si="3"/>
        <v>Normal</v>
      </c>
    </row>
    <row r="42" spans="1:35" ht="15.6">
      <c r="A42" s="13">
        <f t="shared" ref="A42:A45" si="9">1+A41</f>
        <v>39</v>
      </c>
      <c r="B42" s="28">
        <v>1</v>
      </c>
      <c r="C42" s="29">
        <v>45413</v>
      </c>
      <c r="D42" s="28" t="s">
        <v>48</v>
      </c>
      <c r="E42" s="28">
        <v>1</v>
      </c>
      <c r="F42" s="28" t="s">
        <v>170</v>
      </c>
      <c r="G42" s="28" t="s">
        <v>171</v>
      </c>
      <c r="H42" s="28">
        <v>3</v>
      </c>
      <c r="I42" s="28">
        <v>50</v>
      </c>
      <c r="J42" s="28">
        <v>1</v>
      </c>
      <c r="K42" s="28" t="s">
        <v>57</v>
      </c>
      <c r="L42" s="28" t="s">
        <v>172</v>
      </c>
      <c r="M42" s="28" t="s">
        <v>173</v>
      </c>
      <c r="N42" s="24" t="s">
        <v>42</v>
      </c>
      <c r="O42" s="24">
        <v>2</v>
      </c>
      <c r="P42" s="24">
        <v>6</v>
      </c>
      <c r="Q42" s="25">
        <v>21</v>
      </c>
      <c r="R42" s="25">
        <v>1</v>
      </c>
      <c r="S42" s="25">
        <v>25</v>
      </c>
      <c r="T42" s="26">
        <v>1</v>
      </c>
      <c r="U42" s="26">
        <v>5</v>
      </c>
      <c r="V42" s="26">
        <v>24</v>
      </c>
      <c r="W42" s="27">
        <f t="shared" si="0"/>
        <v>8</v>
      </c>
      <c r="X42" s="28">
        <v>9.11</v>
      </c>
      <c r="Y42" s="28">
        <v>73.5</v>
      </c>
      <c r="Z42" s="28" t="s">
        <v>131</v>
      </c>
      <c r="AA42" s="28">
        <v>45</v>
      </c>
      <c r="AB42" s="28">
        <v>14.5</v>
      </c>
      <c r="AC42" s="14" t="s">
        <v>222</v>
      </c>
      <c r="AD42" s="9">
        <v>-0.4935024529</v>
      </c>
      <c r="AE42" s="9">
        <v>-0.20231924970000001</v>
      </c>
      <c r="AF42" s="9">
        <v>-1.359514176</v>
      </c>
      <c r="AG42" s="6" t="str">
        <f t="shared" si="1"/>
        <v>Normal</v>
      </c>
      <c r="AH42" s="7" t="str">
        <f t="shared" si="2"/>
        <v>BB Normal</v>
      </c>
      <c r="AI42" s="8" t="str">
        <f t="shared" si="3"/>
        <v>Normal</v>
      </c>
    </row>
    <row r="43" spans="1:35" ht="15.6">
      <c r="A43" s="13">
        <f t="shared" si="9"/>
        <v>40</v>
      </c>
      <c r="B43" s="28">
        <v>2</v>
      </c>
      <c r="C43" s="29">
        <v>45458</v>
      </c>
      <c r="D43" s="28" t="s">
        <v>48</v>
      </c>
      <c r="E43" s="28">
        <v>1</v>
      </c>
      <c r="F43" s="28"/>
      <c r="G43" s="28" t="s">
        <v>174</v>
      </c>
      <c r="H43" s="28">
        <v>2.8</v>
      </c>
      <c r="I43" s="28">
        <v>49</v>
      </c>
      <c r="J43" s="28">
        <v>1</v>
      </c>
      <c r="K43" s="28" t="s">
        <v>57</v>
      </c>
      <c r="L43" s="28" t="s">
        <v>175</v>
      </c>
      <c r="M43" s="28"/>
      <c r="N43" s="24" t="s">
        <v>42</v>
      </c>
      <c r="O43" s="24">
        <v>4</v>
      </c>
      <c r="P43" s="24">
        <v>6</v>
      </c>
      <c r="Q43" s="25">
        <v>21</v>
      </c>
      <c r="R43" s="25">
        <v>1</v>
      </c>
      <c r="S43" s="25">
        <v>25</v>
      </c>
      <c r="T43" s="26">
        <v>15</v>
      </c>
      <c r="U43" s="26">
        <v>6</v>
      </c>
      <c r="V43" s="26">
        <v>24</v>
      </c>
      <c r="W43" s="27">
        <f t="shared" si="0"/>
        <v>7</v>
      </c>
      <c r="X43" s="28">
        <v>9.1</v>
      </c>
      <c r="Y43" s="28">
        <v>72</v>
      </c>
      <c r="Z43" s="28" t="s">
        <v>131</v>
      </c>
      <c r="AA43" s="28">
        <v>47</v>
      </c>
      <c r="AB43" s="28">
        <v>14.5</v>
      </c>
      <c r="AC43" s="14" t="s">
        <v>222</v>
      </c>
      <c r="AD43" s="9">
        <v>-1.088480882</v>
      </c>
      <c r="AE43" s="9">
        <v>22.01848541</v>
      </c>
      <c r="AF43" s="9">
        <v>-0.4854593888</v>
      </c>
      <c r="AG43" s="6" t="str">
        <f t="shared" si="1"/>
        <v>Normal</v>
      </c>
      <c r="AH43" s="7" t="str">
        <f t="shared" si="2"/>
        <v>Ris Lbh</v>
      </c>
      <c r="AI43" s="8" t="str">
        <f t="shared" si="3"/>
        <v>Normal</v>
      </c>
    </row>
    <row r="44" spans="1:35" ht="15.6">
      <c r="A44" s="13">
        <f t="shared" si="9"/>
        <v>41</v>
      </c>
      <c r="B44" s="28">
        <v>1</v>
      </c>
      <c r="C44" s="29">
        <v>45533</v>
      </c>
      <c r="D44" s="28" t="s">
        <v>48</v>
      </c>
      <c r="E44" s="28">
        <v>1</v>
      </c>
      <c r="F44" s="28"/>
      <c r="G44" s="28" t="s">
        <v>176</v>
      </c>
      <c r="H44" s="28">
        <v>3</v>
      </c>
      <c r="I44" s="28">
        <v>50</v>
      </c>
      <c r="J44" s="28">
        <v>1</v>
      </c>
      <c r="K44" s="28" t="s">
        <v>57</v>
      </c>
      <c r="L44" s="28" t="s">
        <v>177</v>
      </c>
      <c r="M44" s="28" t="s">
        <v>178</v>
      </c>
      <c r="N44" s="24" t="s">
        <v>42</v>
      </c>
      <c r="O44" s="24">
        <v>2</v>
      </c>
      <c r="P44" s="24">
        <v>6</v>
      </c>
      <c r="Q44" s="25">
        <v>21</v>
      </c>
      <c r="R44" s="25">
        <v>1</v>
      </c>
      <c r="S44" s="25">
        <v>25</v>
      </c>
      <c r="T44" s="26">
        <v>29</v>
      </c>
      <c r="U44" s="26">
        <v>8</v>
      </c>
      <c r="V44" s="26">
        <v>24</v>
      </c>
      <c r="W44" s="27">
        <f t="shared" si="0"/>
        <v>4</v>
      </c>
      <c r="X44" s="28">
        <v>6.31</v>
      </c>
      <c r="Y44" s="28">
        <v>62.5</v>
      </c>
      <c r="Z44" s="28" t="s">
        <v>131</v>
      </c>
      <c r="AA44" s="28">
        <v>43</v>
      </c>
      <c r="AB44" s="28">
        <v>14</v>
      </c>
      <c r="AC44" s="14" t="s">
        <v>222</v>
      </c>
      <c r="AD44" s="9">
        <v>-1.7137424299999999</v>
      </c>
      <c r="AE44" s="9">
        <v>-0.41446511489999999</v>
      </c>
      <c r="AF44" s="9">
        <v>-0.40550525770000001</v>
      </c>
      <c r="AG44" s="6" t="str">
        <f t="shared" si="1"/>
        <v>Normal</v>
      </c>
      <c r="AH44" s="7" t="str">
        <f t="shared" si="2"/>
        <v>BB Normal</v>
      </c>
      <c r="AI44" s="8" t="str">
        <f t="shared" si="3"/>
        <v>Normal</v>
      </c>
    </row>
    <row r="45" spans="1:35" ht="15.6">
      <c r="A45" s="13">
        <f t="shared" si="9"/>
        <v>42</v>
      </c>
      <c r="B45" s="28">
        <v>1</v>
      </c>
      <c r="C45" s="29">
        <v>45542</v>
      </c>
      <c r="D45" s="28" t="s">
        <v>37</v>
      </c>
      <c r="E45" s="28">
        <v>2</v>
      </c>
      <c r="F45" s="28" t="s">
        <v>179</v>
      </c>
      <c r="G45" s="28" t="s">
        <v>180</v>
      </c>
      <c r="H45" s="28">
        <v>2.8</v>
      </c>
      <c r="I45" s="28">
        <v>49</v>
      </c>
      <c r="J45" s="28">
        <v>1</v>
      </c>
      <c r="K45" s="28" t="s">
        <v>57</v>
      </c>
      <c r="L45" s="28" t="s">
        <v>181</v>
      </c>
      <c r="M45" s="28" t="s">
        <v>182</v>
      </c>
      <c r="N45" s="24" t="s">
        <v>42</v>
      </c>
      <c r="O45" s="24">
        <v>4</v>
      </c>
      <c r="P45" s="24">
        <v>6</v>
      </c>
      <c r="Q45" s="25">
        <v>21</v>
      </c>
      <c r="R45" s="25">
        <v>1</v>
      </c>
      <c r="S45" s="25">
        <v>25</v>
      </c>
      <c r="T45" s="26">
        <v>7</v>
      </c>
      <c r="U45" s="26">
        <v>9</v>
      </c>
      <c r="V45" s="26">
        <v>24</v>
      </c>
      <c r="W45" s="27">
        <f t="shared" si="0"/>
        <v>4</v>
      </c>
      <c r="X45" s="28">
        <v>5.22</v>
      </c>
      <c r="Y45" s="28">
        <v>61.8</v>
      </c>
      <c r="Z45" s="28" t="s">
        <v>131</v>
      </c>
      <c r="AA45" s="28">
        <v>41</v>
      </c>
      <c r="AB45" s="28">
        <v>12.5</v>
      </c>
      <c r="AC45" s="14" t="s">
        <v>222</v>
      </c>
      <c r="AD45" s="9">
        <v>-1.0932046070000001</v>
      </c>
      <c r="AE45" s="9">
        <v>-0.23378554970000001</v>
      </c>
      <c r="AF45" s="9">
        <v>-0.43498788640000002</v>
      </c>
      <c r="AG45" s="6" t="str">
        <f t="shared" si="1"/>
        <v>Normal</v>
      </c>
      <c r="AH45" s="7" t="str">
        <f t="shared" si="2"/>
        <v>BB Normal</v>
      </c>
      <c r="AI45" s="8" t="str">
        <f t="shared" si="3"/>
        <v>Normal</v>
      </c>
    </row>
    <row r="46" spans="1:35" ht="15.6">
      <c r="A46" s="13">
        <v>43</v>
      </c>
      <c r="B46" s="28">
        <v>1</v>
      </c>
      <c r="C46" s="29">
        <v>45540</v>
      </c>
      <c r="D46" s="28" t="s">
        <v>48</v>
      </c>
      <c r="E46" s="28">
        <v>1</v>
      </c>
      <c r="F46" s="28" t="s">
        <v>183</v>
      </c>
      <c r="G46" s="28" t="s">
        <v>184</v>
      </c>
      <c r="H46" s="28">
        <v>3</v>
      </c>
      <c r="I46" s="28">
        <v>50</v>
      </c>
      <c r="J46" s="28">
        <v>1</v>
      </c>
      <c r="K46" s="28" t="s">
        <v>57</v>
      </c>
      <c r="L46" s="28" t="s">
        <v>185</v>
      </c>
      <c r="M46" s="28" t="s">
        <v>186</v>
      </c>
      <c r="N46" s="24" t="s">
        <v>42</v>
      </c>
      <c r="O46" s="24">
        <v>2</v>
      </c>
      <c r="P46" s="24">
        <v>6</v>
      </c>
      <c r="Q46" s="25">
        <v>21</v>
      </c>
      <c r="R46" s="25">
        <v>1</v>
      </c>
      <c r="S46" s="25">
        <v>25</v>
      </c>
      <c r="T46" s="26">
        <v>5</v>
      </c>
      <c r="U46" s="26">
        <v>9</v>
      </c>
      <c r="V46" s="26">
        <v>24</v>
      </c>
      <c r="W46" s="27">
        <f t="shared" si="0"/>
        <v>4</v>
      </c>
      <c r="X46" s="28">
        <v>7</v>
      </c>
      <c r="Y46" s="28">
        <v>65.5</v>
      </c>
      <c r="Z46" s="28" t="s">
        <v>131</v>
      </c>
      <c r="AA46" s="28">
        <v>42</v>
      </c>
      <c r="AB46" s="28">
        <v>14</v>
      </c>
      <c r="AC46" s="14" t="s">
        <v>222</v>
      </c>
      <c r="AD46" s="9">
        <v>1.957193097</v>
      </c>
      <c r="AE46" s="9">
        <v>-2.0472580169999999</v>
      </c>
      <c r="AF46" s="9">
        <v>-1.288739219</v>
      </c>
      <c r="AG46" s="6" t="str">
        <f t="shared" si="1"/>
        <v>Normal</v>
      </c>
      <c r="AH46" s="7" t="str">
        <f t="shared" si="2"/>
        <v>BB Krg</v>
      </c>
      <c r="AI46" s="8" t="str">
        <f t="shared" si="3"/>
        <v>Normal</v>
      </c>
    </row>
    <row r="47" spans="1:35" ht="15.6">
      <c r="A47" s="13">
        <v>44</v>
      </c>
      <c r="B47" s="28">
        <v>1</v>
      </c>
      <c r="C47" s="29">
        <v>45597</v>
      </c>
      <c r="D47" s="28" t="s">
        <v>48</v>
      </c>
      <c r="E47" s="28">
        <v>1</v>
      </c>
      <c r="F47" s="28"/>
      <c r="G47" s="28" t="s">
        <v>187</v>
      </c>
      <c r="H47" s="28">
        <v>3.2</v>
      </c>
      <c r="I47" s="28">
        <v>50</v>
      </c>
      <c r="J47" s="28">
        <v>1</v>
      </c>
      <c r="K47" s="28" t="s">
        <v>57</v>
      </c>
      <c r="L47" s="28" t="s">
        <v>188</v>
      </c>
      <c r="M47" s="28" t="s">
        <v>189</v>
      </c>
      <c r="N47" s="24" t="s">
        <v>42</v>
      </c>
      <c r="O47" s="24">
        <v>2</v>
      </c>
      <c r="P47" s="24">
        <v>6</v>
      </c>
      <c r="Q47" s="25">
        <v>21</v>
      </c>
      <c r="R47" s="25">
        <v>1</v>
      </c>
      <c r="S47" s="25">
        <v>25</v>
      </c>
      <c r="T47" s="26">
        <v>1</v>
      </c>
      <c r="U47" s="26">
        <v>11</v>
      </c>
      <c r="V47" s="26">
        <v>24</v>
      </c>
      <c r="W47" s="27">
        <f t="shared" si="0"/>
        <v>2</v>
      </c>
      <c r="X47" s="28">
        <v>5.59</v>
      </c>
      <c r="Y47" s="28">
        <v>61</v>
      </c>
      <c r="Z47" s="28" t="s">
        <v>131</v>
      </c>
      <c r="AA47" s="28">
        <v>40</v>
      </c>
      <c r="AB47" s="28">
        <v>13</v>
      </c>
      <c r="AC47" s="14" t="s">
        <v>222</v>
      </c>
      <c r="AD47" s="9">
        <v>-0.1715433133</v>
      </c>
      <c r="AE47" s="9">
        <v>-0.48256738030000002</v>
      </c>
      <c r="AF47" s="9">
        <v>1.6463544740000001E-3</v>
      </c>
      <c r="AG47" s="6" t="str">
        <f t="shared" si="1"/>
        <v>Normal</v>
      </c>
      <c r="AH47" s="7" t="str">
        <f t="shared" si="2"/>
        <v>BB Normal</v>
      </c>
      <c r="AI47" s="8" t="str">
        <f t="shared" si="3"/>
        <v>Normal</v>
      </c>
    </row>
    <row r="48" spans="1:35" ht="15.6">
      <c r="A48" s="13">
        <v>45</v>
      </c>
      <c r="B48" s="28">
        <v>1</v>
      </c>
      <c r="C48" s="29">
        <v>45576</v>
      </c>
      <c r="D48" s="28" t="s">
        <v>48</v>
      </c>
      <c r="E48" s="28">
        <v>1</v>
      </c>
      <c r="F48" s="28" t="s">
        <v>190</v>
      </c>
      <c r="G48" s="28" t="s">
        <v>191</v>
      </c>
      <c r="H48" s="28">
        <v>3</v>
      </c>
      <c r="I48" s="28">
        <v>50</v>
      </c>
      <c r="J48" s="28">
        <v>1</v>
      </c>
      <c r="K48" s="28" t="s">
        <v>57</v>
      </c>
      <c r="L48" s="28" t="s">
        <v>192</v>
      </c>
      <c r="M48" s="28" t="s">
        <v>193</v>
      </c>
      <c r="N48" s="24" t="s">
        <v>42</v>
      </c>
      <c r="O48" s="24">
        <v>1</v>
      </c>
      <c r="P48" s="24">
        <v>6</v>
      </c>
      <c r="Q48" s="25">
        <v>21</v>
      </c>
      <c r="R48" s="25">
        <v>1</v>
      </c>
      <c r="S48" s="25">
        <v>25</v>
      </c>
      <c r="T48" s="26">
        <v>11</v>
      </c>
      <c r="U48" s="26">
        <v>10</v>
      </c>
      <c r="V48" s="26">
        <v>24</v>
      </c>
      <c r="W48" s="27">
        <f t="shared" si="0"/>
        <v>3</v>
      </c>
      <c r="X48" s="28">
        <v>5.75</v>
      </c>
      <c r="Y48" s="28">
        <v>61</v>
      </c>
      <c r="Z48" s="28" t="s">
        <v>131</v>
      </c>
      <c r="AA48" s="28">
        <v>41</v>
      </c>
      <c r="AB48" s="28">
        <v>14</v>
      </c>
      <c r="AC48" s="14" t="s">
        <v>222</v>
      </c>
      <c r="AD48" s="9">
        <v>1.5591474940000001</v>
      </c>
      <c r="AE48" s="9">
        <v>-1.7706991249999999</v>
      </c>
      <c r="AF48" s="9">
        <v>-1.2990833610000001</v>
      </c>
      <c r="AG48" s="6" t="str">
        <f t="shared" si="1"/>
        <v>Normal</v>
      </c>
      <c r="AH48" s="7" t="str">
        <f t="shared" si="2"/>
        <v>BB Normal</v>
      </c>
      <c r="AI48" s="8" t="str">
        <f t="shared" si="3"/>
        <v>Normal</v>
      </c>
    </row>
    <row r="49" spans="1:35" ht="15.6">
      <c r="A49" s="13">
        <v>46</v>
      </c>
      <c r="B49" s="28">
        <v>2</v>
      </c>
      <c r="C49" s="29">
        <v>45607</v>
      </c>
      <c r="D49" s="28" t="s">
        <v>37</v>
      </c>
      <c r="E49" s="28">
        <v>2</v>
      </c>
      <c r="F49" s="28" t="s">
        <v>194</v>
      </c>
      <c r="G49" s="28" t="s">
        <v>195</v>
      </c>
      <c r="H49" s="28">
        <v>2.8</v>
      </c>
      <c r="I49" s="28">
        <v>48</v>
      </c>
      <c r="J49" s="28">
        <v>1</v>
      </c>
      <c r="K49" s="28" t="s">
        <v>57</v>
      </c>
      <c r="L49" s="28" t="s">
        <v>196</v>
      </c>
      <c r="M49" s="28" t="s">
        <v>197</v>
      </c>
      <c r="N49" s="24" t="s">
        <v>42</v>
      </c>
      <c r="O49" s="24">
        <v>2</v>
      </c>
      <c r="P49" s="24">
        <v>6</v>
      </c>
      <c r="Q49" s="25">
        <v>21</v>
      </c>
      <c r="R49" s="25">
        <v>1</v>
      </c>
      <c r="S49" s="25">
        <v>25</v>
      </c>
      <c r="T49" s="26">
        <v>11</v>
      </c>
      <c r="U49" s="26">
        <v>11</v>
      </c>
      <c r="V49" s="26">
        <v>24</v>
      </c>
      <c r="W49" s="27">
        <f t="shared" si="0"/>
        <v>2</v>
      </c>
      <c r="X49" s="28">
        <v>5.53</v>
      </c>
      <c r="Y49" s="28">
        <v>61.3</v>
      </c>
      <c r="Z49" s="28" t="s">
        <v>131</v>
      </c>
      <c r="AA49" s="28">
        <v>42</v>
      </c>
      <c r="AB49" s="28">
        <v>14</v>
      </c>
      <c r="AC49" s="14" t="s">
        <v>222</v>
      </c>
      <c r="AD49" s="9">
        <v>-1.1936717379999999</v>
      </c>
      <c r="AE49" s="5">
        <f>IF(X49&gt;=1,BC49-((AO49-$BH49)*(BC49-$BC49)),"")</f>
        <v>0</v>
      </c>
      <c r="AF49" s="9">
        <v>4.0682224939999996</v>
      </c>
      <c r="AG49" s="6" t="str">
        <f t="shared" si="1"/>
        <v>Normal</v>
      </c>
      <c r="AH49" s="7" t="str">
        <f t="shared" si="2"/>
        <v>BB Normal</v>
      </c>
      <c r="AI49" s="8" t="str">
        <f t="shared" si="3"/>
        <v>Obesitas</v>
      </c>
    </row>
    <row r="50" spans="1:35" ht="15.6">
      <c r="A50" s="15"/>
      <c r="B50" s="33" t="s">
        <v>36</v>
      </c>
      <c r="C50" s="33" t="s">
        <v>215</v>
      </c>
      <c r="D50" s="34" t="s">
        <v>48</v>
      </c>
      <c r="E50" s="31">
        <v>1</v>
      </c>
      <c r="F50" s="31" t="s">
        <v>216</v>
      </c>
      <c r="G50" s="31" t="s">
        <v>217</v>
      </c>
      <c r="H50" s="31">
        <v>2.7</v>
      </c>
      <c r="I50" s="31">
        <v>48</v>
      </c>
      <c r="J50" s="31">
        <v>1</v>
      </c>
      <c r="K50" s="31" t="s">
        <v>53</v>
      </c>
      <c r="L50" s="31" t="s">
        <v>218</v>
      </c>
      <c r="M50" s="31" t="s">
        <v>219</v>
      </c>
      <c r="N50" s="35" t="s">
        <v>220</v>
      </c>
      <c r="O50" s="31">
        <v>1</v>
      </c>
      <c r="P50" s="31">
        <v>3</v>
      </c>
      <c r="Q50" s="36">
        <v>8</v>
      </c>
      <c r="R50" s="36">
        <v>1</v>
      </c>
      <c r="S50" s="36">
        <v>25</v>
      </c>
      <c r="T50" s="37">
        <v>6</v>
      </c>
      <c r="U50" s="37">
        <v>4</v>
      </c>
      <c r="V50" s="37">
        <v>20</v>
      </c>
      <c r="W50" s="30">
        <v>57</v>
      </c>
      <c r="X50" s="31">
        <v>16.8</v>
      </c>
      <c r="Y50" s="31">
        <v>107</v>
      </c>
      <c r="Z50" s="31" t="s">
        <v>221</v>
      </c>
      <c r="AA50" s="31">
        <v>51</v>
      </c>
      <c r="AB50" s="31">
        <v>16</v>
      </c>
      <c r="AC50" s="14" t="s">
        <v>222</v>
      </c>
      <c r="AD50" s="9">
        <v>-0.30357252229999998</v>
      </c>
      <c r="AE50" s="9">
        <v>-0.45859293080000002</v>
      </c>
      <c r="AF50" s="9">
        <v>3.0429888840000001</v>
      </c>
      <c r="AG50" s="6" t="str">
        <f t="shared" si="1"/>
        <v>Normal</v>
      </c>
      <c r="AH50" s="7" t="str">
        <f t="shared" si="2"/>
        <v>BB Normal</v>
      </c>
      <c r="AI50" s="8" t="str">
        <f t="shared" si="3"/>
        <v>Obesitas</v>
      </c>
    </row>
    <row r="51" spans="1:35" ht="15.6">
      <c r="A51" s="15"/>
      <c r="B51" s="33" t="s">
        <v>36</v>
      </c>
      <c r="C51" s="33" t="s">
        <v>224</v>
      </c>
      <c r="D51" s="34" t="s">
        <v>48</v>
      </c>
      <c r="E51" s="31">
        <v>1</v>
      </c>
      <c r="F51" s="31" t="s">
        <v>225</v>
      </c>
      <c r="G51" s="31" t="s">
        <v>226</v>
      </c>
      <c r="H51" s="31">
        <v>3.5</v>
      </c>
      <c r="I51" s="31">
        <v>49</v>
      </c>
      <c r="J51" s="31">
        <v>1</v>
      </c>
      <c r="K51" s="31" t="s">
        <v>53</v>
      </c>
      <c r="L51" s="31" t="s">
        <v>227</v>
      </c>
      <c r="M51" s="31" t="s">
        <v>228</v>
      </c>
      <c r="N51" s="35" t="s">
        <v>220</v>
      </c>
      <c r="O51" s="15">
        <v>4</v>
      </c>
      <c r="P51" s="38">
        <v>3</v>
      </c>
      <c r="Q51" s="36">
        <v>8</v>
      </c>
      <c r="R51" s="36">
        <v>1</v>
      </c>
      <c r="S51" s="36">
        <v>25</v>
      </c>
      <c r="T51" s="39">
        <v>12</v>
      </c>
      <c r="U51" s="37">
        <v>4</v>
      </c>
      <c r="V51" s="40">
        <v>20</v>
      </c>
      <c r="W51" s="30">
        <v>56</v>
      </c>
      <c r="X51" s="31">
        <v>16.600000000000001</v>
      </c>
      <c r="Y51" s="31">
        <v>106</v>
      </c>
      <c r="Z51" s="31" t="s">
        <v>221</v>
      </c>
      <c r="AA51" s="31">
        <v>50</v>
      </c>
      <c r="AB51" s="31">
        <v>18</v>
      </c>
      <c r="AC51" s="14" t="s">
        <v>222</v>
      </c>
      <c r="AD51" s="9">
        <v>-0.50128580060000005</v>
      </c>
      <c r="AE51" s="9">
        <v>-0.53531100799999998</v>
      </c>
      <c r="AF51" s="9">
        <v>-0.40550525770000001</v>
      </c>
      <c r="AG51" s="6" t="str">
        <f t="shared" si="1"/>
        <v>Normal</v>
      </c>
      <c r="AH51" s="7" t="str">
        <f t="shared" si="2"/>
        <v>BB Normal</v>
      </c>
      <c r="AI51" s="8" t="str">
        <f t="shared" si="3"/>
        <v>Normal</v>
      </c>
    </row>
    <row r="52" spans="1:35" ht="15.6">
      <c r="A52" s="15"/>
      <c r="B52" s="33" t="s">
        <v>44</v>
      </c>
      <c r="C52" s="33" t="s">
        <v>229</v>
      </c>
      <c r="D52" s="41" t="s">
        <v>48</v>
      </c>
      <c r="E52" s="42">
        <v>1</v>
      </c>
      <c r="F52" s="31" t="s">
        <v>230</v>
      </c>
      <c r="G52" s="42" t="s">
        <v>231</v>
      </c>
      <c r="H52" s="42">
        <v>3</v>
      </c>
      <c r="I52" s="42">
        <v>50</v>
      </c>
      <c r="J52" s="42">
        <v>1</v>
      </c>
      <c r="K52" s="42" t="s">
        <v>53</v>
      </c>
      <c r="L52" s="42" t="s">
        <v>232</v>
      </c>
      <c r="M52" s="42" t="s">
        <v>233</v>
      </c>
      <c r="N52" s="35" t="s">
        <v>220</v>
      </c>
      <c r="O52" s="43">
        <v>4</v>
      </c>
      <c r="P52" s="17">
        <v>3</v>
      </c>
      <c r="Q52" s="36">
        <v>8</v>
      </c>
      <c r="R52" s="36">
        <v>1</v>
      </c>
      <c r="S52" s="36">
        <v>25</v>
      </c>
      <c r="T52" s="39">
        <v>14</v>
      </c>
      <c r="U52" s="37">
        <v>4</v>
      </c>
      <c r="V52" s="40">
        <v>20</v>
      </c>
      <c r="W52" s="30">
        <v>56</v>
      </c>
      <c r="X52" s="31">
        <v>15.2</v>
      </c>
      <c r="Y52" s="31">
        <v>106</v>
      </c>
      <c r="Z52" s="31" t="s">
        <v>221</v>
      </c>
      <c r="AA52" s="31">
        <v>51</v>
      </c>
      <c r="AB52" s="31">
        <v>16</v>
      </c>
      <c r="AC52" s="14" t="s">
        <v>222</v>
      </c>
      <c r="AD52" s="9">
        <v>-0.4935024529</v>
      </c>
      <c r="AE52" s="9">
        <v>-1.1936717379999999</v>
      </c>
      <c r="AF52" s="9">
        <v>-1.477688428</v>
      </c>
      <c r="AG52" s="6" t="str">
        <f t="shared" si="1"/>
        <v>Normal</v>
      </c>
      <c r="AH52" s="7" t="str">
        <f t="shared" si="2"/>
        <v>BB Normal</v>
      </c>
      <c r="AI52" s="8" t="str">
        <f t="shared" si="3"/>
        <v>Normal</v>
      </c>
    </row>
    <row r="53" spans="1:35" ht="15.6">
      <c r="A53" s="15"/>
      <c r="B53" s="33" t="s">
        <v>198</v>
      </c>
      <c r="C53" s="33" t="s">
        <v>234</v>
      </c>
      <c r="D53" s="44" t="s">
        <v>37</v>
      </c>
      <c r="E53" s="42">
        <v>2</v>
      </c>
      <c r="F53" s="31" t="s">
        <v>235</v>
      </c>
      <c r="G53" s="45" t="s">
        <v>236</v>
      </c>
      <c r="H53" s="45">
        <v>3.3</v>
      </c>
      <c r="I53" s="45">
        <v>49</v>
      </c>
      <c r="J53" s="45">
        <v>1</v>
      </c>
      <c r="K53" s="45" t="s">
        <v>222</v>
      </c>
      <c r="L53" s="45" t="s">
        <v>237</v>
      </c>
      <c r="M53" s="45" t="s">
        <v>238</v>
      </c>
      <c r="N53" s="35" t="s">
        <v>220</v>
      </c>
      <c r="O53" s="38">
        <v>3</v>
      </c>
      <c r="P53" s="38">
        <v>3</v>
      </c>
      <c r="Q53" s="36">
        <v>8</v>
      </c>
      <c r="R53" s="36">
        <v>1</v>
      </c>
      <c r="S53" s="36">
        <v>25</v>
      </c>
      <c r="T53" s="46">
        <v>25</v>
      </c>
      <c r="U53" s="46">
        <v>5</v>
      </c>
      <c r="V53" s="46">
        <v>20</v>
      </c>
      <c r="W53" s="30">
        <v>55</v>
      </c>
      <c r="X53" s="31">
        <v>20</v>
      </c>
      <c r="Y53" s="31">
        <v>102</v>
      </c>
      <c r="Z53" s="31" t="s">
        <v>221</v>
      </c>
      <c r="AA53" s="31">
        <v>51</v>
      </c>
      <c r="AB53" s="31">
        <v>19</v>
      </c>
      <c r="AC53" s="14" t="s">
        <v>222</v>
      </c>
      <c r="AD53" s="9">
        <v>-1.088480882</v>
      </c>
      <c r="AE53" s="9">
        <v>0.99940678630000002</v>
      </c>
      <c r="AF53" s="9">
        <v>2.673140783</v>
      </c>
      <c r="AG53" s="6" t="str">
        <f t="shared" si="1"/>
        <v>Normal</v>
      </c>
      <c r="AH53" s="7" t="str">
        <f t="shared" si="2"/>
        <v>BB Normal</v>
      </c>
      <c r="AI53" s="8" t="str">
        <f t="shared" si="3"/>
        <v>Gz.Lbh</v>
      </c>
    </row>
    <row r="54" spans="1:35" ht="15.6">
      <c r="A54" s="15"/>
      <c r="B54" s="33" t="s">
        <v>198</v>
      </c>
      <c r="C54" s="33" t="s">
        <v>239</v>
      </c>
      <c r="D54" s="44" t="s">
        <v>37</v>
      </c>
      <c r="E54" s="42">
        <v>2</v>
      </c>
      <c r="F54" s="31">
        <v>351502670620003</v>
      </c>
      <c r="G54" s="45" t="s">
        <v>240</v>
      </c>
      <c r="H54" s="45">
        <v>2.8</v>
      </c>
      <c r="I54" s="45">
        <v>48</v>
      </c>
      <c r="J54" s="45">
        <v>1</v>
      </c>
      <c r="K54" s="45" t="s">
        <v>53</v>
      </c>
      <c r="L54" s="45" t="s">
        <v>241</v>
      </c>
      <c r="M54" s="45" t="s">
        <v>242</v>
      </c>
      <c r="N54" s="35" t="s">
        <v>220</v>
      </c>
      <c r="O54" s="38">
        <v>1</v>
      </c>
      <c r="P54" s="38">
        <v>3</v>
      </c>
      <c r="Q54" s="36">
        <v>8</v>
      </c>
      <c r="R54" s="36">
        <v>1</v>
      </c>
      <c r="S54" s="36">
        <v>25</v>
      </c>
      <c r="T54" s="46">
        <v>27</v>
      </c>
      <c r="U54" s="46">
        <v>6</v>
      </c>
      <c r="V54" s="46">
        <v>20</v>
      </c>
      <c r="W54" s="30">
        <v>54</v>
      </c>
      <c r="X54" s="31">
        <v>13.2</v>
      </c>
      <c r="Y54" s="31">
        <v>98.6</v>
      </c>
      <c r="Z54" s="31" t="s">
        <v>221</v>
      </c>
      <c r="AA54" s="31">
        <v>48</v>
      </c>
      <c r="AB54" s="31">
        <v>18</v>
      </c>
      <c r="AC54" s="14" t="s">
        <v>222</v>
      </c>
      <c r="AD54" s="9">
        <v>-1.7137424299999999</v>
      </c>
      <c r="AE54" s="9">
        <v>-1.94988527</v>
      </c>
      <c r="AF54" s="9">
        <v>-1.350682076</v>
      </c>
      <c r="AG54" s="6" t="str">
        <f t="shared" si="1"/>
        <v>Normal</v>
      </c>
      <c r="AH54" s="7" t="str">
        <f t="shared" si="2"/>
        <v>BB Normal</v>
      </c>
      <c r="AI54" s="8" t="str">
        <f t="shared" si="3"/>
        <v>Normal</v>
      </c>
    </row>
    <row r="55" spans="1:35" ht="15.6">
      <c r="A55" s="15"/>
      <c r="B55" s="33" t="s">
        <v>198</v>
      </c>
      <c r="C55" s="33" t="s">
        <v>243</v>
      </c>
      <c r="D55" s="41" t="s">
        <v>37</v>
      </c>
      <c r="E55" s="42">
        <v>2</v>
      </c>
      <c r="F55" s="31" t="s">
        <v>244</v>
      </c>
      <c r="G55" s="42" t="s">
        <v>245</v>
      </c>
      <c r="H55" s="42">
        <v>2.8</v>
      </c>
      <c r="I55" s="42">
        <v>50</v>
      </c>
      <c r="J55" s="42">
        <v>1</v>
      </c>
      <c r="K55" s="42" t="s">
        <v>222</v>
      </c>
      <c r="L55" s="42" t="s">
        <v>199</v>
      </c>
      <c r="M55" s="42" t="s">
        <v>246</v>
      </c>
      <c r="N55" s="35" t="s">
        <v>220</v>
      </c>
      <c r="O55" s="43">
        <v>1</v>
      </c>
      <c r="P55" s="17">
        <v>3</v>
      </c>
      <c r="Q55" s="36">
        <v>8</v>
      </c>
      <c r="R55" s="36">
        <v>1</v>
      </c>
      <c r="S55" s="36">
        <v>25</v>
      </c>
      <c r="T55" s="39">
        <v>22</v>
      </c>
      <c r="U55" s="37">
        <v>7</v>
      </c>
      <c r="V55" s="37">
        <v>20</v>
      </c>
      <c r="W55" s="30">
        <v>53</v>
      </c>
      <c r="X55" s="31">
        <v>16.5</v>
      </c>
      <c r="Y55" s="31">
        <v>101</v>
      </c>
      <c r="Z55" s="31" t="s">
        <v>221</v>
      </c>
      <c r="AA55" s="31">
        <v>51</v>
      </c>
      <c r="AB55" s="31">
        <v>17</v>
      </c>
      <c r="AC55" s="14" t="s">
        <v>222</v>
      </c>
      <c r="AD55" s="9">
        <v>-1.0932046070000001</v>
      </c>
      <c r="AE55" s="9">
        <v>-0.25267726270000002</v>
      </c>
      <c r="AF55" s="9">
        <v>0.70475696840000002</v>
      </c>
      <c r="AG55" s="6" t="str">
        <f t="shared" si="1"/>
        <v>Normal</v>
      </c>
      <c r="AH55" s="7" t="str">
        <f t="shared" si="2"/>
        <v>BB Normal</v>
      </c>
      <c r="AI55" s="8" t="str">
        <f t="shared" si="3"/>
        <v>Normal</v>
      </c>
    </row>
    <row r="56" spans="1:35" ht="15.6">
      <c r="A56" s="15"/>
      <c r="B56" s="33" t="s">
        <v>198</v>
      </c>
      <c r="C56" s="33" t="s">
        <v>247</v>
      </c>
      <c r="D56" s="41" t="s">
        <v>48</v>
      </c>
      <c r="E56" s="42">
        <v>1</v>
      </c>
      <c r="F56" s="31" t="s">
        <v>248</v>
      </c>
      <c r="G56" s="42" t="s">
        <v>249</v>
      </c>
      <c r="H56" s="42">
        <v>2.8</v>
      </c>
      <c r="I56" s="42">
        <v>49</v>
      </c>
      <c r="J56" s="42">
        <v>1</v>
      </c>
      <c r="K56" s="42" t="s">
        <v>53</v>
      </c>
      <c r="L56" s="42" t="s">
        <v>250</v>
      </c>
      <c r="M56" s="42" t="s">
        <v>248</v>
      </c>
      <c r="N56" s="35" t="s">
        <v>220</v>
      </c>
      <c r="O56" s="43">
        <v>1</v>
      </c>
      <c r="P56" s="17">
        <v>3</v>
      </c>
      <c r="Q56" s="36">
        <v>8</v>
      </c>
      <c r="R56" s="36">
        <v>1</v>
      </c>
      <c r="S56" s="36">
        <v>25</v>
      </c>
      <c r="T56" s="39">
        <v>11</v>
      </c>
      <c r="U56" s="37">
        <v>9</v>
      </c>
      <c r="V56" s="37">
        <v>20</v>
      </c>
      <c r="W56" s="30">
        <v>51</v>
      </c>
      <c r="X56" s="31">
        <v>26.5</v>
      </c>
      <c r="Y56" s="31">
        <v>114</v>
      </c>
      <c r="Z56" s="31" t="s">
        <v>221</v>
      </c>
      <c r="AA56" s="31">
        <v>53</v>
      </c>
      <c r="AB56" s="31">
        <v>21</v>
      </c>
      <c r="AC56" s="14" t="s">
        <v>222</v>
      </c>
      <c r="AD56" s="9">
        <v>1.957193097</v>
      </c>
      <c r="AE56" s="9">
        <v>3.4063682630000001</v>
      </c>
      <c r="AF56" s="9">
        <v>3.21922263</v>
      </c>
      <c r="AG56" s="6" t="str">
        <f t="shared" si="1"/>
        <v>Normal</v>
      </c>
      <c r="AH56" s="7" t="str">
        <f t="shared" si="2"/>
        <v>Ris Lbh</v>
      </c>
      <c r="AI56" s="8" t="str">
        <f t="shared" si="3"/>
        <v>Obesitas</v>
      </c>
    </row>
    <row r="57" spans="1:35" ht="15.6">
      <c r="A57" s="15"/>
      <c r="B57" s="33" t="s">
        <v>198</v>
      </c>
      <c r="C57" s="33" t="s">
        <v>251</v>
      </c>
      <c r="D57" s="41" t="s">
        <v>37</v>
      </c>
      <c r="E57" s="42">
        <v>2</v>
      </c>
      <c r="F57" s="31" t="s">
        <v>252</v>
      </c>
      <c r="G57" s="42" t="s">
        <v>253</v>
      </c>
      <c r="H57" s="42">
        <v>2.8</v>
      </c>
      <c r="I57" s="42">
        <v>48</v>
      </c>
      <c r="J57" s="42">
        <v>1</v>
      </c>
      <c r="K57" s="42" t="s">
        <v>222</v>
      </c>
      <c r="L57" s="42" t="s">
        <v>254</v>
      </c>
      <c r="M57" s="42" t="s">
        <v>255</v>
      </c>
      <c r="N57" s="35" t="s">
        <v>220</v>
      </c>
      <c r="O57" s="43">
        <v>2</v>
      </c>
      <c r="P57" s="17">
        <v>3</v>
      </c>
      <c r="Q57" s="36">
        <v>8</v>
      </c>
      <c r="R57" s="36">
        <v>1</v>
      </c>
      <c r="S57" s="36">
        <v>25</v>
      </c>
      <c r="T57" s="39">
        <v>16</v>
      </c>
      <c r="U57" s="37">
        <v>11</v>
      </c>
      <c r="V57" s="37">
        <v>20</v>
      </c>
      <c r="W57" s="30">
        <v>49</v>
      </c>
      <c r="X57" s="31">
        <v>18.600000000000001</v>
      </c>
      <c r="Y57" s="31">
        <v>103</v>
      </c>
      <c r="Z57" s="31" t="s">
        <v>221</v>
      </c>
      <c r="AA57" s="31">
        <v>51</v>
      </c>
      <c r="AB57" s="31">
        <v>19</v>
      </c>
      <c r="AC57" s="14" t="s">
        <v>222</v>
      </c>
      <c r="AD57" s="9">
        <v>-0.1715433133</v>
      </c>
      <c r="AE57" s="9">
        <v>0.94510909880000005</v>
      </c>
      <c r="AF57" s="9">
        <v>1.620049241</v>
      </c>
      <c r="AG57" s="6" t="str">
        <f t="shared" si="1"/>
        <v>Normal</v>
      </c>
      <c r="AH57" s="7" t="str">
        <f t="shared" si="2"/>
        <v>BB Normal</v>
      </c>
      <c r="AI57" s="8" t="str">
        <f t="shared" si="3"/>
        <v>R.Gz.Lbh</v>
      </c>
    </row>
    <row r="58" spans="1:35" ht="15.6">
      <c r="A58" s="15"/>
      <c r="B58" s="33" t="s">
        <v>198</v>
      </c>
      <c r="C58" s="33" t="s">
        <v>256</v>
      </c>
      <c r="D58" s="41" t="s">
        <v>37</v>
      </c>
      <c r="E58" s="42">
        <v>2</v>
      </c>
      <c r="F58" s="31" t="s">
        <v>257</v>
      </c>
      <c r="G58" s="42" t="s">
        <v>258</v>
      </c>
      <c r="H58" s="42">
        <v>3</v>
      </c>
      <c r="I58" s="42">
        <v>50</v>
      </c>
      <c r="J58" s="42">
        <v>1</v>
      </c>
      <c r="K58" s="42" t="s">
        <v>222</v>
      </c>
      <c r="L58" s="42" t="s">
        <v>259</v>
      </c>
      <c r="M58" s="42" t="s">
        <v>260</v>
      </c>
      <c r="N58" s="47" t="s">
        <v>220</v>
      </c>
      <c r="O58" s="43">
        <v>2</v>
      </c>
      <c r="P58" s="17">
        <v>3</v>
      </c>
      <c r="Q58" s="36">
        <v>8</v>
      </c>
      <c r="R58" s="36">
        <v>1</v>
      </c>
      <c r="S58" s="36">
        <v>25</v>
      </c>
      <c r="T58" s="39">
        <v>13</v>
      </c>
      <c r="U58" s="37">
        <v>12</v>
      </c>
      <c r="V58" s="37">
        <v>20</v>
      </c>
      <c r="W58" s="30">
        <v>48</v>
      </c>
      <c r="X58" s="31">
        <v>22.7</v>
      </c>
      <c r="Y58" s="31">
        <v>110</v>
      </c>
      <c r="Z58" s="31" t="s">
        <v>221</v>
      </c>
      <c r="AA58" s="31">
        <v>50</v>
      </c>
      <c r="AB58" s="31">
        <v>19</v>
      </c>
      <c r="AC58" s="14" t="s">
        <v>222</v>
      </c>
      <c r="AD58" s="9">
        <v>1.5591474940000001</v>
      </c>
      <c r="AE58" s="9">
        <v>2.5028789699999998</v>
      </c>
      <c r="AF58" s="9">
        <v>2.2023930209999998</v>
      </c>
      <c r="AG58" s="6" t="str">
        <f t="shared" si="1"/>
        <v>Normal</v>
      </c>
      <c r="AH58" s="7" t="str">
        <f t="shared" si="2"/>
        <v>Ris Lbh</v>
      </c>
      <c r="AI58" s="8" t="str">
        <f t="shared" si="3"/>
        <v>Gz.Lbh</v>
      </c>
    </row>
    <row r="59" spans="1:35" ht="15.6">
      <c r="A59" s="15"/>
      <c r="B59" s="33" t="s">
        <v>36</v>
      </c>
      <c r="C59" s="33" t="s">
        <v>261</v>
      </c>
      <c r="D59" s="41" t="s">
        <v>48</v>
      </c>
      <c r="E59" s="42">
        <v>1</v>
      </c>
      <c r="F59" s="31" t="s">
        <v>262</v>
      </c>
      <c r="G59" s="42" t="s">
        <v>263</v>
      </c>
      <c r="H59" s="42">
        <v>2.8</v>
      </c>
      <c r="I59" s="42">
        <v>49</v>
      </c>
      <c r="J59" s="42">
        <v>1</v>
      </c>
      <c r="K59" s="42" t="s">
        <v>222</v>
      </c>
      <c r="L59" s="42" t="s">
        <v>264</v>
      </c>
      <c r="M59" s="42" t="s">
        <v>265</v>
      </c>
      <c r="N59" s="47" t="s">
        <v>220</v>
      </c>
      <c r="O59" s="43">
        <v>4</v>
      </c>
      <c r="P59" s="17">
        <v>3</v>
      </c>
      <c r="Q59" s="36">
        <v>8</v>
      </c>
      <c r="R59" s="36">
        <v>1</v>
      </c>
      <c r="S59" s="36">
        <v>25</v>
      </c>
      <c r="T59" s="39">
        <v>9</v>
      </c>
      <c r="U59" s="37">
        <v>1</v>
      </c>
      <c r="V59" s="37">
        <v>21</v>
      </c>
      <c r="W59" s="30">
        <v>47</v>
      </c>
      <c r="X59" s="31">
        <v>13.2</v>
      </c>
      <c r="Y59" s="31">
        <v>98.5</v>
      </c>
      <c r="Z59" s="31" t="s">
        <v>221</v>
      </c>
      <c r="AA59" s="31">
        <v>49</v>
      </c>
      <c r="AB59" s="31">
        <v>15</v>
      </c>
      <c r="AC59" s="14" t="s">
        <v>222</v>
      </c>
      <c r="AD59" s="9">
        <v>-1.146861656</v>
      </c>
      <c r="AE59" s="9">
        <v>-1.6977755329999999</v>
      </c>
      <c r="AF59" s="9">
        <v>-1.582626654</v>
      </c>
      <c r="AG59" s="6" t="str">
        <f t="shared" si="1"/>
        <v>Normal</v>
      </c>
      <c r="AH59" s="7" t="str">
        <f t="shared" si="2"/>
        <v>BB Normal</v>
      </c>
      <c r="AI59" s="8" t="str">
        <f t="shared" si="3"/>
        <v>Normal</v>
      </c>
    </row>
    <row r="60" spans="1:35" ht="15.6">
      <c r="A60" s="15"/>
      <c r="B60" s="33" t="s">
        <v>36</v>
      </c>
      <c r="C60" s="33" t="s">
        <v>266</v>
      </c>
      <c r="D60" s="41" t="s">
        <v>48</v>
      </c>
      <c r="E60" s="42">
        <v>1</v>
      </c>
      <c r="F60" s="31" t="s">
        <v>267</v>
      </c>
      <c r="G60" s="42" t="s">
        <v>268</v>
      </c>
      <c r="H60" s="42">
        <v>3.4</v>
      </c>
      <c r="I60" s="42">
        <v>48</v>
      </c>
      <c r="J60" s="42">
        <v>1</v>
      </c>
      <c r="K60" s="42" t="s">
        <v>53</v>
      </c>
      <c r="L60" s="42" t="s">
        <v>269</v>
      </c>
      <c r="M60" s="42" t="s">
        <v>270</v>
      </c>
      <c r="N60" s="47" t="s">
        <v>220</v>
      </c>
      <c r="O60" s="43">
        <v>4</v>
      </c>
      <c r="P60" s="17">
        <v>3</v>
      </c>
      <c r="Q60" s="36">
        <v>8</v>
      </c>
      <c r="R60" s="36">
        <v>1</v>
      </c>
      <c r="S60" s="36">
        <v>25</v>
      </c>
      <c r="T60" s="39">
        <v>25</v>
      </c>
      <c r="U60" s="37">
        <v>4</v>
      </c>
      <c r="V60" s="37">
        <v>21</v>
      </c>
      <c r="W60" s="30">
        <v>44</v>
      </c>
      <c r="X60" s="31">
        <v>12.8</v>
      </c>
      <c r="Y60" s="31">
        <v>102</v>
      </c>
      <c r="Z60" s="31" t="s">
        <v>221</v>
      </c>
      <c r="AA60" s="31">
        <v>49</v>
      </c>
      <c r="AB60" s="31">
        <v>15</v>
      </c>
      <c r="AC60" s="15" t="s">
        <v>222</v>
      </c>
      <c r="AD60" s="9">
        <v>0.16798569939999999</v>
      </c>
      <c r="AE60" s="9">
        <v>-1.673123524</v>
      </c>
      <c r="AF60" s="9">
        <v>-2.740118823</v>
      </c>
      <c r="AG60" s="6" t="str">
        <f t="shared" si="1"/>
        <v>Normal</v>
      </c>
      <c r="AH60" s="7" t="str">
        <f t="shared" si="2"/>
        <v>BB Normal</v>
      </c>
      <c r="AI60" s="8" t="str">
        <f t="shared" si="3"/>
        <v>Gz.Krg</v>
      </c>
    </row>
    <row r="61" spans="1:35" ht="15.6">
      <c r="A61" s="15"/>
      <c r="B61" s="33" t="s">
        <v>44</v>
      </c>
      <c r="C61" s="33" t="s">
        <v>271</v>
      </c>
      <c r="D61" s="41" t="s">
        <v>48</v>
      </c>
      <c r="E61" s="42">
        <v>1</v>
      </c>
      <c r="F61" s="31" t="s">
        <v>272</v>
      </c>
      <c r="G61" s="42" t="s">
        <v>273</v>
      </c>
      <c r="H61" s="42">
        <v>2.8</v>
      </c>
      <c r="I61" s="42">
        <v>48</v>
      </c>
      <c r="J61" s="42">
        <v>1</v>
      </c>
      <c r="K61" s="42" t="s">
        <v>53</v>
      </c>
      <c r="L61" s="42" t="s">
        <v>274</v>
      </c>
      <c r="M61" s="42" t="s">
        <v>275</v>
      </c>
      <c r="N61" s="47" t="s">
        <v>220</v>
      </c>
      <c r="O61" s="43">
        <v>2</v>
      </c>
      <c r="P61" s="17">
        <v>3</v>
      </c>
      <c r="Q61" s="36">
        <v>8</v>
      </c>
      <c r="R61" s="36">
        <v>1</v>
      </c>
      <c r="S61" s="36">
        <v>25</v>
      </c>
      <c r="T61" s="39">
        <v>21</v>
      </c>
      <c r="U61" s="37">
        <v>5</v>
      </c>
      <c r="V61" s="37">
        <v>21</v>
      </c>
      <c r="W61" s="30">
        <v>43</v>
      </c>
      <c r="X61" s="31">
        <v>12.5</v>
      </c>
      <c r="Y61" s="31">
        <v>91</v>
      </c>
      <c r="Z61" s="31" t="s">
        <v>221</v>
      </c>
      <c r="AA61" s="31">
        <v>48</v>
      </c>
      <c r="AB61" s="31">
        <v>14</v>
      </c>
      <c r="AC61" s="14" t="s">
        <v>276</v>
      </c>
      <c r="AD61" s="9">
        <v>-2.4370645</v>
      </c>
      <c r="AE61" s="9">
        <v>-1.7961859739999999</v>
      </c>
      <c r="AF61" s="9">
        <v>-0.62767310880000005</v>
      </c>
      <c r="AG61" s="6" t="str">
        <f t="shared" si="1"/>
        <v>Pendek</v>
      </c>
      <c r="AH61" s="7" t="str">
        <f t="shared" si="2"/>
        <v>BB Normal</v>
      </c>
      <c r="AI61" s="8" t="str">
        <f t="shared" si="3"/>
        <v>Normal</v>
      </c>
    </row>
    <row r="62" spans="1:35" ht="15.6">
      <c r="A62" s="15"/>
      <c r="B62" s="33" t="s">
        <v>44</v>
      </c>
      <c r="C62" s="33" t="s">
        <v>277</v>
      </c>
      <c r="D62" s="41" t="s">
        <v>48</v>
      </c>
      <c r="E62" s="42">
        <v>1</v>
      </c>
      <c r="F62" s="31" t="s">
        <v>278</v>
      </c>
      <c r="G62" s="42" t="s">
        <v>279</v>
      </c>
      <c r="H62" s="42">
        <v>3</v>
      </c>
      <c r="I62" s="42">
        <v>51</v>
      </c>
      <c r="J62" s="42">
        <v>1</v>
      </c>
      <c r="K62" s="42" t="s">
        <v>53</v>
      </c>
      <c r="L62" s="42" t="s">
        <v>280</v>
      </c>
      <c r="M62" s="42" t="s">
        <v>281</v>
      </c>
      <c r="N62" s="47" t="s">
        <v>220</v>
      </c>
      <c r="O62" s="43">
        <v>4</v>
      </c>
      <c r="P62" s="17">
        <v>3</v>
      </c>
      <c r="Q62" s="36">
        <v>8</v>
      </c>
      <c r="R62" s="36">
        <v>1</v>
      </c>
      <c r="S62" s="36">
        <v>25</v>
      </c>
      <c r="T62" s="39">
        <v>11</v>
      </c>
      <c r="U62" s="37">
        <v>10</v>
      </c>
      <c r="V62" s="37">
        <v>21</v>
      </c>
      <c r="W62" s="30">
        <v>38</v>
      </c>
      <c r="X62" s="31">
        <v>16.5</v>
      </c>
      <c r="Y62" s="31">
        <v>95.2</v>
      </c>
      <c r="Z62" s="31" t="s">
        <v>221</v>
      </c>
      <c r="AA62" s="31">
        <v>49</v>
      </c>
      <c r="AB62" s="31">
        <v>19</v>
      </c>
      <c r="AC62" s="15" t="s">
        <v>222</v>
      </c>
      <c r="AD62" s="9">
        <v>-0.72017569319999997</v>
      </c>
      <c r="AE62" s="9">
        <v>0.8752717955</v>
      </c>
      <c r="AF62" s="9">
        <v>2.0086995970000001</v>
      </c>
      <c r="AG62" s="6" t="str">
        <f t="shared" si="1"/>
        <v>Normal</v>
      </c>
      <c r="AH62" s="7" t="str">
        <f t="shared" si="2"/>
        <v>BB Normal</v>
      </c>
      <c r="AI62" s="8" t="str">
        <f t="shared" si="3"/>
        <v>Gz.Lbh</v>
      </c>
    </row>
    <row r="63" spans="1:35" ht="15.6">
      <c r="A63" s="15"/>
      <c r="B63" s="33" t="s">
        <v>198</v>
      </c>
      <c r="C63" s="33" t="s">
        <v>282</v>
      </c>
      <c r="D63" s="41" t="s">
        <v>48</v>
      </c>
      <c r="E63" s="42">
        <v>1</v>
      </c>
      <c r="F63" s="31" t="s">
        <v>283</v>
      </c>
      <c r="G63" s="42" t="s">
        <v>284</v>
      </c>
      <c r="H63" s="42">
        <v>3</v>
      </c>
      <c r="I63" s="42">
        <v>50</v>
      </c>
      <c r="J63" s="42">
        <v>1</v>
      </c>
      <c r="K63" s="42" t="s">
        <v>53</v>
      </c>
      <c r="L63" s="42" t="s">
        <v>285</v>
      </c>
      <c r="M63" s="42" t="s">
        <v>286</v>
      </c>
      <c r="N63" s="47" t="s">
        <v>220</v>
      </c>
      <c r="O63" s="43">
        <v>2</v>
      </c>
      <c r="P63" s="17">
        <v>3</v>
      </c>
      <c r="Q63" s="36">
        <v>8</v>
      </c>
      <c r="R63" s="36">
        <v>1</v>
      </c>
      <c r="S63" s="36">
        <v>25</v>
      </c>
      <c r="T63" s="39">
        <v>21</v>
      </c>
      <c r="U63" s="37">
        <v>10</v>
      </c>
      <c r="V63" s="37">
        <v>21</v>
      </c>
      <c r="W63" s="30">
        <v>38</v>
      </c>
      <c r="X63" s="31">
        <v>11.6</v>
      </c>
      <c r="Y63" s="31">
        <v>90</v>
      </c>
      <c r="Z63" s="31" t="s">
        <v>221</v>
      </c>
      <c r="AA63" s="31">
        <v>48</v>
      </c>
      <c r="AB63" s="31">
        <v>15</v>
      </c>
      <c r="AC63" s="15" t="s">
        <v>222</v>
      </c>
      <c r="AD63" s="9">
        <v>-2.028164699</v>
      </c>
      <c r="AE63" s="9">
        <v>-1.9990802219999999</v>
      </c>
      <c r="AF63" s="9">
        <v>-1.359514176</v>
      </c>
      <c r="AG63" s="6" t="str">
        <f t="shared" si="1"/>
        <v>Pendek</v>
      </c>
      <c r="AH63" s="7" t="str">
        <f t="shared" si="2"/>
        <v>BB Normal</v>
      </c>
      <c r="AI63" s="8" t="str">
        <f t="shared" si="3"/>
        <v>Normal</v>
      </c>
    </row>
    <row r="64" spans="1:35" ht="15.6">
      <c r="A64" s="15"/>
      <c r="B64" s="33" t="s">
        <v>198</v>
      </c>
      <c r="C64" s="33" t="s">
        <v>287</v>
      </c>
      <c r="D64" s="41" t="s">
        <v>48</v>
      </c>
      <c r="E64" s="42">
        <v>1</v>
      </c>
      <c r="F64" s="31" t="s">
        <v>288</v>
      </c>
      <c r="G64" s="42" t="s">
        <v>289</v>
      </c>
      <c r="H64" s="42">
        <v>15</v>
      </c>
      <c r="I64" s="42">
        <v>96</v>
      </c>
      <c r="J64" s="42">
        <v>1</v>
      </c>
      <c r="K64" s="42" t="s">
        <v>53</v>
      </c>
      <c r="L64" s="42" t="s">
        <v>290</v>
      </c>
      <c r="M64" s="42" t="s">
        <v>291</v>
      </c>
      <c r="N64" s="47" t="s">
        <v>220</v>
      </c>
      <c r="O64" s="43">
        <v>1</v>
      </c>
      <c r="P64" s="17">
        <v>3</v>
      </c>
      <c r="Q64" s="36">
        <v>8</v>
      </c>
      <c r="R64" s="36">
        <v>1</v>
      </c>
      <c r="S64" s="36">
        <v>25</v>
      </c>
      <c r="T64" s="39">
        <v>2</v>
      </c>
      <c r="U64" s="37">
        <v>12</v>
      </c>
      <c r="V64" s="37">
        <v>21</v>
      </c>
      <c r="W64" s="30">
        <v>37</v>
      </c>
      <c r="X64" s="31">
        <v>15</v>
      </c>
      <c r="Y64" s="31">
        <v>96</v>
      </c>
      <c r="Z64" s="31" t="s">
        <v>221</v>
      </c>
      <c r="AA64" s="31">
        <v>48</v>
      </c>
      <c r="AB64" s="31">
        <v>17</v>
      </c>
      <c r="AC64" s="14" t="s">
        <v>222</v>
      </c>
      <c r="AD64" s="9">
        <v>-0.2328013323</v>
      </c>
      <c r="AE64" s="9">
        <v>0.25332594419999999</v>
      </c>
      <c r="AF64" s="9">
        <v>0.60965601390000002</v>
      </c>
      <c r="AG64" s="6" t="str">
        <f t="shared" si="1"/>
        <v>Normal</v>
      </c>
      <c r="AH64" s="7" t="str">
        <f t="shared" si="2"/>
        <v>BB Normal</v>
      </c>
      <c r="AI64" s="8" t="str">
        <f t="shared" si="3"/>
        <v>Normal</v>
      </c>
    </row>
    <row r="65" spans="1:35" ht="15.6">
      <c r="A65" s="15"/>
      <c r="B65" s="33" t="s">
        <v>292</v>
      </c>
      <c r="C65" s="33" t="s">
        <v>293</v>
      </c>
      <c r="D65" s="41" t="s">
        <v>48</v>
      </c>
      <c r="E65" s="42">
        <v>1</v>
      </c>
      <c r="F65" s="31" t="s">
        <v>294</v>
      </c>
      <c r="G65" s="42" t="s">
        <v>295</v>
      </c>
      <c r="H65" s="42">
        <v>3</v>
      </c>
      <c r="I65" s="42">
        <v>48</v>
      </c>
      <c r="J65" s="42">
        <v>1</v>
      </c>
      <c r="K65" s="42" t="s">
        <v>53</v>
      </c>
      <c r="L65" s="42" t="s">
        <v>296</v>
      </c>
      <c r="M65" s="42" t="s">
        <v>297</v>
      </c>
      <c r="N65" s="47" t="s">
        <v>220</v>
      </c>
      <c r="O65" s="43">
        <v>3</v>
      </c>
      <c r="P65" s="17">
        <v>3</v>
      </c>
      <c r="Q65" s="36">
        <v>8</v>
      </c>
      <c r="R65" s="36">
        <v>1</v>
      </c>
      <c r="S65" s="36">
        <v>25</v>
      </c>
      <c r="T65" s="39">
        <v>20</v>
      </c>
      <c r="U65" s="37">
        <v>12</v>
      </c>
      <c r="V65" s="37">
        <v>21</v>
      </c>
      <c r="W65" s="30">
        <v>36</v>
      </c>
      <c r="X65" s="42">
        <v>14.5</v>
      </c>
      <c r="Y65" s="32">
        <v>96</v>
      </c>
      <c r="Z65" s="32" t="s">
        <v>221</v>
      </c>
      <c r="AA65" s="32">
        <v>49</v>
      </c>
      <c r="AB65" s="32">
        <v>16</v>
      </c>
      <c r="AC65" s="16" t="s">
        <v>222</v>
      </c>
      <c r="AD65" s="9">
        <v>-0.13194324290000001</v>
      </c>
      <c r="AE65" s="9">
        <v>2.927690938E-2</v>
      </c>
      <c r="AF65" s="9">
        <v>0.1749311181</v>
      </c>
      <c r="AG65" s="6" t="str">
        <f t="shared" si="1"/>
        <v>Normal</v>
      </c>
      <c r="AH65" s="7" t="str">
        <f t="shared" si="2"/>
        <v>BB Normal</v>
      </c>
      <c r="AI65" s="8" t="str">
        <f t="shared" si="3"/>
        <v>Normal</v>
      </c>
    </row>
    <row r="66" spans="1:35" ht="15.6">
      <c r="A66" s="15"/>
      <c r="B66" s="33" t="s">
        <v>198</v>
      </c>
      <c r="C66" s="33" t="s">
        <v>298</v>
      </c>
      <c r="D66" s="41" t="s">
        <v>37</v>
      </c>
      <c r="E66" s="42">
        <v>2</v>
      </c>
      <c r="F66" s="31" t="s">
        <v>299</v>
      </c>
      <c r="G66" s="42" t="s">
        <v>300</v>
      </c>
      <c r="H66" s="42">
        <v>3</v>
      </c>
      <c r="I66" s="42">
        <v>39</v>
      </c>
      <c r="J66" s="42">
        <v>1</v>
      </c>
      <c r="K66" s="42" t="s">
        <v>222</v>
      </c>
      <c r="L66" s="42" t="s">
        <v>301</v>
      </c>
      <c r="M66" s="42" t="s">
        <v>302</v>
      </c>
      <c r="N66" s="47" t="s">
        <v>220</v>
      </c>
      <c r="O66" s="43">
        <v>3</v>
      </c>
      <c r="P66" s="17">
        <v>3</v>
      </c>
      <c r="Q66" s="36">
        <v>8</v>
      </c>
      <c r="R66" s="36">
        <v>1</v>
      </c>
      <c r="S66" s="36">
        <v>25</v>
      </c>
      <c r="T66" s="39">
        <v>4</v>
      </c>
      <c r="U66" s="37">
        <v>4</v>
      </c>
      <c r="V66" s="37">
        <v>22</v>
      </c>
      <c r="W66" s="30">
        <v>33</v>
      </c>
      <c r="X66" s="31">
        <v>16.7</v>
      </c>
      <c r="Y66" s="31">
        <v>90.6</v>
      </c>
      <c r="Z66" s="31" t="s">
        <v>221</v>
      </c>
      <c r="AA66" s="31">
        <v>50</v>
      </c>
      <c r="AB66" s="31">
        <v>18</v>
      </c>
      <c r="AC66" s="14" t="s">
        <v>222</v>
      </c>
      <c r="AD66" s="9">
        <v>-0.66677972630000004</v>
      </c>
      <c r="AE66" s="9">
        <v>1.836764821</v>
      </c>
      <c r="AF66" s="9">
        <v>3.1039614869999999</v>
      </c>
      <c r="AG66" s="6" t="str">
        <f t="shared" si="1"/>
        <v>Normal</v>
      </c>
      <c r="AH66" s="7" t="str">
        <f t="shared" si="2"/>
        <v>Ris Lbh</v>
      </c>
      <c r="AI66" s="8" t="str">
        <f t="shared" si="3"/>
        <v>Obesitas</v>
      </c>
    </row>
    <row r="67" spans="1:35" ht="15.6">
      <c r="A67" s="15"/>
      <c r="B67" s="33" t="s">
        <v>36</v>
      </c>
      <c r="C67" s="33" t="s">
        <v>303</v>
      </c>
      <c r="D67" s="41" t="s">
        <v>48</v>
      </c>
      <c r="E67" s="42">
        <v>1</v>
      </c>
      <c r="F67" s="31" t="s">
        <v>304</v>
      </c>
      <c r="G67" s="42" t="s">
        <v>305</v>
      </c>
      <c r="H67" s="42">
        <v>3.5</v>
      </c>
      <c r="I67" s="42">
        <v>51</v>
      </c>
      <c r="J67" s="42">
        <v>1</v>
      </c>
      <c r="K67" s="42" t="s">
        <v>53</v>
      </c>
      <c r="L67" s="42" t="s">
        <v>306</v>
      </c>
      <c r="M67" s="42" t="s">
        <v>307</v>
      </c>
      <c r="N67" s="47" t="s">
        <v>220</v>
      </c>
      <c r="O67" s="43">
        <v>3</v>
      </c>
      <c r="P67" s="17">
        <v>3</v>
      </c>
      <c r="Q67" s="36">
        <v>8</v>
      </c>
      <c r="R67" s="36">
        <v>1</v>
      </c>
      <c r="S67" s="36">
        <v>25</v>
      </c>
      <c r="T67" s="39">
        <v>16</v>
      </c>
      <c r="U67" s="37">
        <v>5</v>
      </c>
      <c r="V67" s="37">
        <v>22</v>
      </c>
      <c r="W67" s="30">
        <v>31</v>
      </c>
      <c r="X67" s="31">
        <v>12.3</v>
      </c>
      <c r="Y67" s="31">
        <v>93</v>
      </c>
      <c r="Z67" s="31" t="s">
        <v>221</v>
      </c>
      <c r="AA67" s="31">
        <v>47</v>
      </c>
      <c r="AB67" s="31">
        <v>15</v>
      </c>
      <c r="AC67" s="14" t="s">
        <v>222</v>
      </c>
      <c r="AD67" s="9">
        <v>-6.6601742980000003E-2</v>
      </c>
      <c r="AE67" s="9">
        <v>-0.85889886150000005</v>
      </c>
      <c r="AF67" s="9">
        <v>-1.284648689</v>
      </c>
      <c r="AG67" s="6" t="str">
        <f t="shared" si="1"/>
        <v>Normal</v>
      </c>
      <c r="AH67" s="7" t="str">
        <f t="shared" si="2"/>
        <v>BB Normal</v>
      </c>
      <c r="AI67" s="8" t="str">
        <f t="shared" si="3"/>
        <v>Normal</v>
      </c>
    </row>
    <row r="68" spans="1:35" ht="15.6">
      <c r="A68" s="15"/>
      <c r="B68" s="33" t="s">
        <v>198</v>
      </c>
      <c r="C68" s="33" t="s">
        <v>308</v>
      </c>
      <c r="D68" s="41" t="s">
        <v>48</v>
      </c>
      <c r="E68" s="42">
        <v>1</v>
      </c>
      <c r="F68" s="31" t="s">
        <v>309</v>
      </c>
      <c r="G68" s="42" t="s">
        <v>310</v>
      </c>
      <c r="H68" s="42">
        <v>2.6</v>
      </c>
      <c r="I68" s="42">
        <v>48</v>
      </c>
      <c r="J68" s="42">
        <v>1</v>
      </c>
      <c r="K68" s="42" t="s">
        <v>53</v>
      </c>
      <c r="L68" s="42" t="s">
        <v>311</v>
      </c>
      <c r="M68" s="42" t="s">
        <v>312</v>
      </c>
      <c r="N68" s="47" t="s">
        <v>220</v>
      </c>
      <c r="O68" s="43">
        <v>4</v>
      </c>
      <c r="P68" s="17">
        <v>3</v>
      </c>
      <c r="Q68" s="36">
        <v>8</v>
      </c>
      <c r="R68" s="36">
        <v>1</v>
      </c>
      <c r="S68" s="36">
        <v>25</v>
      </c>
      <c r="T68" s="39">
        <v>12</v>
      </c>
      <c r="U68" s="37">
        <v>7</v>
      </c>
      <c r="V68" s="37">
        <v>22</v>
      </c>
      <c r="W68" s="30">
        <v>29</v>
      </c>
      <c r="X68" s="42">
        <v>10.8</v>
      </c>
      <c r="Y68" s="32">
        <v>83</v>
      </c>
      <c r="Z68" s="32" t="s">
        <v>221</v>
      </c>
      <c r="AA68" s="32">
        <v>49</v>
      </c>
      <c r="AB68" s="32">
        <v>15</v>
      </c>
      <c r="AC68" s="16" t="s">
        <v>222</v>
      </c>
      <c r="AD68" s="9">
        <v>-2.6106485589999999</v>
      </c>
      <c r="AE68" s="9">
        <v>-1.7605402960000001</v>
      </c>
      <c r="AF68" s="9">
        <v>-0.45449538610000001</v>
      </c>
      <c r="AG68" s="6" t="str">
        <f t="shared" ref="AG68:AG131" si="10">IF(Y68&gt;0,IF(AD68&lt;-3,"S.Pendek",IF(AD68&lt;-2,"Pendek",IF(AD68&lt;=3,"Normal","Tinggi")))," ")</f>
        <v>Pendek</v>
      </c>
      <c r="AH68" s="7" t="str">
        <f t="shared" ref="AH68:AH131" si="11">IF(X68&gt;0,IF(AE68&lt;-3,"BB S.Krg",IF(AE68&lt;-2,"BB Krg",IF(AE68&lt;=1,"BB Normal","Ris Lbh")))," ")</f>
        <v>BB Normal</v>
      </c>
      <c r="AI68" s="8" t="str">
        <f t="shared" ref="AI68:AI131" si="12">IF(X68&gt;0,IF(Y68&gt;0,IF(AF68&lt;-3,"Gz.Brk",IF(AF68&lt;-2,"Gz.Krg",IF(AF68&lt;=1,"Normal",IF(AF68&lt;=2,"R.Gz.Lbh",IF(AF68&lt;=3,"Gz.Lbh","Obesitas")))))," "),"")</f>
        <v>Normal</v>
      </c>
    </row>
    <row r="69" spans="1:35" ht="15.6">
      <c r="A69" s="15"/>
      <c r="B69" s="33" t="s">
        <v>36</v>
      </c>
      <c r="C69" s="33" t="s">
        <v>313</v>
      </c>
      <c r="D69" s="41" t="s">
        <v>37</v>
      </c>
      <c r="E69" s="42">
        <v>2</v>
      </c>
      <c r="F69" s="31" t="s">
        <v>314</v>
      </c>
      <c r="G69" s="42" t="s">
        <v>315</v>
      </c>
      <c r="H69" s="42">
        <v>3.5</v>
      </c>
      <c r="I69" s="42">
        <v>50</v>
      </c>
      <c r="J69" s="42">
        <v>1</v>
      </c>
      <c r="K69" s="42" t="s">
        <v>222</v>
      </c>
      <c r="L69" s="42" t="s">
        <v>254</v>
      </c>
      <c r="M69" s="42" t="s">
        <v>255</v>
      </c>
      <c r="N69" s="47" t="s">
        <v>220</v>
      </c>
      <c r="O69" s="43">
        <v>2</v>
      </c>
      <c r="P69" s="17">
        <v>3</v>
      </c>
      <c r="Q69" s="36">
        <v>8</v>
      </c>
      <c r="R69" s="36">
        <v>1</v>
      </c>
      <c r="S69" s="36">
        <v>25</v>
      </c>
      <c r="T69" s="39">
        <v>15</v>
      </c>
      <c r="U69" s="37">
        <v>7</v>
      </c>
      <c r="V69" s="37">
        <v>22</v>
      </c>
      <c r="W69" s="30">
        <v>29</v>
      </c>
      <c r="X69" s="42">
        <v>12.5</v>
      </c>
      <c r="Y69" s="32">
        <v>90</v>
      </c>
      <c r="Z69" s="32" t="s">
        <v>221</v>
      </c>
      <c r="AA69" s="32">
        <v>51</v>
      </c>
      <c r="AB69" s="32">
        <v>15</v>
      </c>
      <c r="AC69" s="16" t="s">
        <v>222</v>
      </c>
      <c r="AD69" s="9">
        <v>-0.15524046990000001</v>
      </c>
      <c r="AE69" s="9">
        <v>-0.1110899299</v>
      </c>
      <c r="AF69" s="9">
        <v>-0.1364179714</v>
      </c>
      <c r="AG69" s="6" t="str">
        <f t="shared" si="10"/>
        <v>Normal</v>
      </c>
      <c r="AH69" s="7" t="str">
        <f t="shared" si="11"/>
        <v>BB Normal</v>
      </c>
      <c r="AI69" s="8" t="str">
        <f t="shared" si="12"/>
        <v>Normal</v>
      </c>
    </row>
    <row r="70" spans="1:35" ht="15.6">
      <c r="A70" s="15"/>
      <c r="B70" s="33" t="s">
        <v>36</v>
      </c>
      <c r="C70" s="33" t="s">
        <v>316</v>
      </c>
      <c r="D70" s="41" t="s">
        <v>48</v>
      </c>
      <c r="E70" s="42">
        <v>1</v>
      </c>
      <c r="F70" s="31" t="s">
        <v>317</v>
      </c>
      <c r="G70" s="42" t="s">
        <v>318</v>
      </c>
      <c r="H70" s="42">
        <v>3</v>
      </c>
      <c r="I70" s="42">
        <v>49</v>
      </c>
      <c r="J70" s="42">
        <v>1</v>
      </c>
      <c r="K70" s="42" t="s">
        <v>53</v>
      </c>
      <c r="L70" s="42" t="s">
        <v>319</v>
      </c>
      <c r="M70" s="42" t="s">
        <v>320</v>
      </c>
      <c r="N70" s="47" t="s">
        <v>220</v>
      </c>
      <c r="O70" s="43">
        <v>2</v>
      </c>
      <c r="P70" s="17">
        <v>3</v>
      </c>
      <c r="Q70" s="36">
        <v>8</v>
      </c>
      <c r="R70" s="36">
        <v>1</v>
      </c>
      <c r="S70" s="36">
        <v>25</v>
      </c>
      <c r="T70" s="39">
        <v>17</v>
      </c>
      <c r="U70" s="37">
        <v>9</v>
      </c>
      <c r="V70" s="37">
        <v>22</v>
      </c>
      <c r="W70" s="30">
        <v>27</v>
      </c>
      <c r="X70" s="42">
        <v>11.1</v>
      </c>
      <c r="Y70" s="32">
        <v>88.5</v>
      </c>
      <c r="Z70" s="32" t="s">
        <v>221</v>
      </c>
      <c r="AA70" s="32">
        <v>46</v>
      </c>
      <c r="AB70" s="32">
        <v>15</v>
      </c>
      <c r="AC70" s="17" t="s">
        <v>222</v>
      </c>
      <c r="AD70" s="9">
        <v>-0.5170808321</v>
      </c>
      <c r="AE70" s="9">
        <v>-1.2789824540000001</v>
      </c>
      <c r="AF70" s="9">
        <v>-1.562722312</v>
      </c>
      <c r="AG70" s="6" t="str">
        <f t="shared" si="10"/>
        <v>Normal</v>
      </c>
      <c r="AH70" s="7" t="str">
        <f t="shared" si="11"/>
        <v>BB Normal</v>
      </c>
      <c r="AI70" s="8" t="str">
        <f t="shared" si="12"/>
        <v>Normal</v>
      </c>
    </row>
    <row r="71" spans="1:35" ht="15.6">
      <c r="A71" s="15"/>
      <c r="B71" s="33" t="s">
        <v>198</v>
      </c>
      <c r="C71" s="33" t="s">
        <v>321</v>
      </c>
      <c r="D71" s="41" t="s">
        <v>48</v>
      </c>
      <c r="E71" s="42">
        <v>1</v>
      </c>
      <c r="F71" s="31" t="s">
        <v>322</v>
      </c>
      <c r="G71" s="42" t="s">
        <v>323</v>
      </c>
      <c r="H71" s="42">
        <v>3.8</v>
      </c>
      <c r="I71" s="42">
        <v>51</v>
      </c>
      <c r="J71" s="42">
        <v>1</v>
      </c>
      <c r="K71" s="42" t="s">
        <v>222</v>
      </c>
      <c r="L71" s="42" t="s">
        <v>324</v>
      </c>
      <c r="M71" s="42" t="s">
        <v>325</v>
      </c>
      <c r="N71" s="47" t="s">
        <v>220</v>
      </c>
      <c r="O71" s="43">
        <v>2</v>
      </c>
      <c r="P71" s="17">
        <v>3</v>
      </c>
      <c r="Q71" s="36">
        <v>8</v>
      </c>
      <c r="R71" s="36">
        <v>1</v>
      </c>
      <c r="S71" s="36">
        <v>25</v>
      </c>
      <c r="T71" s="39">
        <v>3</v>
      </c>
      <c r="U71" s="37">
        <v>10</v>
      </c>
      <c r="V71" s="37">
        <v>22</v>
      </c>
      <c r="W71" s="30">
        <v>27</v>
      </c>
      <c r="X71" s="42">
        <v>12.5</v>
      </c>
      <c r="Y71" s="32">
        <v>89.4</v>
      </c>
      <c r="Z71" s="32" t="s">
        <v>221</v>
      </c>
      <c r="AA71" s="32">
        <v>50</v>
      </c>
      <c r="AB71" s="32">
        <v>15</v>
      </c>
      <c r="AC71" s="16" t="s">
        <v>222</v>
      </c>
      <c r="AD71" s="9">
        <v>-0.1165801786</v>
      </c>
      <c r="AE71" s="9">
        <v>-0.19080336279999999</v>
      </c>
      <c r="AF71" s="9">
        <v>-0.2498828012</v>
      </c>
      <c r="AG71" s="6" t="str">
        <f t="shared" si="10"/>
        <v>Normal</v>
      </c>
      <c r="AH71" s="7" t="str">
        <f t="shared" si="11"/>
        <v>BB Normal</v>
      </c>
      <c r="AI71" s="8" t="str">
        <f t="shared" si="12"/>
        <v>Normal</v>
      </c>
    </row>
    <row r="72" spans="1:35" ht="15.6">
      <c r="A72" s="15"/>
      <c r="B72" s="33" t="s">
        <v>36</v>
      </c>
      <c r="C72" s="33" t="s">
        <v>326</v>
      </c>
      <c r="D72" s="41" t="s">
        <v>37</v>
      </c>
      <c r="E72" s="42">
        <v>2</v>
      </c>
      <c r="F72" s="31" t="s">
        <v>327</v>
      </c>
      <c r="G72" s="42" t="s">
        <v>328</v>
      </c>
      <c r="H72" s="42">
        <v>2.9</v>
      </c>
      <c r="I72" s="42">
        <v>48</v>
      </c>
      <c r="J72" s="42">
        <v>1</v>
      </c>
      <c r="K72" s="42" t="s">
        <v>53</v>
      </c>
      <c r="L72" s="42" t="s">
        <v>329</v>
      </c>
      <c r="M72" s="42" t="s">
        <v>330</v>
      </c>
      <c r="N72" s="47" t="s">
        <v>220</v>
      </c>
      <c r="O72" s="43">
        <v>2</v>
      </c>
      <c r="P72" s="17">
        <v>3</v>
      </c>
      <c r="Q72" s="36">
        <v>8</v>
      </c>
      <c r="R72" s="36">
        <v>1</v>
      </c>
      <c r="S72" s="36">
        <v>25</v>
      </c>
      <c r="T72" s="39">
        <v>13</v>
      </c>
      <c r="U72" s="37">
        <v>3</v>
      </c>
      <c r="V72" s="37">
        <v>23</v>
      </c>
      <c r="W72" s="30">
        <v>21</v>
      </c>
      <c r="X72" s="42">
        <v>8.6999999999999993</v>
      </c>
      <c r="Y72" s="32">
        <v>79.5</v>
      </c>
      <c r="Z72" s="32" t="s">
        <v>221</v>
      </c>
      <c r="AA72" s="32">
        <v>46</v>
      </c>
      <c r="AB72" s="32">
        <v>11</v>
      </c>
      <c r="AC72" s="17" t="s">
        <v>222</v>
      </c>
      <c r="AD72" s="9">
        <v>-1.611842266</v>
      </c>
      <c r="AE72" s="9">
        <v>-1.9952293699999999</v>
      </c>
      <c r="AF72" s="9">
        <v>-1.6157209269999999</v>
      </c>
      <c r="AG72" s="6" t="str">
        <f t="shared" si="10"/>
        <v>Normal</v>
      </c>
      <c r="AH72" s="7" t="str">
        <f t="shared" si="11"/>
        <v>BB Normal</v>
      </c>
      <c r="AI72" s="8" t="str">
        <f t="shared" si="12"/>
        <v>Normal</v>
      </c>
    </row>
    <row r="73" spans="1:35" ht="15.6">
      <c r="A73" s="15"/>
      <c r="B73" s="33" t="s">
        <v>44</v>
      </c>
      <c r="C73" s="33" t="s">
        <v>331</v>
      </c>
      <c r="D73" s="41" t="s">
        <v>48</v>
      </c>
      <c r="E73" s="42">
        <v>1</v>
      </c>
      <c r="F73" s="31" t="s">
        <v>332</v>
      </c>
      <c r="G73" s="42" t="s">
        <v>333</v>
      </c>
      <c r="H73" s="42">
        <v>3.5</v>
      </c>
      <c r="I73" s="42">
        <v>50</v>
      </c>
      <c r="J73" s="42">
        <v>1</v>
      </c>
      <c r="K73" s="42" t="s">
        <v>222</v>
      </c>
      <c r="L73" s="42" t="s">
        <v>264</v>
      </c>
      <c r="M73" s="42" t="s">
        <v>265</v>
      </c>
      <c r="N73" s="47" t="s">
        <v>220</v>
      </c>
      <c r="O73" s="43">
        <v>4</v>
      </c>
      <c r="P73" s="17">
        <v>3</v>
      </c>
      <c r="Q73" s="36">
        <v>8</v>
      </c>
      <c r="R73" s="36">
        <v>1</v>
      </c>
      <c r="S73" s="36">
        <v>25</v>
      </c>
      <c r="T73" s="39">
        <v>25</v>
      </c>
      <c r="U73" s="37">
        <v>3</v>
      </c>
      <c r="V73" s="37">
        <v>23</v>
      </c>
      <c r="W73" s="30">
        <v>21</v>
      </c>
      <c r="X73" s="42">
        <v>11</v>
      </c>
      <c r="Y73" s="32">
        <v>85.6</v>
      </c>
      <c r="Z73" s="32" t="s">
        <v>221</v>
      </c>
      <c r="AA73" s="32">
        <v>46</v>
      </c>
      <c r="AB73" s="32">
        <v>15</v>
      </c>
      <c r="AC73" s="17" t="s">
        <v>222</v>
      </c>
      <c r="AD73" s="9">
        <v>-1.494761457E-3</v>
      </c>
      <c r="AE73" s="9">
        <v>-0.51068246880000001</v>
      </c>
      <c r="AF73" s="9">
        <v>-0.72565268390000004</v>
      </c>
      <c r="AG73" s="6" t="str">
        <f t="shared" si="10"/>
        <v>Normal</v>
      </c>
      <c r="AH73" s="7" t="str">
        <f t="shared" si="11"/>
        <v>BB Normal</v>
      </c>
      <c r="AI73" s="8" t="str">
        <f t="shared" si="12"/>
        <v>Normal</v>
      </c>
    </row>
    <row r="74" spans="1:35" ht="15.6">
      <c r="A74" s="15"/>
      <c r="B74" s="33" t="s">
        <v>36</v>
      </c>
      <c r="C74" s="33" t="s">
        <v>334</v>
      </c>
      <c r="D74" s="41" t="s">
        <v>48</v>
      </c>
      <c r="E74" s="42">
        <v>1</v>
      </c>
      <c r="F74" s="31" t="s">
        <v>335</v>
      </c>
      <c r="G74" s="42" t="s">
        <v>336</v>
      </c>
      <c r="H74" s="42">
        <v>3.2</v>
      </c>
      <c r="I74" s="42">
        <v>51</v>
      </c>
      <c r="J74" s="42">
        <v>1</v>
      </c>
      <c r="K74" s="42" t="s">
        <v>53</v>
      </c>
      <c r="L74" s="42" t="s">
        <v>337</v>
      </c>
      <c r="M74" s="42" t="s">
        <v>338</v>
      </c>
      <c r="N74" s="47" t="s">
        <v>220</v>
      </c>
      <c r="O74" s="43">
        <v>2</v>
      </c>
      <c r="P74" s="17">
        <v>3</v>
      </c>
      <c r="Q74" s="36">
        <v>8</v>
      </c>
      <c r="R74" s="36">
        <v>1</v>
      </c>
      <c r="S74" s="36">
        <v>25</v>
      </c>
      <c r="T74" s="39">
        <v>12</v>
      </c>
      <c r="U74" s="37">
        <v>4</v>
      </c>
      <c r="V74" s="37">
        <v>23</v>
      </c>
      <c r="W74" s="30">
        <v>20</v>
      </c>
      <c r="X74" s="42">
        <v>8.6</v>
      </c>
      <c r="Y74" s="32">
        <v>76</v>
      </c>
      <c r="Z74" s="32" t="s">
        <v>339</v>
      </c>
      <c r="AA74" s="32">
        <v>49</v>
      </c>
      <c r="AB74" s="32">
        <v>15</v>
      </c>
      <c r="AC74" s="16" t="s">
        <v>222</v>
      </c>
      <c r="AD74" s="9">
        <v>-3.1592619970000002</v>
      </c>
      <c r="AE74" s="9">
        <v>-2.6068234729999999</v>
      </c>
      <c r="AF74" s="9">
        <v>-1.5120086109999999</v>
      </c>
      <c r="AG74" s="6" t="str">
        <f t="shared" si="10"/>
        <v>S.Pendek</v>
      </c>
      <c r="AH74" s="7" t="str">
        <f t="shared" si="11"/>
        <v>BB Krg</v>
      </c>
      <c r="AI74" s="8" t="str">
        <f t="shared" si="12"/>
        <v>Normal</v>
      </c>
    </row>
    <row r="75" spans="1:35" ht="15.6">
      <c r="A75" s="15"/>
      <c r="B75" s="33" t="s">
        <v>44</v>
      </c>
      <c r="C75" s="33" t="s">
        <v>340</v>
      </c>
      <c r="D75" s="41" t="s">
        <v>37</v>
      </c>
      <c r="E75" s="42">
        <v>2</v>
      </c>
      <c r="F75" s="31" t="s">
        <v>341</v>
      </c>
      <c r="G75" s="42" t="s">
        <v>342</v>
      </c>
      <c r="H75" s="42">
        <v>3.1</v>
      </c>
      <c r="I75" s="42">
        <v>51</v>
      </c>
      <c r="J75" s="42">
        <v>1</v>
      </c>
      <c r="K75" s="42" t="s">
        <v>222</v>
      </c>
      <c r="L75" s="42" t="s">
        <v>343</v>
      </c>
      <c r="M75" s="42" t="s">
        <v>344</v>
      </c>
      <c r="N75" s="47" t="s">
        <v>220</v>
      </c>
      <c r="O75" s="43">
        <v>1</v>
      </c>
      <c r="P75" s="17">
        <v>3</v>
      </c>
      <c r="Q75" s="36">
        <v>8</v>
      </c>
      <c r="R75" s="36">
        <v>1</v>
      </c>
      <c r="S75" s="36">
        <v>25</v>
      </c>
      <c r="T75" s="39">
        <v>14</v>
      </c>
      <c r="U75" s="37">
        <v>4</v>
      </c>
      <c r="V75" s="37">
        <v>23</v>
      </c>
      <c r="W75" s="30">
        <v>20</v>
      </c>
      <c r="X75" s="42">
        <v>12</v>
      </c>
      <c r="Y75" s="32">
        <v>85</v>
      </c>
      <c r="Z75" s="32" t="s">
        <v>339</v>
      </c>
      <c r="AA75" s="32">
        <v>50</v>
      </c>
      <c r="AB75" s="32">
        <v>17</v>
      </c>
      <c r="AC75" s="16" t="s">
        <v>222</v>
      </c>
      <c r="AD75" s="9">
        <v>0.48012069689999998</v>
      </c>
      <c r="AE75" s="9">
        <v>0.8617657071</v>
      </c>
      <c r="AF75" s="9">
        <v>0.78849130909999998</v>
      </c>
      <c r="AG75" s="6" t="str">
        <f t="shared" si="10"/>
        <v>Normal</v>
      </c>
      <c r="AH75" s="7" t="str">
        <f t="shared" si="11"/>
        <v>BB Normal</v>
      </c>
      <c r="AI75" s="8" t="str">
        <f t="shared" si="12"/>
        <v>Normal</v>
      </c>
    </row>
    <row r="76" spans="1:35" ht="15.6">
      <c r="A76" s="15"/>
      <c r="B76" s="33" t="s">
        <v>36</v>
      </c>
      <c r="C76" s="33" t="s">
        <v>345</v>
      </c>
      <c r="D76" s="41" t="s">
        <v>48</v>
      </c>
      <c r="E76" s="42">
        <v>1</v>
      </c>
      <c r="F76" s="31" t="s">
        <v>346</v>
      </c>
      <c r="G76" s="42" t="s">
        <v>347</v>
      </c>
      <c r="H76" s="42">
        <v>3</v>
      </c>
      <c r="I76" s="42">
        <v>50</v>
      </c>
      <c r="J76" s="42">
        <v>1</v>
      </c>
      <c r="K76" s="42" t="s">
        <v>222</v>
      </c>
      <c r="L76" s="42" t="s">
        <v>348</v>
      </c>
      <c r="M76" s="42" t="s">
        <v>349</v>
      </c>
      <c r="N76" s="47" t="s">
        <v>220</v>
      </c>
      <c r="O76" s="43">
        <v>1</v>
      </c>
      <c r="P76" s="17">
        <v>3</v>
      </c>
      <c r="Q76" s="36">
        <v>8</v>
      </c>
      <c r="R76" s="36">
        <v>1</v>
      </c>
      <c r="S76" s="36">
        <v>25</v>
      </c>
      <c r="T76" s="39">
        <v>5</v>
      </c>
      <c r="U76" s="37">
        <v>6</v>
      </c>
      <c r="V76" s="37">
        <v>23</v>
      </c>
      <c r="W76" s="30">
        <v>19</v>
      </c>
      <c r="X76" s="42">
        <v>12.4</v>
      </c>
      <c r="Y76" s="32">
        <v>87</v>
      </c>
      <c r="Z76" s="32" t="s">
        <v>339</v>
      </c>
      <c r="AA76" s="32">
        <v>47</v>
      </c>
      <c r="AB76" s="32">
        <v>16</v>
      </c>
      <c r="AC76" s="17" t="s">
        <v>222</v>
      </c>
      <c r="AD76" s="9">
        <v>1.3071904299999999</v>
      </c>
      <c r="AE76" s="9">
        <v>0.93171893159999997</v>
      </c>
      <c r="AF76" s="9">
        <v>0.42800933759999998</v>
      </c>
      <c r="AG76" s="6" t="str">
        <f t="shared" si="10"/>
        <v>Normal</v>
      </c>
      <c r="AH76" s="7" t="str">
        <f t="shared" si="11"/>
        <v>BB Normal</v>
      </c>
      <c r="AI76" s="8" t="str">
        <f t="shared" si="12"/>
        <v>Normal</v>
      </c>
    </row>
    <row r="77" spans="1:35" ht="15.6">
      <c r="A77" s="15"/>
      <c r="B77" s="33" t="s">
        <v>36</v>
      </c>
      <c r="C77" s="33" t="s">
        <v>350</v>
      </c>
      <c r="D77" s="41" t="s">
        <v>48</v>
      </c>
      <c r="E77" s="42">
        <v>1</v>
      </c>
      <c r="F77" s="31"/>
      <c r="G77" s="42" t="s">
        <v>351</v>
      </c>
      <c r="H77" s="42">
        <v>2.8</v>
      </c>
      <c r="I77" s="42">
        <v>49</v>
      </c>
      <c r="J77" s="42">
        <v>1</v>
      </c>
      <c r="K77" s="42" t="s">
        <v>53</v>
      </c>
      <c r="L77" s="42" t="s">
        <v>352</v>
      </c>
      <c r="M77" s="42" t="s">
        <v>353</v>
      </c>
      <c r="N77" s="47" t="s">
        <v>220</v>
      </c>
      <c r="O77" s="43">
        <v>1</v>
      </c>
      <c r="P77" s="17">
        <v>3</v>
      </c>
      <c r="Q77" s="36">
        <v>8</v>
      </c>
      <c r="R77" s="36">
        <v>1</v>
      </c>
      <c r="S77" s="36">
        <v>25</v>
      </c>
      <c r="T77" s="39">
        <v>8</v>
      </c>
      <c r="U77" s="37">
        <v>6</v>
      </c>
      <c r="V77" s="37">
        <v>23</v>
      </c>
      <c r="W77" s="30">
        <v>19</v>
      </c>
      <c r="X77" s="42">
        <v>9.6</v>
      </c>
      <c r="Y77" s="32">
        <v>83</v>
      </c>
      <c r="Z77" s="32" t="s">
        <v>339</v>
      </c>
      <c r="AA77" s="32">
        <v>49</v>
      </c>
      <c r="AB77" s="32">
        <v>15</v>
      </c>
      <c r="AC77" s="17" t="s">
        <v>222</v>
      </c>
      <c r="AD77" s="9">
        <v>-0.1065275455</v>
      </c>
      <c r="AE77" s="9">
        <v>-1.3433487980000001</v>
      </c>
      <c r="AF77" s="9">
        <v>-1.7636182540000001</v>
      </c>
      <c r="AG77" s="6" t="str">
        <f t="shared" si="10"/>
        <v>Normal</v>
      </c>
      <c r="AH77" s="7" t="str">
        <f t="shared" si="11"/>
        <v>BB Normal</v>
      </c>
      <c r="AI77" s="8" t="str">
        <f t="shared" si="12"/>
        <v>Normal</v>
      </c>
    </row>
    <row r="78" spans="1:35" ht="15.6">
      <c r="A78" s="15"/>
      <c r="B78" s="33" t="s">
        <v>44</v>
      </c>
      <c r="C78" s="33" t="s">
        <v>354</v>
      </c>
      <c r="D78" s="41" t="s">
        <v>48</v>
      </c>
      <c r="E78" s="42">
        <v>1</v>
      </c>
      <c r="F78" s="31" t="s">
        <v>355</v>
      </c>
      <c r="G78" s="42" t="s">
        <v>356</v>
      </c>
      <c r="H78" s="42">
        <v>2.8</v>
      </c>
      <c r="I78" s="42">
        <v>48</v>
      </c>
      <c r="J78" s="42">
        <v>1</v>
      </c>
      <c r="K78" s="42" t="s">
        <v>53</v>
      </c>
      <c r="L78" s="42" t="s">
        <v>357</v>
      </c>
      <c r="M78" s="42" t="s">
        <v>358</v>
      </c>
      <c r="N78" s="47" t="s">
        <v>220</v>
      </c>
      <c r="O78" s="43">
        <v>3</v>
      </c>
      <c r="P78" s="17">
        <v>3</v>
      </c>
      <c r="Q78" s="36">
        <v>8</v>
      </c>
      <c r="R78" s="36">
        <v>1</v>
      </c>
      <c r="S78" s="36">
        <v>25</v>
      </c>
      <c r="T78" s="39">
        <v>12</v>
      </c>
      <c r="U78" s="37">
        <v>7</v>
      </c>
      <c r="V78" s="37">
        <v>23</v>
      </c>
      <c r="W78" s="30">
        <v>17</v>
      </c>
      <c r="X78" s="42">
        <v>9.6</v>
      </c>
      <c r="Y78" s="32">
        <v>78</v>
      </c>
      <c r="Z78" s="32" t="s">
        <v>339</v>
      </c>
      <c r="AA78" s="32">
        <v>47</v>
      </c>
      <c r="AB78" s="32">
        <v>15</v>
      </c>
      <c r="AC78" s="17" t="s">
        <v>222</v>
      </c>
      <c r="AD78" s="9">
        <v>-1.557422608</v>
      </c>
      <c r="AE78" s="9">
        <v>-1.1633943849999999</v>
      </c>
      <c r="AF78" s="9">
        <v>-0.61260610800000004</v>
      </c>
      <c r="AG78" s="6" t="str">
        <f t="shared" si="10"/>
        <v>Normal</v>
      </c>
      <c r="AH78" s="7" t="str">
        <f t="shared" si="11"/>
        <v>BB Normal</v>
      </c>
      <c r="AI78" s="8" t="str">
        <f t="shared" si="12"/>
        <v>Normal</v>
      </c>
    </row>
    <row r="79" spans="1:35" ht="15.6">
      <c r="A79" s="15"/>
      <c r="B79" s="33" t="s">
        <v>36</v>
      </c>
      <c r="C79" s="33" t="s">
        <v>359</v>
      </c>
      <c r="D79" s="41" t="s">
        <v>48</v>
      </c>
      <c r="E79" s="42">
        <v>1</v>
      </c>
      <c r="F79" s="31" t="s">
        <v>360</v>
      </c>
      <c r="G79" s="42" t="s">
        <v>361</v>
      </c>
      <c r="H79" s="42">
        <v>2.2999999999999998</v>
      </c>
      <c r="I79" s="42">
        <v>48</v>
      </c>
      <c r="J79" s="42">
        <v>1</v>
      </c>
      <c r="K79" s="42" t="s">
        <v>53</v>
      </c>
      <c r="L79" s="42" t="s">
        <v>362</v>
      </c>
      <c r="M79" s="42" t="s">
        <v>363</v>
      </c>
      <c r="N79" s="47" t="s">
        <v>220</v>
      </c>
      <c r="O79" s="43">
        <v>1</v>
      </c>
      <c r="P79" s="17">
        <v>3</v>
      </c>
      <c r="Q79" s="36">
        <v>8</v>
      </c>
      <c r="R79" s="36">
        <v>1</v>
      </c>
      <c r="S79" s="36">
        <v>25</v>
      </c>
      <c r="T79" s="39">
        <v>21</v>
      </c>
      <c r="U79" s="37">
        <v>9</v>
      </c>
      <c r="V79" s="37">
        <v>23</v>
      </c>
      <c r="W79" s="30">
        <v>15</v>
      </c>
      <c r="X79" s="42">
        <v>8.5</v>
      </c>
      <c r="Y79" s="32">
        <v>75.5</v>
      </c>
      <c r="Z79" s="32" t="s">
        <v>339</v>
      </c>
      <c r="AA79" s="32">
        <v>46</v>
      </c>
      <c r="AB79" s="32">
        <v>13</v>
      </c>
      <c r="AC79" s="16" t="s">
        <v>222</v>
      </c>
      <c r="AD79" s="9">
        <v>-1.6723240239999999</v>
      </c>
      <c r="AE79" s="9">
        <v>-1.8564620220000001</v>
      </c>
      <c r="AF79" s="9">
        <v>-1.528880316</v>
      </c>
      <c r="AG79" s="6" t="str">
        <f t="shared" si="10"/>
        <v>Normal</v>
      </c>
      <c r="AH79" s="7" t="str">
        <f t="shared" si="11"/>
        <v>BB Normal</v>
      </c>
      <c r="AI79" s="8" t="str">
        <f t="shared" si="12"/>
        <v>Normal</v>
      </c>
    </row>
    <row r="80" spans="1:35" ht="15.6">
      <c r="A80" s="15"/>
      <c r="B80" s="33" t="s">
        <v>36</v>
      </c>
      <c r="C80" s="48" t="s">
        <v>364</v>
      </c>
      <c r="D80" s="41" t="s">
        <v>48</v>
      </c>
      <c r="E80" s="42">
        <v>1</v>
      </c>
      <c r="F80" s="31" t="s">
        <v>365</v>
      </c>
      <c r="G80" s="42" t="s">
        <v>366</v>
      </c>
      <c r="H80" s="42">
        <v>3.5</v>
      </c>
      <c r="I80" s="42">
        <v>51</v>
      </c>
      <c r="J80" s="42">
        <v>1</v>
      </c>
      <c r="K80" s="42" t="s">
        <v>222</v>
      </c>
      <c r="L80" s="42" t="s">
        <v>367</v>
      </c>
      <c r="M80" s="42" t="s">
        <v>368</v>
      </c>
      <c r="N80" s="47" t="s">
        <v>220</v>
      </c>
      <c r="O80" s="43">
        <v>1</v>
      </c>
      <c r="P80" s="17">
        <v>3</v>
      </c>
      <c r="Q80" s="36">
        <v>8</v>
      </c>
      <c r="R80" s="36">
        <v>1</v>
      </c>
      <c r="S80" s="36">
        <v>25</v>
      </c>
      <c r="T80" s="39">
        <v>3</v>
      </c>
      <c r="U80" s="37">
        <v>11</v>
      </c>
      <c r="V80" s="37">
        <v>23</v>
      </c>
      <c r="W80" s="30">
        <v>14</v>
      </c>
      <c r="X80" s="43">
        <v>8.9</v>
      </c>
      <c r="Y80" s="17">
        <v>74</v>
      </c>
      <c r="Z80" s="17" t="s">
        <v>339</v>
      </c>
      <c r="AA80" s="17">
        <v>46</v>
      </c>
      <c r="AB80" s="17">
        <v>15</v>
      </c>
      <c r="AC80" s="16" t="s">
        <v>222</v>
      </c>
      <c r="AD80" s="9">
        <v>-1.711730446</v>
      </c>
      <c r="AE80" s="9">
        <v>-1.1820208809999999</v>
      </c>
      <c r="AF80" s="9">
        <v>-0.54852103389999995</v>
      </c>
      <c r="AG80" s="6" t="str">
        <f t="shared" si="10"/>
        <v>Normal</v>
      </c>
      <c r="AH80" s="7" t="str">
        <f t="shared" si="11"/>
        <v>BB Normal</v>
      </c>
      <c r="AI80" s="8" t="str">
        <f t="shared" si="12"/>
        <v>Normal</v>
      </c>
    </row>
    <row r="81" spans="1:35" ht="15.6">
      <c r="A81" s="15"/>
      <c r="B81" s="33" t="s">
        <v>198</v>
      </c>
      <c r="C81" s="48" t="s">
        <v>369</v>
      </c>
      <c r="D81" s="41" t="s">
        <v>37</v>
      </c>
      <c r="E81" s="42">
        <v>2</v>
      </c>
      <c r="F81" s="31" t="s">
        <v>370</v>
      </c>
      <c r="G81" s="42" t="s">
        <v>371</v>
      </c>
      <c r="H81" s="42">
        <v>3.3</v>
      </c>
      <c r="I81" s="42">
        <v>54</v>
      </c>
      <c r="J81" s="42">
        <v>1</v>
      </c>
      <c r="K81" s="42" t="s">
        <v>53</v>
      </c>
      <c r="L81" s="42" t="s">
        <v>372</v>
      </c>
      <c r="M81" s="42" t="s">
        <v>373</v>
      </c>
      <c r="N81" s="47" t="s">
        <v>220</v>
      </c>
      <c r="O81" s="43">
        <v>3</v>
      </c>
      <c r="P81" s="17">
        <v>3</v>
      </c>
      <c r="Q81" s="36">
        <v>8</v>
      </c>
      <c r="R81" s="36">
        <v>1</v>
      </c>
      <c r="S81" s="36">
        <v>25</v>
      </c>
      <c r="T81" s="39">
        <v>16</v>
      </c>
      <c r="U81" s="37">
        <v>12</v>
      </c>
      <c r="V81" s="37">
        <v>23</v>
      </c>
      <c r="W81" s="30">
        <v>12</v>
      </c>
      <c r="X81" s="31">
        <v>7.6</v>
      </c>
      <c r="Y81" s="31">
        <v>73</v>
      </c>
      <c r="Z81" s="31" t="s">
        <v>339</v>
      </c>
      <c r="AA81" s="31">
        <v>44</v>
      </c>
      <c r="AB81" s="31">
        <v>13</v>
      </c>
      <c r="AC81" s="14" t="s">
        <v>222</v>
      </c>
      <c r="AD81" s="9">
        <v>-0.74463764870000004</v>
      </c>
      <c r="AE81" s="9">
        <v>-1.521535893</v>
      </c>
      <c r="AF81" s="9">
        <v>-1.656654831</v>
      </c>
      <c r="AG81" s="6" t="str">
        <f t="shared" si="10"/>
        <v>Normal</v>
      </c>
      <c r="AH81" s="7" t="str">
        <f t="shared" si="11"/>
        <v>BB Normal</v>
      </c>
      <c r="AI81" s="8" t="str">
        <f t="shared" si="12"/>
        <v>Normal</v>
      </c>
    </row>
    <row r="82" spans="1:35" ht="15.6">
      <c r="A82" s="15"/>
      <c r="B82" s="33" t="s">
        <v>44</v>
      </c>
      <c r="C82" s="48" t="s">
        <v>369</v>
      </c>
      <c r="D82" s="41" t="s">
        <v>37</v>
      </c>
      <c r="E82" s="42">
        <v>2</v>
      </c>
      <c r="F82" s="31" t="s">
        <v>374</v>
      </c>
      <c r="G82" s="42" t="s">
        <v>375</v>
      </c>
      <c r="H82" s="42">
        <v>3.3</v>
      </c>
      <c r="I82" s="42">
        <v>50</v>
      </c>
      <c r="J82" s="42">
        <v>1</v>
      </c>
      <c r="K82" s="42" t="s">
        <v>222</v>
      </c>
      <c r="L82" s="42" t="s">
        <v>376</v>
      </c>
      <c r="M82" s="42" t="s">
        <v>377</v>
      </c>
      <c r="N82" s="47" t="s">
        <v>220</v>
      </c>
      <c r="O82" s="43">
        <v>3</v>
      </c>
      <c r="P82" s="17">
        <v>3</v>
      </c>
      <c r="Q82" s="36">
        <v>8</v>
      </c>
      <c r="R82" s="36">
        <v>1</v>
      </c>
      <c r="S82" s="36">
        <v>25</v>
      </c>
      <c r="T82" s="39">
        <v>16</v>
      </c>
      <c r="U82" s="37">
        <v>12</v>
      </c>
      <c r="V82" s="37">
        <v>23</v>
      </c>
      <c r="W82" s="30">
        <v>12</v>
      </c>
      <c r="X82" s="31">
        <v>10.3</v>
      </c>
      <c r="Y82" s="31">
        <v>80</v>
      </c>
      <c r="Z82" s="31" t="s">
        <v>339</v>
      </c>
      <c r="AA82" s="31">
        <v>47</v>
      </c>
      <c r="AB82" s="31">
        <v>16</v>
      </c>
      <c r="AC82" s="14" t="s">
        <v>222</v>
      </c>
      <c r="AD82" s="9">
        <v>1.9297642479999999</v>
      </c>
      <c r="AE82" s="9">
        <v>1.0095349360000001</v>
      </c>
      <c r="AF82" s="9">
        <v>0.2413076026</v>
      </c>
      <c r="AG82" s="6" t="str">
        <f t="shared" si="10"/>
        <v>Normal</v>
      </c>
      <c r="AH82" s="7" t="str">
        <f t="shared" si="11"/>
        <v>Ris Lbh</v>
      </c>
      <c r="AI82" s="8" t="str">
        <f t="shared" si="12"/>
        <v>Normal</v>
      </c>
    </row>
    <row r="83" spans="1:35" ht="15.6">
      <c r="A83" s="15"/>
      <c r="B83" s="33" t="s">
        <v>36</v>
      </c>
      <c r="C83" s="48" t="s">
        <v>378</v>
      </c>
      <c r="D83" s="41" t="s">
        <v>48</v>
      </c>
      <c r="E83" s="42">
        <v>1</v>
      </c>
      <c r="F83" s="31" t="s">
        <v>379</v>
      </c>
      <c r="G83" s="32" t="s">
        <v>380</v>
      </c>
      <c r="H83" s="32">
        <v>3.8</v>
      </c>
      <c r="I83" s="32">
        <v>52</v>
      </c>
      <c r="J83" s="32">
        <v>1</v>
      </c>
      <c r="K83" s="32" t="s">
        <v>53</v>
      </c>
      <c r="L83" s="32" t="s">
        <v>79</v>
      </c>
      <c r="M83" s="32" t="s">
        <v>381</v>
      </c>
      <c r="N83" s="47" t="s">
        <v>220</v>
      </c>
      <c r="O83" s="17">
        <v>4</v>
      </c>
      <c r="P83" s="17">
        <v>3</v>
      </c>
      <c r="Q83" s="36">
        <v>8</v>
      </c>
      <c r="R83" s="36">
        <v>1</v>
      </c>
      <c r="S83" s="36">
        <v>25</v>
      </c>
      <c r="T83" s="37">
        <v>8</v>
      </c>
      <c r="U83" s="37">
        <v>1</v>
      </c>
      <c r="V83" s="37">
        <v>24</v>
      </c>
      <c r="W83" s="30">
        <v>12</v>
      </c>
      <c r="X83" s="43">
        <v>10.6</v>
      </c>
      <c r="Y83" s="17">
        <v>75</v>
      </c>
      <c r="Z83" s="17" t="s">
        <v>339</v>
      </c>
      <c r="AA83" s="17">
        <v>49</v>
      </c>
      <c r="AB83" s="17">
        <v>15</v>
      </c>
      <c r="AC83" s="16" t="s">
        <v>222</v>
      </c>
      <c r="AD83" s="9">
        <v>-0.32684188819999999</v>
      </c>
      <c r="AE83" s="9">
        <v>0.80827561140000004</v>
      </c>
      <c r="AF83" s="9">
        <v>1.3609944460000001</v>
      </c>
      <c r="AG83" s="6" t="str">
        <f t="shared" si="10"/>
        <v>Normal</v>
      </c>
      <c r="AH83" s="7" t="str">
        <f t="shared" si="11"/>
        <v>BB Normal</v>
      </c>
      <c r="AI83" s="8" t="str">
        <f t="shared" si="12"/>
        <v>R.Gz.Lbh</v>
      </c>
    </row>
    <row r="84" spans="1:35" ht="15.6">
      <c r="A84" s="15"/>
      <c r="B84" s="33" t="s">
        <v>36</v>
      </c>
      <c r="C84" s="48" t="s">
        <v>382</v>
      </c>
      <c r="D84" s="41" t="s">
        <v>48</v>
      </c>
      <c r="E84" s="42">
        <v>1</v>
      </c>
      <c r="F84" s="31" t="s">
        <v>383</v>
      </c>
      <c r="G84" s="42" t="s">
        <v>384</v>
      </c>
      <c r="H84" s="42">
        <v>3.1</v>
      </c>
      <c r="I84" s="42">
        <v>47</v>
      </c>
      <c r="J84" s="42">
        <v>1</v>
      </c>
      <c r="K84" s="42" t="s">
        <v>222</v>
      </c>
      <c r="L84" s="42" t="s">
        <v>385</v>
      </c>
      <c r="M84" s="42" t="s">
        <v>386</v>
      </c>
      <c r="N84" s="47" t="s">
        <v>220</v>
      </c>
      <c r="O84" s="43">
        <v>1</v>
      </c>
      <c r="P84" s="17">
        <v>3</v>
      </c>
      <c r="Q84" s="36">
        <v>8</v>
      </c>
      <c r="R84" s="36">
        <v>1</v>
      </c>
      <c r="S84" s="36">
        <v>25</v>
      </c>
      <c r="T84" s="39">
        <v>8</v>
      </c>
      <c r="U84" s="37">
        <v>5</v>
      </c>
      <c r="V84" s="37">
        <v>24</v>
      </c>
      <c r="W84" s="30">
        <v>8</v>
      </c>
      <c r="X84" s="42">
        <v>7.7</v>
      </c>
      <c r="Y84" s="32">
        <v>68</v>
      </c>
      <c r="Z84" s="32" t="s">
        <v>339</v>
      </c>
      <c r="AA84" s="32">
        <v>45</v>
      </c>
      <c r="AB84" s="32">
        <v>16</v>
      </c>
      <c r="AC84" s="16" t="s">
        <v>222</v>
      </c>
      <c r="AD84" s="9">
        <v>-1.207689891</v>
      </c>
      <c r="AE84" s="9">
        <v>-1.03492118</v>
      </c>
      <c r="AF84" s="9">
        <v>-0.43498788640000002</v>
      </c>
      <c r="AG84" s="6" t="str">
        <f t="shared" si="10"/>
        <v>Normal</v>
      </c>
      <c r="AH84" s="7" t="str">
        <f t="shared" si="11"/>
        <v>BB Normal</v>
      </c>
      <c r="AI84" s="8" t="str">
        <f t="shared" si="12"/>
        <v>Normal</v>
      </c>
    </row>
    <row r="85" spans="1:35" ht="15.6">
      <c r="A85" s="15"/>
      <c r="B85" s="33" t="s">
        <v>36</v>
      </c>
      <c r="C85" s="48" t="s">
        <v>387</v>
      </c>
      <c r="D85" s="41" t="s">
        <v>48</v>
      </c>
      <c r="E85" s="42">
        <v>1</v>
      </c>
      <c r="F85" s="31"/>
      <c r="G85" s="42" t="s">
        <v>388</v>
      </c>
      <c r="H85" s="42">
        <v>4.0999999999999996</v>
      </c>
      <c r="I85" s="42">
        <v>51</v>
      </c>
      <c r="J85" s="42">
        <v>1</v>
      </c>
      <c r="K85" s="42" t="s">
        <v>53</v>
      </c>
      <c r="L85" s="42" t="s">
        <v>389</v>
      </c>
      <c r="M85" s="42" t="s">
        <v>390</v>
      </c>
      <c r="N85" s="47" t="s">
        <v>220</v>
      </c>
      <c r="O85" s="43">
        <v>1</v>
      </c>
      <c r="P85" s="17">
        <v>3</v>
      </c>
      <c r="Q85" s="36">
        <v>8</v>
      </c>
      <c r="R85" s="36">
        <v>1</v>
      </c>
      <c r="S85" s="36">
        <v>25</v>
      </c>
      <c r="T85" s="39">
        <v>28</v>
      </c>
      <c r="U85" s="37">
        <v>5</v>
      </c>
      <c r="V85" s="37">
        <v>24</v>
      </c>
      <c r="W85" s="30">
        <v>7</v>
      </c>
      <c r="X85" s="42">
        <v>8.1999999999999993</v>
      </c>
      <c r="Y85" s="32">
        <v>73</v>
      </c>
      <c r="Z85" s="32" t="s">
        <v>339</v>
      </c>
      <c r="AA85" s="32">
        <v>45</v>
      </c>
      <c r="AB85" s="32">
        <v>15</v>
      </c>
      <c r="AC85" s="16" t="s">
        <v>222</v>
      </c>
      <c r="AD85" s="9">
        <v>1.500653569</v>
      </c>
      <c r="AE85" s="9">
        <v>-0.24158331490000001</v>
      </c>
      <c r="AF85" s="9">
        <v>-1.288739219</v>
      </c>
      <c r="AG85" s="6" t="str">
        <f t="shared" si="10"/>
        <v>Normal</v>
      </c>
      <c r="AH85" s="7" t="str">
        <f t="shared" si="11"/>
        <v>BB Normal</v>
      </c>
      <c r="AI85" s="8" t="str">
        <f t="shared" si="12"/>
        <v>Normal</v>
      </c>
    </row>
    <row r="86" spans="1:35" ht="15.6">
      <c r="A86" s="15"/>
      <c r="B86" s="33" t="s">
        <v>36</v>
      </c>
      <c r="C86" s="48" t="s">
        <v>391</v>
      </c>
      <c r="D86" s="41" t="s">
        <v>48</v>
      </c>
      <c r="E86" s="42">
        <v>1</v>
      </c>
      <c r="F86" s="31"/>
      <c r="G86" s="42" t="s">
        <v>392</v>
      </c>
      <c r="H86" s="42">
        <v>3.4</v>
      </c>
      <c r="I86" s="42">
        <v>49</v>
      </c>
      <c r="J86" s="42">
        <v>1</v>
      </c>
      <c r="K86" s="42" t="s">
        <v>53</v>
      </c>
      <c r="L86" s="42" t="s">
        <v>393</v>
      </c>
      <c r="M86" s="42" t="s">
        <v>394</v>
      </c>
      <c r="N86" s="47" t="s">
        <v>220</v>
      </c>
      <c r="O86" s="43">
        <v>4</v>
      </c>
      <c r="P86" s="17">
        <v>3</v>
      </c>
      <c r="Q86" s="36">
        <v>8</v>
      </c>
      <c r="R86" s="36">
        <v>1</v>
      </c>
      <c r="S86" s="36">
        <v>25</v>
      </c>
      <c r="T86" s="39">
        <v>4</v>
      </c>
      <c r="U86" s="37">
        <v>9</v>
      </c>
      <c r="V86" s="40">
        <v>24</v>
      </c>
      <c r="W86" s="30">
        <v>4</v>
      </c>
      <c r="X86" s="42">
        <v>6.5</v>
      </c>
      <c r="Y86" s="32">
        <v>62</v>
      </c>
      <c r="Z86" s="32" t="s">
        <v>339</v>
      </c>
      <c r="AA86" s="32">
        <v>43</v>
      </c>
      <c r="AB86" s="32">
        <v>15</v>
      </c>
      <c r="AC86" s="17" t="s">
        <v>53</v>
      </c>
      <c r="AD86" s="9">
        <v>-1.0379068659999999</v>
      </c>
      <c r="AE86" s="9">
        <v>-0.74399683000000005</v>
      </c>
      <c r="AF86" s="9">
        <v>1.6463544740000001E-3</v>
      </c>
      <c r="AG86" s="6" t="str">
        <f t="shared" si="10"/>
        <v>Normal</v>
      </c>
      <c r="AH86" s="7" t="str">
        <f t="shared" si="11"/>
        <v>BB Normal</v>
      </c>
      <c r="AI86" s="8" t="str">
        <f t="shared" si="12"/>
        <v>Normal</v>
      </c>
    </row>
    <row r="87" spans="1:35" ht="15.6">
      <c r="A87" s="35"/>
      <c r="B87" s="20">
        <v>1</v>
      </c>
      <c r="C87" s="33" t="s">
        <v>395</v>
      </c>
      <c r="D87" s="34" t="s">
        <v>48</v>
      </c>
      <c r="E87" s="47">
        <v>1</v>
      </c>
      <c r="F87" s="49" t="s">
        <v>396</v>
      </c>
      <c r="G87" s="50" t="s">
        <v>397</v>
      </c>
      <c r="H87" s="20">
        <v>3.2</v>
      </c>
      <c r="I87" s="20">
        <v>49</v>
      </c>
      <c r="J87" s="31">
        <v>1</v>
      </c>
      <c r="K87" s="31" t="s">
        <v>57</v>
      </c>
      <c r="L87" s="51" t="s">
        <v>398</v>
      </c>
      <c r="M87" s="49" t="s">
        <v>399</v>
      </c>
      <c r="N87" s="47" t="s">
        <v>400</v>
      </c>
      <c r="O87" s="51">
        <v>4</v>
      </c>
      <c r="P87" s="51">
        <v>7</v>
      </c>
      <c r="Q87" s="36">
        <v>11</v>
      </c>
      <c r="R87" s="36">
        <v>1</v>
      </c>
      <c r="S87" s="36">
        <v>25</v>
      </c>
      <c r="T87" s="52">
        <v>20</v>
      </c>
      <c r="U87" s="52">
        <v>1</v>
      </c>
      <c r="V87" s="52">
        <v>20</v>
      </c>
      <c r="W87" s="30">
        <v>59</v>
      </c>
      <c r="X87" s="31">
        <v>16</v>
      </c>
      <c r="Y87" s="31">
        <v>108</v>
      </c>
      <c r="Z87" s="31" t="s">
        <v>43</v>
      </c>
      <c r="AA87" s="31">
        <v>51</v>
      </c>
      <c r="AB87" s="31">
        <v>18</v>
      </c>
      <c r="AC87" s="17" t="s">
        <v>53</v>
      </c>
      <c r="AD87" s="10">
        <v>-0.3924605739</v>
      </c>
      <c r="AE87" s="9">
        <v>-0.99258774650000003</v>
      </c>
      <c r="AF87" s="9">
        <v>-1.2990833610000001</v>
      </c>
      <c r="AG87" s="6" t="str">
        <f t="shared" si="10"/>
        <v>Normal</v>
      </c>
      <c r="AH87" s="7" t="str">
        <f t="shared" si="11"/>
        <v>BB Normal</v>
      </c>
      <c r="AI87" s="8" t="str">
        <f t="shared" si="12"/>
        <v>Normal</v>
      </c>
    </row>
    <row r="88" spans="1:35" ht="15.6">
      <c r="A88" s="35"/>
      <c r="B88" s="20">
        <v>1</v>
      </c>
      <c r="C88" s="33" t="s">
        <v>401</v>
      </c>
      <c r="D88" s="34" t="s">
        <v>37</v>
      </c>
      <c r="E88" s="47">
        <v>2</v>
      </c>
      <c r="F88" s="49" t="s">
        <v>402</v>
      </c>
      <c r="G88" s="50" t="s">
        <v>403</v>
      </c>
      <c r="H88" s="20">
        <v>3</v>
      </c>
      <c r="I88" s="20">
        <v>49</v>
      </c>
      <c r="J88" s="31">
        <v>1</v>
      </c>
      <c r="K88" s="31" t="s">
        <v>57</v>
      </c>
      <c r="L88" s="51" t="s">
        <v>404</v>
      </c>
      <c r="M88" s="49" t="s">
        <v>405</v>
      </c>
      <c r="N88" s="47" t="s">
        <v>400</v>
      </c>
      <c r="O88" s="51">
        <v>3</v>
      </c>
      <c r="P88" s="51">
        <v>7</v>
      </c>
      <c r="Q88" s="36">
        <v>11</v>
      </c>
      <c r="R88" s="36">
        <v>1</v>
      </c>
      <c r="S88" s="36">
        <v>25</v>
      </c>
      <c r="T88" s="52">
        <v>16</v>
      </c>
      <c r="U88" s="52">
        <v>4</v>
      </c>
      <c r="V88" s="52">
        <v>20</v>
      </c>
      <c r="W88" s="30">
        <v>56</v>
      </c>
      <c r="X88" s="31">
        <v>26.9</v>
      </c>
      <c r="Y88" s="31">
        <v>110</v>
      </c>
      <c r="Z88" s="31" t="s">
        <v>43</v>
      </c>
      <c r="AA88" s="31">
        <v>50</v>
      </c>
      <c r="AB88" s="31">
        <v>23</v>
      </c>
      <c r="AC88" s="17" t="s">
        <v>53</v>
      </c>
      <c r="AD88" s="10">
        <v>0.48426009669999998</v>
      </c>
      <c r="AE88" s="9">
        <v>3.0238205690000002</v>
      </c>
      <c r="AF88" s="9">
        <v>4.0682224939999996</v>
      </c>
      <c r="AG88" s="6" t="str">
        <f t="shared" si="10"/>
        <v>Normal</v>
      </c>
      <c r="AH88" s="7" t="str">
        <f t="shared" si="11"/>
        <v>Ris Lbh</v>
      </c>
      <c r="AI88" s="8" t="str">
        <f t="shared" si="12"/>
        <v>Obesitas</v>
      </c>
    </row>
    <row r="89" spans="1:35" ht="15.6">
      <c r="A89" s="35"/>
      <c r="B89" s="20">
        <v>1</v>
      </c>
      <c r="C89" s="33" t="s">
        <v>406</v>
      </c>
      <c r="D89" s="41" t="s">
        <v>48</v>
      </c>
      <c r="E89" s="47">
        <v>1</v>
      </c>
      <c r="F89" s="49" t="s">
        <v>407</v>
      </c>
      <c r="G89" s="50" t="s">
        <v>408</v>
      </c>
      <c r="H89" s="20">
        <v>3.2</v>
      </c>
      <c r="I89" s="20">
        <v>49</v>
      </c>
      <c r="J89" s="31">
        <v>1</v>
      </c>
      <c r="K89" s="31" t="s">
        <v>57</v>
      </c>
      <c r="L89" s="51" t="s">
        <v>409</v>
      </c>
      <c r="M89" s="49" t="s">
        <v>410</v>
      </c>
      <c r="N89" s="47" t="s">
        <v>400</v>
      </c>
      <c r="O89" s="51">
        <v>3</v>
      </c>
      <c r="P89" s="51">
        <v>7</v>
      </c>
      <c r="Q89" s="36">
        <v>11</v>
      </c>
      <c r="R89" s="36">
        <v>1</v>
      </c>
      <c r="S89" s="36">
        <v>25</v>
      </c>
      <c r="T89" s="52">
        <v>8</v>
      </c>
      <c r="U89" s="52">
        <v>6</v>
      </c>
      <c r="V89" s="52">
        <v>20</v>
      </c>
      <c r="W89" s="30">
        <v>55</v>
      </c>
      <c r="X89" s="31">
        <v>25</v>
      </c>
      <c r="Y89" s="31">
        <v>112</v>
      </c>
      <c r="Z89" s="31" t="s">
        <v>43</v>
      </c>
      <c r="AA89" s="31">
        <v>55</v>
      </c>
      <c r="AB89" s="31">
        <v>23</v>
      </c>
      <c r="AC89" s="17" t="s">
        <v>53</v>
      </c>
      <c r="AD89" s="10">
        <v>1.0569919160000001</v>
      </c>
      <c r="AE89" s="9">
        <v>2.680547996</v>
      </c>
      <c r="AF89" s="9">
        <v>3.0429888840000001</v>
      </c>
      <c r="AG89" s="6" t="str">
        <f t="shared" si="10"/>
        <v>Normal</v>
      </c>
      <c r="AH89" s="7" t="str">
        <f t="shared" si="11"/>
        <v>Ris Lbh</v>
      </c>
      <c r="AI89" s="8" t="str">
        <f t="shared" si="12"/>
        <v>Obesitas</v>
      </c>
    </row>
    <row r="90" spans="1:35" ht="15.6">
      <c r="A90" s="35"/>
      <c r="B90" s="20">
        <v>3</v>
      </c>
      <c r="C90" s="33" t="s">
        <v>411</v>
      </c>
      <c r="D90" s="44" t="s">
        <v>37</v>
      </c>
      <c r="E90" s="47">
        <v>2</v>
      </c>
      <c r="F90" s="49" t="s">
        <v>412</v>
      </c>
      <c r="G90" s="50" t="s">
        <v>413</v>
      </c>
      <c r="H90" s="20">
        <v>3</v>
      </c>
      <c r="I90" s="20">
        <v>50</v>
      </c>
      <c r="J90" s="31">
        <v>1</v>
      </c>
      <c r="K90" s="31" t="s">
        <v>57</v>
      </c>
      <c r="L90" s="51" t="s">
        <v>414</v>
      </c>
      <c r="M90" s="49" t="s">
        <v>415</v>
      </c>
      <c r="N90" s="47" t="s">
        <v>400</v>
      </c>
      <c r="O90" s="51">
        <v>2</v>
      </c>
      <c r="P90" s="51">
        <v>7</v>
      </c>
      <c r="Q90" s="36">
        <v>11</v>
      </c>
      <c r="R90" s="36">
        <v>1</v>
      </c>
      <c r="S90" s="36">
        <v>25</v>
      </c>
      <c r="T90" s="52">
        <v>22</v>
      </c>
      <c r="U90" s="52">
        <v>11</v>
      </c>
      <c r="V90" s="52">
        <v>20</v>
      </c>
      <c r="W90" s="30">
        <v>49</v>
      </c>
      <c r="X90" s="31">
        <v>16</v>
      </c>
      <c r="Y90" s="31">
        <v>105</v>
      </c>
      <c r="Z90" s="31" t="s">
        <v>43</v>
      </c>
      <c r="AA90" s="31">
        <v>50</v>
      </c>
      <c r="AB90" s="31">
        <v>18</v>
      </c>
      <c r="AC90" s="17" t="s">
        <v>53</v>
      </c>
      <c r="AD90" s="10">
        <v>0.29908283600000002</v>
      </c>
      <c r="AE90" s="9">
        <v>-0.1695864108</v>
      </c>
      <c r="AF90" s="9">
        <v>-0.53894147790000002</v>
      </c>
      <c r="AG90" s="6" t="str">
        <f t="shared" si="10"/>
        <v>Normal</v>
      </c>
      <c r="AH90" s="7" t="str">
        <f t="shared" si="11"/>
        <v>BB Normal</v>
      </c>
      <c r="AI90" s="8" t="str">
        <f t="shared" si="12"/>
        <v>Normal</v>
      </c>
    </row>
    <row r="91" spans="1:35" ht="15.6">
      <c r="A91" s="35"/>
      <c r="B91" s="20">
        <v>1</v>
      </c>
      <c r="C91" s="33" t="s">
        <v>416</v>
      </c>
      <c r="D91" s="44" t="s">
        <v>37</v>
      </c>
      <c r="E91" s="47">
        <v>2</v>
      </c>
      <c r="F91" s="49" t="s">
        <v>417</v>
      </c>
      <c r="G91" s="50" t="s">
        <v>418</v>
      </c>
      <c r="H91" s="20">
        <v>2.8</v>
      </c>
      <c r="I91" s="20">
        <v>49</v>
      </c>
      <c r="J91" s="31">
        <v>1</v>
      </c>
      <c r="K91" s="31" t="s">
        <v>57</v>
      </c>
      <c r="L91" s="51" t="s">
        <v>419</v>
      </c>
      <c r="M91" s="49" t="s">
        <v>417</v>
      </c>
      <c r="N91" s="47" t="s">
        <v>400</v>
      </c>
      <c r="O91" s="51">
        <v>2</v>
      </c>
      <c r="P91" s="51">
        <v>7</v>
      </c>
      <c r="Q91" s="36">
        <v>11</v>
      </c>
      <c r="R91" s="36">
        <v>1</v>
      </c>
      <c r="S91" s="36">
        <v>25</v>
      </c>
      <c r="T91" s="52">
        <v>7</v>
      </c>
      <c r="U91" s="52">
        <v>12</v>
      </c>
      <c r="V91" s="52">
        <v>20</v>
      </c>
      <c r="W91" s="30">
        <v>49</v>
      </c>
      <c r="X91" s="31">
        <v>21.5</v>
      </c>
      <c r="Y91" s="31">
        <v>114</v>
      </c>
      <c r="Z91" s="31" t="s">
        <v>43</v>
      </c>
      <c r="AA91" s="31">
        <v>52</v>
      </c>
      <c r="AB91" s="31">
        <v>21</v>
      </c>
      <c r="AC91" s="17" t="s">
        <v>53</v>
      </c>
      <c r="AD91" s="10">
        <v>2.4345216380000001</v>
      </c>
      <c r="AE91" s="9">
        <v>2.0732482229999998</v>
      </c>
      <c r="AF91" s="9">
        <v>0.66078980190000003</v>
      </c>
      <c r="AG91" s="6" t="str">
        <f t="shared" si="10"/>
        <v>Normal</v>
      </c>
      <c r="AH91" s="7" t="str">
        <f t="shared" si="11"/>
        <v>Ris Lbh</v>
      </c>
      <c r="AI91" s="8" t="str">
        <f t="shared" si="12"/>
        <v>Normal</v>
      </c>
    </row>
    <row r="92" spans="1:35" ht="15.6">
      <c r="A92" s="35"/>
      <c r="B92" s="20">
        <v>1</v>
      </c>
      <c r="C92" s="33" t="s">
        <v>420</v>
      </c>
      <c r="D92" s="41" t="s">
        <v>48</v>
      </c>
      <c r="E92" s="47">
        <v>1</v>
      </c>
      <c r="F92" s="49" t="s">
        <v>421</v>
      </c>
      <c r="G92" s="50" t="s">
        <v>422</v>
      </c>
      <c r="H92" s="20">
        <v>3</v>
      </c>
      <c r="I92" s="20">
        <v>50</v>
      </c>
      <c r="J92" s="31">
        <v>1</v>
      </c>
      <c r="K92" s="31" t="s">
        <v>57</v>
      </c>
      <c r="L92" s="51" t="s">
        <v>423</v>
      </c>
      <c r="M92" s="49" t="s">
        <v>424</v>
      </c>
      <c r="N92" s="47" t="s">
        <v>400</v>
      </c>
      <c r="O92" s="51">
        <v>1</v>
      </c>
      <c r="P92" s="51">
        <v>7</v>
      </c>
      <c r="Q92" s="36">
        <v>11</v>
      </c>
      <c r="R92" s="36">
        <v>1</v>
      </c>
      <c r="S92" s="36">
        <v>25</v>
      </c>
      <c r="T92" s="52">
        <v>29</v>
      </c>
      <c r="U92" s="52">
        <v>12</v>
      </c>
      <c r="V92" s="52">
        <v>20</v>
      </c>
      <c r="W92" s="30">
        <v>48</v>
      </c>
      <c r="X92" s="31">
        <v>18</v>
      </c>
      <c r="Y92" s="31">
        <v>102</v>
      </c>
      <c r="Z92" s="31" t="s">
        <v>43</v>
      </c>
      <c r="AA92" s="31">
        <v>50</v>
      </c>
      <c r="AB92" s="31">
        <v>18</v>
      </c>
      <c r="AC92" s="17" t="s">
        <v>53</v>
      </c>
      <c r="AD92" s="10">
        <v>-0.37193553089999998</v>
      </c>
      <c r="AE92" s="9">
        <v>0.72394773180000005</v>
      </c>
      <c r="AF92" s="9">
        <v>1.5186463910000001</v>
      </c>
      <c r="AG92" s="6" t="str">
        <f t="shared" si="10"/>
        <v>Normal</v>
      </c>
      <c r="AH92" s="7" t="str">
        <f t="shared" si="11"/>
        <v>BB Normal</v>
      </c>
      <c r="AI92" s="8" t="str">
        <f t="shared" si="12"/>
        <v>R.Gz.Lbh</v>
      </c>
    </row>
    <row r="93" spans="1:35" ht="15.6">
      <c r="A93" s="35"/>
      <c r="B93" s="20">
        <v>1</v>
      </c>
      <c r="C93" s="33" t="s">
        <v>425</v>
      </c>
      <c r="D93" s="41" t="s">
        <v>48</v>
      </c>
      <c r="E93" s="47">
        <v>1</v>
      </c>
      <c r="F93" s="49" t="s">
        <v>426</v>
      </c>
      <c r="G93" s="50" t="s">
        <v>427</v>
      </c>
      <c r="H93" s="20">
        <v>3</v>
      </c>
      <c r="I93" s="20">
        <v>51</v>
      </c>
      <c r="J93" s="31">
        <v>1</v>
      </c>
      <c r="K93" s="31" t="s">
        <v>57</v>
      </c>
      <c r="L93" s="51" t="s">
        <v>428</v>
      </c>
      <c r="M93" s="49" t="s">
        <v>429</v>
      </c>
      <c r="N93" s="47" t="s">
        <v>400</v>
      </c>
      <c r="O93" s="51">
        <v>4</v>
      </c>
      <c r="P93" s="51">
        <v>7</v>
      </c>
      <c r="Q93" s="36">
        <v>11</v>
      </c>
      <c r="R93" s="36">
        <v>1</v>
      </c>
      <c r="S93" s="36">
        <v>25</v>
      </c>
      <c r="T93" s="52">
        <v>8</v>
      </c>
      <c r="U93" s="52">
        <v>1</v>
      </c>
      <c r="V93" s="52">
        <v>21</v>
      </c>
      <c r="W93" s="30">
        <v>48</v>
      </c>
      <c r="X93" s="31">
        <v>17.899999999999999</v>
      </c>
      <c r="Y93" s="31">
        <v>100</v>
      </c>
      <c r="Z93" s="31" t="s">
        <v>43</v>
      </c>
      <c r="AA93" s="31">
        <v>50</v>
      </c>
      <c r="AB93" s="31">
        <v>18</v>
      </c>
      <c r="AC93" s="17" t="s">
        <v>53</v>
      </c>
      <c r="AD93" s="10">
        <v>-0.80572192220000005</v>
      </c>
      <c r="AE93" s="9">
        <v>0.71002106359999995</v>
      </c>
      <c r="AF93" s="9">
        <v>1.924154259</v>
      </c>
      <c r="AG93" s="6" t="str">
        <f t="shared" si="10"/>
        <v>Normal</v>
      </c>
      <c r="AH93" s="7" t="str">
        <f t="shared" si="11"/>
        <v>BB Normal</v>
      </c>
      <c r="AI93" s="8" t="str">
        <f t="shared" si="12"/>
        <v>R.Gz.Lbh</v>
      </c>
    </row>
    <row r="94" spans="1:35" ht="15.6">
      <c r="A94" s="35"/>
      <c r="B94" s="20">
        <v>1</v>
      </c>
      <c r="C94" s="33" t="s">
        <v>430</v>
      </c>
      <c r="D94" s="41" t="s">
        <v>37</v>
      </c>
      <c r="E94" s="47">
        <v>2</v>
      </c>
      <c r="F94" s="49" t="s">
        <v>431</v>
      </c>
      <c r="G94" s="50" t="s">
        <v>432</v>
      </c>
      <c r="H94" s="20">
        <v>2.8</v>
      </c>
      <c r="I94" s="20">
        <v>48</v>
      </c>
      <c r="J94" s="31">
        <v>1</v>
      </c>
      <c r="K94" s="31" t="s">
        <v>57</v>
      </c>
      <c r="L94" s="51" t="s">
        <v>433</v>
      </c>
      <c r="M94" s="49" t="s">
        <v>434</v>
      </c>
      <c r="N94" s="47" t="s">
        <v>400</v>
      </c>
      <c r="O94" s="51">
        <v>4</v>
      </c>
      <c r="P94" s="51">
        <v>7</v>
      </c>
      <c r="Q94" s="36">
        <v>11</v>
      </c>
      <c r="R94" s="36">
        <v>1</v>
      </c>
      <c r="S94" s="36">
        <v>25</v>
      </c>
      <c r="T94" s="52">
        <v>12</v>
      </c>
      <c r="U94" s="52">
        <v>1</v>
      </c>
      <c r="V94" s="52">
        <v>21</v>
      </c>
      <c r="W94" s="30">
        <v>47</v>
      </c>
      <c r="X94" s="31">
        <v>18</v>
      </c>
      <c r="Y94" s="31">
        <v>101</v>
      </c>
      <c r="Z94" s="31" t="s">
        <v>43</v>
      </c>
      <c r="AA94" s="31">
        <v>50</v>
      </c>
      <c r="AB94" s="31">
        <v>18</v>
      </c>
      <c r="AC94" s="17" t="s">
        <v>53</v>
      </c>
      <c r="AD94" s="10">
        <v>-0.39744185630000001</v>
      </c>
      <c r="AE94" s="9">
        <v>0.85430828039999995</v>
      </c>
      <c r="AF94" s="9">
        <v>1.698585191</v>
      </c>
      <c r="AG94" s="6" t="str">
        <f t="shared" si="10"/>
        <v>Normal</v>
      </c>
      <c r="AH94" s="7" t="str">
        <f t="shared" si="11"/>
        <v>BB Normal</v>
      </c>
      <c r="AI94" s="8" t="str">
        <f t="shared" si="12"/>
        <v>R.Gz.Lbh</v>
      </c>
    </row>
    <row r="95" spans="1:35" ht="15.6">
      <c r="A95" s="35"/>
      <c r="B95" s="20">
        <v>6</v>
      </c>
      <c r="C95" s="33" t="s">
        <v>435</v>
      </c>
      <c r="D95" s="41" t="s">
        <v>37</v>
      </c>
      <c r="E95" s="47">
        <v>2</v>
      </c>
      <c r="F95" s="49" t="s">
        <v>436</v>
      </c>
      <c r="G95" s="50" t="s">
        <v>437</v>
      </c>
      <c r="H95" s="20">
        <v>2.9</v>
      </c>
      <c r="I95" s="20">
        <v>48</v>
      </c>
      <c r="J95" s="31">
        <v>1</v>
      </c>
      <c r="K95" s="31" t="s">
        <v>57</v>
      </c>
      <c r="L95" s="51" t="s">
        <v>438</v>
      </c>
      <c r="M95" s="53" t="s">
        <v>439</v>
      </c>
      <c r="N95" s="47" t="s">
        <v>400</v>
      </c>
      <c r="O95" s="51">
        <v>2</v>
      </c>
      <c r="P95" s="51">
        <v>7</v>
      </c>
      <c r="Q95" s="36">
        <v>11</v>
      </c>
      <c r="R95" s="36">
        <v>1</v>
      </c>
      <c r="S95" s="36">
        <v>25</v>
      </c>
      <c r="T95" s="52">
        <v>8</v>
      </c>
      <c r="U95" s="52">
        <v>5</v>
      </c>
      <c r="V95" s="52">
        <v>21</v>
      </c>
      <c r="W95" s="30">
        <v>44</v>
      </c>
      <c r="X95" s="31">
        <v>16.899999999999999</v>
      </c>
      <c r="Y95" s="31">
        <v>100</v>
      </c>
      <c r="Z95" s="31" t="s">
        <v>43</v>
      </c>
      <c r="AA95" s="31">
        <v>50</v>
      </c>
      <c r="AB95" s="31">
        <v>17</v>
      </c>
      <c r="AC95" s="17" t="s">
        <v>53</v>
      </c>
      <c r="AD95" s="10">
        <v>-9.664348499E-2</v>
      </c>
      <c r="AE95" s="9">
        <v>0.72911337970000001</v>
      </c>
      <c r="AF95" s="9">
        <v>1.200374067</v>
      </c>
      <c r="AG95" s="6" t="str">
        <f t="shared" si="10"/>
        <v>Normal</v>
      </c>
      <c r="AH95" s="7" t="str">
        <f t="shared" si="11"/>
        <v>BB Normal</v>
      </c>
      <c r="AI95" s="8" t="str">
        <f t="shared" si="12"/>
        <v>R.Gz.Lbh</v>
      </c>
    </row>
    <row r="96" spans="1:35" ht="15.6">
      <c r="A96" s="35"/>
      <c r="B96" s="20">
        <v>1</v>
      </c>
      <c r="C96" s="33" t="s">
        <v>440</v>
      </c>
      <c r="D96" s="41" t="s">
        <v>37</v>
      </c>
      <c r="E96" s="47">
        <v>2</v>
      </c>
      <c r="F96" s="49" t="s">
        <v>441</v>
      </c>
      <c r="G96" s="50" t="s">
        <v>442</v>
      </c>
      <c r="H96" s="20">
        <v>3</v>
      </c>
      <c r="I96" s="20">
        <v>51</v>
      </c>
      <c r="J96" s="31">
        <v>1</v>
      </c>
      <c r="K96" s="31" t="s">
        <v>57</v>
      </c>
      <c r="L96" s="51" t="s">
        <v>443</v>
      </c>
      <c r="M96" s="49" t="s">
        <v>444</v>
      </c>
      <c r="N96" s="47" t="s">
        <v>400</v>
      </c>
      <c r="O96" s="51">
        <v>4</v>
      </c>
      <c r="P96" s="51">
        <v>7</v>
      </c>
      <c r="Q96" s="36">
        <v>11</v>
      </c>
      <c r="R96" s="36">
        <v>1</v>
      </c>
      <c r="S96" s="36">
        <v>25</v>
      </c>
      <c r="T96" s="52">
        <v>19</v>
      </c>
      <c r="U96" s="52">
        <v>5</v>
      </c>
      <c r="V96" s="52">
        <v>21</v>
      </c>
      <c r="W96" s="30">
        <v>43</v>
      </c>
      <c r="X96" s="24">
        <v>13.7</v>
      </c>
      <c r="Y96" s="24">
        <v>97.4</v>
      </c>
      <c r="Z96" s="31" t="s">
        <v>43</v>
      </c>
      <c r="AA96" s="31"/>
      <c r="AB96" s="31"/>
      <c r="AC96" s="17" t="s">
        <v>53</v>
      </c>
      <c r="AD96" s="9">
        <v>-1.1101762749999999</v>
      </c>
      <c r="AE96" s="9">
        <v>-1.9882001659999999</v>
      </c>
      <c r="AF96" s="9">
        <v>-1.97729029</v>
      </c>
      <c r="AG96" s="6" t="str">
        <f t="shared" si="10"/>
        <v>Normal</v>
      </c>
      <c r="AH96" s="7" t="str">
        <f t="shared" si="11"/>
        <v>BB Normal</v>
      </c>
      <c r="AI96" s="8" t="str">
        <f t="shared" si="12"/>
        <v>Normal</v>
      </c>
    </row>
    <row r="97" spans="1:35" ht="15.6">
      <c r="A97" s="35"/>
      <c r="B97" s="20">
        <v>1</v>
      </c>
      <c r="C97" s="33" t="s">
        <v>445</v>
      </c>
      <c r="D97" s="41" t="s">
        <v>48</v>
      </c>
      <c r="E97" s="47">
        <v>1</v>
      </c>
      <c r="F97" s="49" t="s">
        <v>446</v>
      </c>
      <c r="G97" s="50" t="s">
        <v>447</v>
      </c>
      <c r="H97" s="20">
        <v>2.8</v>
      </c>
      <c r="I97" s="20">
        <v>48</v>
      </c>
      <c r="J97" s="31">
        <v>1</v>
      </c>
      <c r="K97" s="31" t="s">
        <v>57</v>
      </c>
      <c r="L97" s="51" t="s">
        <v>448</v>
      </c>
      <c r="M97" s="49" t="s">
        <v>449</v>
      </c>
      <c r="N97" s="47" t="s">
        <v>400</v>
      </c>
      <c r="O97" s="51">
        <v>3</v>
      </c>
      <c r="P97" s="51">
        <v>7</v>
      </c>
      <c r="Q97" s="36">
        <v>11</v>
      </c>
      <c r="R97" s="36">
        <v>1</v>
      </c>
      <c r="S97" s="36">
        <v>25</v>
      </c>
      <c r="T97" s="52">
        <v>2</v>
      </c>
      <c r="U97" s="52">
        <v>6</v>
      </c>
      <c r="V97" s="52">
        <v>21</v>
      </c>
      <c r="W97" s="30">
        <v>43</v>
      </c>
      <c r="X97" s="31">
        <v>14.9</v>
      </c>
      <c r="Y97" s="31">
        <v>96</v>
      </c>
      <c r="Z97" s="31" t="s">
        <v>43</v>
      </c>
      <c r="AA97" s="31">
        <v>50</v>
      </c>
      <c r="AB97" s="31">
        <v>16</v>
      </c>
      <c r="AC97" s="17" t="s">
        <v>53</v>
      </c>
      <c r="AD97" s="9">
        <v>-0.3133050946</v>
      </c>
      <c r="AE97" s="9">
        <v>1.528914103E-2</v>
      </c>
      <c r="AF97" s="9">
        <v>0.32543580290000002</v>
      </c>
      <c r="AG97" s="6" t="str">
        <f t="shared" si="10"/>
        <v>Normal</v>
      </c>
      <c r="AH97" s="7" t="str">
        <f t="shared" si="11"/>
        <v>BB Normal</v>
      </c>
      <c r="AI97" s="8" t="str">
        <f t="shared" si="12"/>
        <v>Normal</v>
      </c>
    </row>
    <row r="98" spans="1:35" ht="15.6">
      <c r="A98" s="35"/>
      <c r="B98" s="20">
        <v>2</v>
      </c>
      <c r="C98" s="33" t="s">
        <v>450</v>
      </c>
      <c r="D98" s="41" t="s">
        <v>37</v>
      </c>
      <c r="E98" s="47">
        <v>2</v>
      </c>
      <c r="F98" s="49" t="s">
        <v>451</v>
      </c>
      <c r="G98" s="50" t="s">
        <v>452</v>
      </c>
      <c r="H98" s="20">
        <v>2.9</v>
      </c>
      <c r="I98" s="20">
        <v>48</v>
      </c>
      <c r="J98" s="31">
        <v>1</v>
      </c>
      <c r="K98" s="31" t="s">
        <v>57</v>
      </c>
      <c r="L98" s="51" t="s">
        <v>453</v>
      </c>
      <c r="M98" s="49" t="s">
        <v>454</v>
      </c>
      <c r="N98" s="47" t="s">
        <v>400</v>
      </c>
      <c r="O98" s="51">
        <v>4</v>
      </c>
      <c r="P98" s="51">
        <v>7</v>
      </c>
      <c r="Q98" s="36">
        <v>11</v>
      </c>
      <c r="R98" s="36">
        <v>1</v>
      </c>
      <c r="S98" s="36">
        <v>25</v>
      </c>
      <c r="T98" s="52">
        <v>15</v>
      </c>
      <c r="U98" s="52">
        <v>7</v>
      </c>
      <c r="V98" s="52">
        <v>21</v>
      </c>
      <c r="W98" s="30">
        <v>41</v>
      </c>
      <c r="X98" s="31">
        <v>13.9</v>
      </c>
      <c r="Y98" s="31">
        <v>97</v>
      </c>
      <c r="Z98" s="31" t="s">
        <v>43</v>
      </c>
      <c r="AA98" s="31">
        <v>47</v>
      </c>
      <c r="AB98" s="31">
        <v>17</v>
      </c>
      <c r="AC98" s="17" t="s">
        <v>53</v>
      </c>
      <c r="AD98" s="9">
        <v>-0.44386636089999998</v>
      </c>
      <c r="AE98" s="9">
        <v>-0.62439422590000004</v>
      </c>
      <c r="AF98" s="9">
        <v>-0.54481594249999998</v>
      </c>
      <c r="AG98" s="6" t="str">
        <f t="shared" si="10"/>
        <v>Normal</v>
      </c>
      <c r="AH98" s="7" t="str">
        <f t="shared" si="11"/>
        <v>BB Normal</v>
      </c>
      <c r="AI98" s="8" t="str">
        <f t="shared" si="12"/>
        <v>Normal</v>
      </c>
    </row>
    <row r="99" spans="1:35" ht="15.6">
      <c r="A99" s="35"/>
      <c r="B99" s="20">
        <v>2</v>
      </c>
      <c r="C99" s="33" t="s">
        <v>455</v>
      </c>
      <c r="D99" s="41" t="s">
        <v>48</v>
      </c>
      <c r="E99" s="47">
        <v>1</v>
      </c>
      <c r="F99" s="49" t="s">
        <v>456</v>
      </c>
      <c r="G99" s="50" t="s">
        <v>457</v>
      </c>
      <c r="H99" s="20">
        <v>2.9</v>
      </c>
      <c r="I99" s="20">
        <v>47</v>
      </c>
      <c r="J99" s="31">
        <v>1</v>
      </c>
      <c r="K99" s="31" t="s">
        <v>57</v>
      </c>
      <c r="L99" s="51" t="s">
        <v>458</v>
      </c>
      <c r="M99" s="49" t="s">
        <v>459</v>
      </c>
      <c r="N99" s="47" t="s">
        <v>400</v>
      </c>
      <c r="O99" s="51">
        <v>3</v>
      </c>
      <c r="P99" s="51">
        <v>7</v>
      </c>
      <c r="Q99" s="36">
        <v>11</v>
      </c>
      <c r="R99" s="36">
        <v>1</v>
      </c>
      <c r="S99" s="36">
        <v>25</v>
      </c>
      <c r="T99" s="52">
        <v>4</v>
      </c>
      <c r="U99" s="52">
        <v>8</v>
      </c>
      <c r="V99" s="52">
        <v>21</v>
      </c>
      <c r="W99" s="30">
        <v>41</v>
      </c>
      <c r="X99" s="24">
        <v>13.7</v>
      </c>
      <c r="Y99" s="24">
        <v>97.4</v>
      </c>
      <c r="Z99" s="31" t="s">
        <v>43</v>
      </c>
      <c r="AA99" s="31"/>
      <c r="AB99" s="31"/>
      <c r="AC99" s="17" t="s">
        <v>53</v>
      </c>
      <c r="AD99" s="9">
        <v>-0.43918188689999998</v>
      </c>
      <c r="AE99" s="9">
        <v>-1.3171745909999999</v>
      </c>
      <c r="AF99" s="9">
        <v>-1.642726482</v>
      </c>
      <c r="AG99" s="6" t="str">
        <f t="shared" si="10"/>
        <v>Normal</v>
      </c>
      <c r="AH99" s="7" t="str">
        <f t="shared" si="11"/>
        <v>BB Normal</v>
      </c>
      <c r="AI99" s="8" t="str">
        <f t="shared" si="12"/>
        <v>Normal</v>
      </c>
    </row>
    <row r="100" spans="1:35" ht="15.6">
      <c r="A100" s="35"/>
      <c r="B100" s="20">
        <v>1</v>
      </c>
      <c r="C100" s="33" t="s">
        <v>460</v>
      </c>
      <c r="D100" s="41" t="s">
        <v>37</v>
      </c>
      <c r="E100" s="47">
        <v>2</v>
      </c>
      <c r="F100" s="49" t="s">
        <v>461</v>
      </c>
      <c r="G100" s="50" t="s">
        <v>462</v>
      </c>
      <c r="H100" s="20">
        <v>3.1</v>
      </c>
      <c r="I100" s="20">
        <v>50</v>
      </c>
      <c r="J100" s="31">
        <v>1</v>
      </c>
      <c r="K100" s="31" t="s">
        <v>57</v>
      </c>
      <c r="L100" s="51" t="s">
        <v>463</v>
      </c>
      <c r="M100" s="49" t="s">
        <v>464</v>
      </c>
      <c r="N100" s="47" t="s">
        <v>400</v>
      </c>
      <c r="O100" s="51">
        <v>1</v>
      </c>
      <c r="P100" s="51">
        <v>7</v>
      </c>
      <c r="Q100" s="36">
        <v>11</v>
      </c>
      <c r="R100" s="36">
        <v>1</v>
      </c>
      <c r="S100" s="36">
        <v>25</v>
      </c>
      <c r="T100" s="52">
        <v>12</v>
      </c>
      <c r="U100" s="52">
        <v>8</v>
      </c>
      <c r="V100" s="52">
        <v>21</v>
      </c>
      <c r="W100" s="30">
        <v>40</v>
      </c>
      <c r="X100" s="31">
        <v>11.6</v>
      </c>
      <c r="Y100" s="31">
        <v>94.5</v>
      </c>
      <c r="Z100" s="31" t="s">
        <v>43</v>
      </c>
      <c r="AA100" s="31">
        <v>46</v>
      </c>
      <c r="AB100" s="31">
        <v>16</v>
      </c>
      <c r="AC100" s="17" t="s">
        <v>53</v>
      </c>
      <c r="AD100" s="9">
        <v>24.162095220000001</v>
      </c>
      <c r="AE100" s="9">
        <v>-0.54484065140000004</v>
      </c>
      <c r="AF100" s="9">
        <v>-1.955509267E-2</v>
      </c>
      <c r="AG100" s="6" t="str">
        <f t="shared" si="10"/>
        <v>Tinggi</v>
      </c>
      <c r="AH100" s="7" t="str">
        <f t="shared" si="11"/>
        <v>BB Normal</v>
      </c>
      <c r="AI100" s="8" t="str">
        <f t="shared" si="12"/>
        <v>Normal</v>
      </c>
    </row>
    <row r="101" spans="1:35" ht="15.6">
      <c r="A101" s="35"/>
      <c r="B101" s="20">
        <v>2</v>
      </c>
      <c r="C101" s="33" t="s">
        <v>465</v>
      </c>
      <c r="D101" s="41" t="s">
        <v>37</v>
      </c>
      <c r="E101" s="47">
        <v>2</v>
      </c>
      <c r="F101" s="49" t="s">
        <v>466</v>
      </c>
      <c r="G101" s="50" t="s">
        <v>467</v>
      </c>
      <c r="H101" s="20">
        <v>3</v>
      </c>
      <c r="I101" s="20">
        <v>48</v>
      </c>
      <c r="J101" s="31">
        <v>1</v>
      </c>
      <c r="K101" s="31" t="s">
        <v>57</v>
      </c>
      <c r="L101" s="51" t="s">
        <v>468</v>
      </c>
      <c r="M101" s="49" t="s">
        <v>469</v>
      </c>
      <c r="N101" s="47" t="s">
        <v>400</v>
      </c>
      <c r="O101" s="51">
        <v>4</v>
      </c>
      <c r="P101" s="51">
        <v>7</v>
      </c>
      <c r="Q101" s="36">
        <v>11</v>
      </c>
      <c r="R101" s="36">
        <v>1</v>
      </c>
      <c r="S101" s="36">
        <v>25</v>
      </c>
      <c r="T101" s="52">
        <v>7</v>
      </c>
      <c r="U101" s="52">
        <v>9</v>
      </c>
      <c r="V101" s="52">
        <v>21</v>
      </c>
      <c r="W101" s="30">
        <v>40</v>
      </c>
      <c r="X101" s="31">
        <v>11.5</v>
      </c>
      <c r="Y101" s="31">
        <v>93</v>
      </c>
      <c r="Z101" s="31" t="s">
        <v>43</v>
      </c>
      <c r="AA101" s="31">
        <v>48</v>
      </c>
      <c r="AB101" s="31">
        <v>17</v>
      </c>
      <c r="AC101" s="17" t="s">
        <v>53</v>
      </c>
      <c r="AD101" s="9">
        <v>20.42641995</v>
      </c>
      <c r="AE101" s="9">
        <v>-1.519655771</v>
      </c>
      <c r="AF101" s="9">
        <v>-1.632755814</v>
      </c>
      <c r="AG101" s="6" t="str">
        <f t="shared" si="10"/>
        <v>Tinggi</v>
      </c>
      <c r="AH101" s="7" t="str">
        <f t="shared" si="11"/>
        <v>BB Normal</v>
      </c>
      <c r="AI101" s="8" t="str">
        <f t="shared" si="12"/>
        <v>Normal</v>
      </c>
    </row>
    <row r="102" spans="1:35" ht="15.6">
      <c r="A102" s="35"/>
      <c r="B102" s="20">
        <v>1</v>
      </c>
      <c r="C102" s="33" t="s">
        <v>470</v>
      </c>
      <c r="D102" s="41" t="s">
        <v>37</v>
      </c>
      <c r="E102" s="47">
        <v>2</v>
      </c>
      <c r="F102" s="49" t="s">
        <v>471</v>
      </c>
      <c r="G102" s="50" t="s">
        <v>472</v>
      </c>
      <c r="H102" s="20">
        <v>3</v>
      </c>
      <c r="I102" s="20">
        <v>48</v>
      </c>
      <c r="J102" s="31">
        <v>1</v>
      </c>
      <c r="K102" s="31" t="s">
        <v>57</v>
      </c>
      <c r="L102" s="51" t="s">
        <v>473</v>
      </c>
      <c r="M102" s="49" t="s">
        <v>474</v>
      </c>
      <c r="N102" s="47" t="s">
        <v>400</v>
      </c>
      <c r="O102" s="51">
        <v>4</v>
      </c>
      <c r="P102" s="51">
        <v>7</v>
      </c>
      <c r="Q102" s="36">
        <v>11</v>
      </c>
      <c r="R102" s="36">
        <v>1</v>
      </c>
      <c r="S102" s="36">
        <v>25</v>
      </c>
      <c r="T102" s="52">
        <v>13</v>
      </c>
      <c r="U102" s="52">
        <v>10</v>
      </c>
      <c r="V102" s="52">
        <v>21</v>
      </c>
      <c r="W102" s="30">
        <v>37</v>
      </c>
      <c r="X102" s="31">
        <v>13</v>
      </c>
      <c r="Y102" s="31">
        <v>91.5</v>
      </c>
      <c r="Z102" s="31" t="s">
        <v>43</v>
      </c>
      <c r="AA102" s="31">
        <v>50</v>
      </c>
      <c r="AB102" s="31">
        <v>17</v>
      </c>
      <c r="AC102" s="17" t="s">
        <v>53</v>
      </c>
      <c r="AD102" s="9">
        <v>18.310755539999999</v>
      </c>
      <c r="AE102" s="9">
        <v>-1.489707004</v>
      </c>
      <c r="AF102" s="9">
        <v>-0.22259590439999999</v>
      </c>
      <c r="AG102" s="6" t="str">
        <f t="shared" si="10"/>
        <v>Tinggi</v>
      </c>
      <c r="AH102" s="7" t="str">
        <f t="shared" si="11"/>
        <v>BB Normal</v>
      </c>
      <c r="AI102" s="8" t="str">
        <f t="shared" si="12"/>
        <v>Normal</v>
      </c>
    </row>
    <row r="103" spans="1:35" ht="15.6">
      <c r="A103" s="35"/>
      <c r="B103" s="20">
        <v>3</v>
      </c>
      <c r="C103" s="33" t="s">
        <v>475</v>
      </c>
      <c r="D103" s="41" t="s">
        <v>48</v>
      </c>
      <c r="E103" s="47">
        <v>1</v>
      </c>
      <c r="F103" s="49" t="s">
        <v>476</v>
      </c>
      <c r="G103" s="50" t="s">
        <v>477</v>
      </c>
      <c r="H103" s="20">
        <v>2.9</v>
      </c>
      <c r="I103" s="20">
        <v>46</v>
      </c>
      <c r="J103" s="31">
        <v>1</v>
      </c>
      <c r="K103" s="31" t="s">
        <v>57</v>
      </c>
      <c r="L103" s="51" t="s">
        <v>478</v>
      </c>
      <c r="M103" s="49" t="s">
        <v>479</v>
      </c>
      <c r="N103" s="47" t="s">
        <v>400</v>
      </c>
      <c r="O103" s="51">
        <v>4</v>
      </c>
      <c r="P103" s="51">
        <v>7</v>
      </c>
      <c r="Q103" s="36">
        <v>11</v>
      </c>
      <c r="R103" s="36">
        <v>1</v>
      </c>
      <c r="S103" s="36">
        <v>25</v>
      </c>
      <c r="T103" s="52">
        <v>10</v>
      </c>
      <c r="U103" s="52">
        <v>12</v>
      </c>
      <c r="V103" s="52">
        <v>21</v>
      </c>
      <c r="W103" s="30">
        <v>35</v>
      </c>
      <c r="X103" s="31">
        <v>14</v>
      </c>
      <c r="Y103" s="31">
        <v>94</v>
      </c>
      <c r="Z103" s="31" t="s">
        <v>43</v>
      </c>
      <c r="AA103" s="31">
        <v>50</v>
      </c>
      <c r="AB103" s="31">
        <v>18</v>
      </c>
      <c r="AC103" s="17" t="s">
        <v>53</v>
      </c>
      <c r="AD103" s="10">
        <v>-0.39922453149999998</v>
      </c>
      <c r="AE103" s="9">
        <v>-0.3033047593</v>
      </c>
      <c r="AF103" s="9">
        <v>0.16534989480000001</v>
      </c>
      <c r="AG103" s="6" t="str">
        <f t="shared" si="10"/>
        <v>Normal</v>
      </c>
      <c r="AH103" s="7" t="str">
        <f t="shared" si="11"/>
        <v>BB Normal</v>
      </c>
      <c r="AI103" s="8" t="str">
        <f t="shared" si="12"/>
        <v>Normal</v>
      </c>
    </row>
    <row r="104" spans="1:35" ht="15.6">
      <c r="A104" s="35"/>
      <c r="B104" s="20">
        <v>2</v>
      </c>
      <c r="C104" s="33" t="s">
        <v>480</v>
      </c>
      <c r="D104" s="41" t="s">
        <v>48</v>
      </c>
      <c r="E104" s="47">
        <v>1</v>
      </c>
      <c r="F104" s="49" t="s">
        <v>481</v>
      </c>
      <c r="G104" s="50" t="s">
        <v>482</v>
      </c>
      <c r="H104" s="20">
        <v>3</v>
      </c>
      <c r="I104" s="20">
        <v>48</v>
      </c>
      <c r="J104" s="31">
        <v>1</v>
      </c>
      <c r="K104" s="31" t="s">
        <v>57</v>
      </c>
      <c r="L104" s="51" t="s">
        <v>483</v>
      </c>
      <c r="M104" s="49" t="s">
        <v>484</v>
      </c>
      <c r="N104" s="47" t="s">
        <v>400</v>
      </c>
      <c r="O104" s="51">
        <v>4</v>
      </c>
      <c r="P104" s="51">
        <v>7</v>
      </c>
      <c r="Q104" s="36">
        <v>11</v>
      </c>
      <c r="R104" s="36">
        <v>1</v>
      </c>
      <c r="S104" s="36">
        <v>25</v>
      </c>
      <c r="T104" s="52">
        <v>26</v>
      </c>
      <c r="U104" s="52">
        <v>1</v>
      </c>
      <c r="V104" s="52">
        <v>22</v>
      </c>
      <c r="W104" s="30">
        <v>34</v>
      </c>
      <c r="X104" s="31">
        <v>12</v>
      </c>
      <c r="Y104" s="31">
        <v>90</v>
      </c>
      <c r="Z104" s="31" t="s">
        <v>43</v>
      </c>
      <c r="AA104" s="31">
        <v>51</v>
      </c>
      <c r="AB104" s="31">
        <v>16</v>
      </c>
      <c r="AC104" s="17" t="s">
        <v>53</v>
      </c>
      <c r="AD104" s="10">
        <v>-1.4013651519999999</v>
      </c>
      <c r="AE104" s="9">
        <v>-1.444771668</v>
      </c>
      <c r="AF104" s="9">
        <v>-0.9207139271</v>
      </c>
      <c r="AG104" s="6" t="str">
        <f t="shared" si="10"/>
        <v>Normal</v>
      </c>
      <c r="AH104" s="7" t="str">
        <f t="shared" si="11"/>
        <v>BB Normal</v>
      </c>
      <c r="AI104" s="8" t="str">
        <f t="shared" si="12"/>
        <v>Normal</v>
      </c>
    </row>
    <row r="105" spans="1:35" ht="15.6">
      <c r="A105" s="35"/>
      <c r="B105" s="20">
        <v>1</v>
      </c>
      <c r="C105" s="33" t="s">
        <v>485</v>
      </c>
      <c r="D105" s="41" t="s">
        <v>37</v>
      </c>
      <c r="E105" s="47">
        <v>2</v>
      </c>
      <c r="F105" s="49" t="s">
        <v>486</v>
      </c>
      <c r="G105" s="50" t="s">
        <v>487</v>
      </c>
      <c r="H105" s="20">
        <v>3</v>
      </c>
      <c r="I105" s="20">
        <v>50</v>
      </c>
      <c r="J105" s="31">
        <v>1</v>
      </c>
      <c r="K105" s="31" t="s">
        <v>57</v>
      </c>
      <c r="L105" s="51" t="s">
        <v>488</v>
      </c>
      <c r="M105" s="49" t="s">
        <v>489</v>
      </c>
      <c r="N105" s="47" t="s">
        <v>400</v>
      </c>
      <c r="O105" s="51">
        <v>3</v>
      </c>
      <c r="P105" s="51">
        <v>7</v>
      </c>
      <c r="Q105" s="36">
        <v>11</v>
      </c>
      <c r="R105" s="36">
        <v>1</v>
      </c>
      <c r="S105" s="36">
        <v>25</v>
      </c>
      <c r="T105" s="52">
        <v>5</v>
      </c>
      <c r="U105" s="52">
        <v>5</v>
      </c>
      <c r="V105" s="52">
        <v>22</v>
      </c>
      <c r="W105" s="30">
        <v>32</v>
      </c>
      <c r="X105" s="31">
        <v>11.4</v>
      </c>
      <c r="Y105" s="31">
        <v>86</v>
      </c>
      <c r="Z105" s="31" t="s">
        <v>43</v>
      </c>
      <c r="AA105" s="31">
        <v>48</v>
      </c>
      <c r="AB105" s="31">
        <v>16</v>
      </c>
      <c r="AC105" s="17" t="s">
        <v>53</v>
      </c>
      <c r="AD105" s="10">
        <v>-1.754149698</v>
      </c>
      <c r="AE105" s="9">
        <v>-1.1743040119999999</v>
      </c>
      <c r="AF105" s="9">
        <v>-0.2490686382</v>
      </c>
      <c r="AG105" s="6" t="str">
        <f t="shared" si="10"/>
        <v>Normal</v>
      </c>
      <c r="AH105" s="7" t="str">
        <f t="shared" si="11"/>
        <v>BB Normal</v>
      </c>
      <c r="AI105" s="8" t="str">
        <f t="shared" si="12"/>
        <v>Normal</v>
      </c>
    </row>
    <row r="106" spans="1:35" ht="15.6">
      <c r="A106" s="35"/>
      <c r="B106" s="20">
        <v>1</v>
      </c>
      <c r="C106" s="33" t="s">
        <v>490</v>
      </c>
      <c r="D106" s="41" t="s">
        <v>37</v>
      </c>
      <c r="E106" s="42">
        <v>1</v>
      </c>
      <c r="F106" s="49" t="s">
        <v>491</v>
      </c>
      <c r="G106" s="54" t="s">
        <v>492</v>
      </c>
      <c r="H106" s="31">
        <v>24.5</v>
      </c>
      <c r="I106" s="31">
        <v>49</v>
      </c>
      <c r="J106" s="31">
        <v>1</v>
      </c>
      <c r="K106" s="31" t="s">
        <v>57</v>
      </c>
      <c r="L106" s="30" t="s">
        <v>493</v>
      </c>
      <c r="M106" s="49" t="s">
        <v>494</v>
      </c>
      <c r="N106" s="47" t="s">
        <v>400</v>
      </c>
      <c r="O106" s="30">
        <v>1</v>
      </c>
      <c r="P106" s="30">
        <v>7</v>
      </c>
      <c r="Q106" s="36">
        <v>11</v>
      </c>
      <c r="R106" s="36">
        <v>1</v>
      </c>
      <c r="S106" s="36">
        <v>25</v>
      </c>
      <c r="T106" s="55">
        <v>18</v>
      </c>
      <c r="U106" s="55">
        <v>1</v>
      </c>
      <c r="V106" s="55">
        <v>22</v>
      </c>
      <c r="W106" s="30">
        <v>35</v>
      </c>
      <c r="X106" s="31">
        <v>12.4</v>
      </c>
      <c r="Y106" s="31">
        <v>90</v>
      </c>
      <c r="Z106" s="31" t="s">
        <v>83</v>
      </c>
      <c r="AA106" s="31">
        <v>47</v>
      </c>
      <c r="AB106" s="31">
        <v>16</v>
      </c>
      <c r="AC106" s="17" t="s">
        <v>53</v>
      </c>
      <c r="AD106" s="10">
        <v>-1.605767046</v>
      </c>
      <c r="AE106" s="9">
        <v>-1.193701997</v>
      </c>
      <c r="AF106" s="9">
        <v>-0.49680120449999998</v>
      </c>
      <c r="AG106" s="6" t="str">
        <f t="shared" si="10"/>
        <v>Normal</v>
      </c>
      <c r="AH106" s="7" t="str">
        <f t="shared" si="11"/>
        <v>BB Normal</v>
      </c>
      <c r="AI106" s="8" t="str">
        <f t="shared" si="12"/>
        <v>Normal</v>
      </c>
    </row>
    <row r="107" spans="1:35" ht="15.6">
      <c r="A107" s="35"/>
      <c r="B107" s="20">
        <v>1</v>
      </c>
      <c r="C107" s="33" t="s">
        <v>495</v>
      </c>
      <c r="D107" s="41" t="s">
        <v>37</v>
      </c>
      <c r="E107" s="47">
        <v>2</v>
      </c>
      <c r="F107" s="49" t="s">
        <v>496</v>
      </c>
      <c r="G107" s="50" t="s">
        <v>497</v>
      </c>
      <c r="H107" s="20">
        <v>2.8</v>
      </c>
      <c r="I107" s="20">
        <v>47</v>
      </c>
      <c r="J107" s="31">
        <v>1</v>
      </c>
      <c r="K107" s="31" t="s">
        <v>57</v>
      </c>
      <c r="L107" s="51" t="s">
        <v>498</v>
      </c>
      <c r="M107" s="49" t="s">
        <v>499</v>
      </c>
      <c r="N107" s="47" t="s">
        <v>400</v>
      </c>
      <c r="O107" s="51">
        <v>3</v>
      </c>
      <c r="P107" s="51">
        <v>7</v>
      </c>
      <c r="Q107" s="36">
        <v>11</v>
      </c>
      <c r="R107" s="36">
        <v>1</v>
      </c>
      <c r="S107" s="36">
        <v>25</v>
      </c>
      <c r="T107" s="52">
        <v>5</v>
      </c>
      <c r="U107" s="52">
        <v>7</v>
      </c>
      <c r="V107" s="52">
        <v>22</v>
      </c>
      <c r="W107" s="30">
        <v>30</v>
      </c>
      <c r="X107" s="31">
        <v>22</v>
      </c>
      <c r="Y107" s="31">
        <v>98.5</v>
      </c>
      <c r="Z107" s="31" t="s">
        <v>43</v>
      </c>
      <c r="AA107" s="31">
        <v>52</v>
      </c>
      <c r="AB107" s="31">
        <v>20</v>
      </c>
      <c r="AC107" s="17" t="s">
        <v>53</v>
      </c>
      <c r="AD107" s="10">
        <v>2.15240023</v>
      </c>
      <c r="AE107" s="9">
        <v>4.4172193479999997</v>
      </c>
      <c r="AF107" s="9">
        <v>4.5408002859999996</v>
      </c>
      <c r="AG107" s="6" t="str">
        <f t="shared" si="10"/>
        <v>Normal</v>
      </c>
      <c r="AH107" s="7" t="str">
        <f t="shared" si="11"/>
        <v>Ris Lbh</v>
      </c>
      <c r="AI107" s="8" t="str">
        <f t="shared" si="12"/>
        <v>Obesitas</v>
      </c>
    </row>
    <row r="108" spans="1:35" ht="15.6">
      <c r="A108" s="35"/>
      <c r="B108" s="20">
        <v>1</v>
      </c>
      <c r="C108" s="33" t="s">
        <v>500</v>
      </c>
      <c r="D108" s="41" t="s">
        <v>48</v>
      </c>
      <c r="E108" s="47">
        <v>1</v>
      </c>
      <c r="F108" s="49" t="s">
        <v>501</v>
      </c>
      <c r="G108" s="50" t="s">
        <v>502</v>
      </c>
      <c r="H108" s="20">
        <v>2.8</v>
      </c>
      <c r="I108" s="20">
        <v>50</v>
      </c>
      <c r="J108" s="31">
        <v>1</v>
      </c>
      <c r="K108" s="31" t="s">
        <v>57</v>
      </c>
      <c r="L108" s="51" t="s">
        <v>503</v>
      </c>
      <c r="M108" s="31"/>
      <c r="N108" s="47" t="s">
        <v>400</v>
      </c>
      <c r="O108" s="51">
        <v>3</v>
      </c>
      <c r="P108" s="51">
        <v>7</v>
      </c>
      <c r="Q108" s="36">
        <v>11</v>
      </c>
      <c r="R108" s="36">
        <v>1</v>
      </c>
      <c r="S108" s="36">
        <v>25</v>
      </c>
      <c r="T108" s="52">
        <v>28</v>
      </c>
      <c r="U108" s="52">
        <v>7</v>
      </c>
      <c r="V108" s="52">
        <v>22</v>
      </c>
      <c r="W108" s="30">
        <v>29</v>
      </c>
      <c r="X108" s="31">
        <v>11.6</v>
      </c>
      <c r="Y108" s="31">
        <v>94.5</v>
      </c>
      <c r="Z108" s="31" t="s">
        <v>43</v>
      </c>
      <c r="AA108" s="31"/>
      <c r="AB108" s="31"/>
      <c r="AC108" s="17" t="s">
        <v>53</v>
      </c>
      <c r="AD108" s="9">
        <v>0.36528360059999998</v>
      </c>
      <c r="AE108" s="9">
        <v>0.5394291242</v>
      </c>
      <c r="AF108" s="9">
        <v>0.48648791860000001</v>
      </c>
      <c r="AG108" s="6" t="str">
        <f t="shared" si="10"/>
        <v>Normal</v>
      </c>
      <c r="AH108" s="7" t="str">
        <f t="shared" si="11"/>
        <v>BB Normal</v>
      </c>
      <c r="AI108" s="8" t="str">
        <f t="shared" si="12"/>
        <v>Normal</v>
      </c>
    </row>
    <row r="109" spans="1:35" ht="15.6">
      <c r="A109" s="35"/>
      <c r="B109" s="20">
        <v>3</v>
      </c>
      <c r="C109" s="33" t="s">
        <v>504</v>
      </c>
      <c r="D109" s="41" t="s">
        <v>37</v>
      </c>
      <c r="E109" s="47">
        <v>2</v>
      </c>
      <c r="F109" s="49" t="s">
        <v>505</v>
      </c>
      <c r="G109" s="50" t="s">
        <v>506</v>
      </c>
      <c r="H109" s="20">
        <v>2.8</v>
      </c>
      <c r="I109" s="20">
        <v>46</v>
      </c>
      <c r="J109" s="31">
        <v>1</v>
      </c>
      <c r="K109" s="31" t="s">
        <v>57</v>
      </c>
      <c r="L109" s="51" t="s">
        <v>507</v>
      </c>
      <c r="M109" s="49" t="s">
        <v>508</v>
      </c>
      <c r="N109" s="47" t="s">
        <v>400</v>
      </c>
      <c r="O109" s="51">
        <v>4</v>
      </c>
      <c r="P109" s="51">
        <v>7</v>
      </c>
      <c r="Q109" s="36">
        <v>11</v>
      </c>
      <c r="R109" s="36">
        <v>1</v>
      </c>
      <c r="S109" s="36">
        <v>25</v>
      </c>
      <c r="T109" s="52">
        <v>18</v>
      </c>
      <c r="U109" s="52">
        <v>8</v>
      </c>
      <c r="V109" s="52">
        <v>22</v>
      </c>
      <c r="W109" s="30">
        <v>28</v>
      </c>
      <c r="X109" s="31">
        <v>10</v>
      </c>
      <c r="Y109" s="31">
        <v>83</v>
      </c>
      <c r="Z109" s="31" t="s">
        <v>43</v>
      </c>
      <c r="AA109" s="31">
        <v>47</v>
      </c>
      <c r="AB109" s="31">
        <v>15</v>
      </c>
      <c r="AC109" s="17" t="s">
        <v>53</v>
      </c>
      <c r="AD109" s="10">
        <v>-1.9438534810000001</v>
      </c>
      <c r="AE109" s="9">
        <v>-1.8196920940000001</v>
      </c>
      <c r="AF109" s="9">
        <v>-1.0174620889999999</v>
      </c>
      <c r="AG109" s="6" t="str">
        <f t="shared" si="10"/>
        <v>Normal</v>
      </c>
      <c r="AH109" s="7" t="str">
        <f t="shared" si="11"/>
        <v>BB Normal</v>
      </c>
      <c r="AI109" s="8" t="str">
        <f t="shared" si="12"/>
        <v>Normal</v>
      </c>
    </row>
    <row r="110" spans="1:35" ht="15.6">
      <c r="A110" s="35"/>
      <c r="B110" s="20">
        <v>2</v>
      </c>
      <c r="C110" s="33" t="s">
        <v>509</v>
      </c>
      <c r="D110" s="41" t="s">
        <v>48</v>
      </c>
      <c r="E110" s="47">
        <v>1</v>
      </c>
      <c r="F110" s="49" t="s">
        <v>510</v>
      </c>
      <c r="G110" s="50" t="s">
        <v>511</v>
      </c>
      <c r="H110" s="20">
        <v>3.5</v>
      </c>
      <c r="I110" s="20">
        <v>49</v>
      </c>
      <c r="J110" s="31">
        <v>1</v>
      </c>
      <c r="K110" s="31" t="s">
        <v>57</v>
      </c>
      <c r="L110" s="51" t="s">
        <v>512</v>
      </c>
      <c r="M110" s="49" t="s">
        <v>513</v>
      </c>
      <c r="N110" s="47" t="s">
        <v>400</v>
      </c>
      <c r="O110" s="51">
        <v>4</v>
      </c>
      <c r="P110" s="51">
        <v>7</v>
      </c>
      <c r="Q110" s="36">
        <v>11</v>
      </c>
      <c r="R110" s="36">
        <v>1</v>
      </c>
      <c r="S110" s="36">
        <v>25</v>
      </c>
      <c r="T110" s="52">
        <v>13</v>
      </c>
      <c r="U110" s="52">
        <v>9</v>
      </c>
      <c r="V110" s="52">
        <v>22</v>
      </c>
      <c r="W110" s="30">
        <v>27</v>
      </c>
      <c r="X110" s="31">
        <v>13.5</v>
      </c>
      <c r="Y110" s="31">
        <v>91</v>
      </c>
      <c r="Z110" s="31" t="s">
        <v>43</v>
      </c>
      <c r="AA110" s="31">
        <v>51</v>
      </c>
      <c r="AB110" s="31">
        <v>17</v>
      </c>
      <c r="AC110" s="17" t="s">
        <v>53</v>
      </c>
      <c r="AD110" s="10">
        <v>0.18875883709999999</v>
      </c>
      <c r="AE110" s="9">
        <v>0.37513369940000002</v>
      </c>
      <c r="AF110" s="9">
        <v>0.36829273709999999</v>
      </c>
      <c r="AG110" s="6" t="str">
        <f t="shared" si="10"/>
        <v>Normal</v>
      </c>
      <c r="AH110" s="7" t="str">
        <f t="shared" si="11"/>
        <v>BB Normal</v>
      </c>
      <c r="AI110" s="8" t="str">
        <f t="shared" si="12"/>
        <v>Normal</v>
      </c>
    </row>
    <row r="111" spans="1:35" ht="31.2">
      <c r="A111" s="35"/>
      <c r="B111" s="20">
        <v>1</v>
      </c>
      <c r="C111" s="33" t="s">
        <v>514</v>
      </c>
      <c r="D111" s="41" t="s">
        <v>48</v>
      </c>
      <c r="E111" s="47">
        <v>1</v>
      </c>
      <c r="F111" s="49" t="s">
        <v>515</v>
      </c>
      <c r="G111" s="56" t="s">
        <v>516</v>
      </c>
      <c r="H111" s="20">
        <v>3.8</v>
      </c>
      <c r="I111" s="20">
        <v>52</v>
      </c>
      <c r="J111" s="31">
        <v>1</v>
      </c>
      <c r="K111" s="31" t="s">
        <v>57</v>
      </c>
      <c r="L111" s="51" t="s">
        <v>517</v>
      </c>
      <c r="M111" s="49" t="s">
        <v>518</v>
      </c>
      <c r="N111" s="47" t="s">
        <v>400</v>
      </c>
      <c r="O111" s="51">
        <v>2</v>
      </c>
      <c r="P111" s="51">
        <v>7</v>
      </c>
      <c r="Q111" s="36">
        <v>11</v>
      </c>
      <c r="R111" s="36">
        <v>1</v>
      </c>
      <c r="S111" s="36">
        <v>25</v>
      </c>
      <c r="T111" s="52">
        <v>1</v>
      </c>
      <c r="U111" s="52">
        <v>10</v>
      </c>
      <c r="V111" s="52">
        <v>22</v>
      </c>
      <c r="W111" s="30">
        <v>27</v>
      </c>
      <c r="X111" s="24">
        <v>13.7</v>
      </c>
      <c r="Y111" s="24">
        <v>97.4</v>
      </c>
      <c r="Z111" s="31" t="s">
        <v>43</v>
      </c>
      <c r="AA111" s="31">
        <v>48</v>
      </c>
      <c r="AB111" s="31">
        <v>16</v>
      </c>
      <c r="AC111" s="17" t="s">
        <v>53</v>
      </c>
      <c r="AD111" s="10">
        <v>-0.39922453149999998</v>
      </c>
      <c r="AE111" s="9">
        <v>-0.3033047593</v>
      </c>
      <c r="AF111" s="9">
        <v>4.5408002859999996</v>
      </c>
      <c r="AG111" s="6" t="str">
        <f t="shared" si="10"/>
        <v>Normal</v>
      </c>
      <c r="AH111" s="7" t="str">
        <f t="shared" si="11"/>
        <v>BB Normal</v>
      </c>
      <c r="AI111" s="8" t="str">
        <f t="shared" si="12"/>
        <v>Obesitas</v>
      </c>
    </row>
    <row r="112" spans="1:35" ht="15.6">
      <c r="A112" s="35"/>
      <c r="B112" s="20">
        <v>2</v>
      </c>
      <c r="C112" s="33" t="s">
        <v>519</v>
      </c>
      <c r="D112" s="41" t="s">
        <v>48</v>
      </c>
      <c r="E112" s="47">
        <v>1</v>
      </c>
      <c r="F112" s="49" t="s">
        <v>399</v>
      </c>
      <c r="G112" s="50" t="s">
        <v>520</v>
      </c>
      <c r="H112" s="20">
        <v>2.5</v>
      </c>
      <c r="I112" s="20">
        <v>48</v>
      </c>
      <c r="J112" s="31">
        <v>1</v>
      </c>
      <c r="K112" s="31" t="s">
        <v>57</v>
      </c>
      <c r="L112" s="51" t="s">
        <v>398</v>
      </c>
      <c r="M112" s="49" t="s">
        <v>399</v>
      </c>
      <c r="N112" s="47" t="s">
        <v>400</v>
      </c>
      <c r="O112" s="51">
        <v>4</v>
      </c>
      <c r="P112" s="51">
        <v>7</v>
      </c>
      <c r="Q112" s="36">
        <v>11</v>
      </c>
      <c r="R112" s="36">
        <v>1</v>
      </c>
      <c r="S112" s="36">
        <v>25</v>
      </c>
      <c r="T112" s="52">
        <v>15</v>
      </c>
      <c r="U112" s="52">
        <v>10</v>
      </c>
      <c r="V112" s="52">
        <v>22</v>
      </c>
      <c r="W112" s="30">
        <v>26</v>
      </c>
      <c r="X112" s="31">
        <v>10</v>
      </c>
      <c r="Y112" s="31">
        <v>84</v>
      </c>
      <c r="Z112" s="31" t="s">
        <v>43</v>
      </c>
      <c r="AA112" s="31">
        <v>48</v>
      </c>
      <c r="AB112" s="31">
        <v>15</v>
      </c>
      <c r="AC112" s="17" t="s">
        <v>53</v>
      </c>
      <c r="AD112" s="10">
        <v>-1.716358952</v>
      </c>
      <c r="AE112" s="9">
        <v>-2.093547161</v>
      </c>
      <c r="AF112" s="9">
        <v>-1.6947274619999999</v>
      </c>
      <c r="AG112" s="6" t="str">
        <f t="shared" si="10"/>
        <v>Normal</v>
      </c>
      <c r="AH112" s="7" t="str">
        <f t="shared" si="11"/>
        <v>BB Krg</v>
      </c>
      <c r="AI112" s="8" t="str">
        <f t="shared" si="12"/>
        <v>Normal</v>
      </c>
    </row>
    <row r="113" spans="1:35" ht="15.6">
      <c r="A113" s="35"/>
      <c r="B113" s="20">
        <v>1</v>
      </c>
      <c r="C113" s="33" t="s">
        <v>521</v>
      </c>
      <c r="D113" s="41" t="s">
        <v>37</v>
      </c>
      <c r="E113" s="47">
        <v>2</v>
      </c>
      <c r="F113" s="49" t="s">
        <v>522</v>
      </c>
      <c r="G113" s="50" t="s">
        <v>523</v>
      </c>
      <c r="H113" s="20">
        <v>2.6</v>
      </c>
      <c r="I113" s="20">
        <v>51</v>
      </c>
      <c r="J113" s="31">
        <v>1</v>
      </c>
      <c r="K113" s="31" t="s">
        <v>57</v>
      </c>
      <c r="L113" s="51" t="s">
        <v>524</v>
      </c>
      <c r="M113" s="49" t="s">
        <v>525</v>
      </c>
      <c r="N113" s="47" t="s">
        <v>400</v>
      </c>
      <c r="O113" s="51">
        <v>4</v>
      </c>
      <c r="P113" s="51">
        <v>7</v>
      </c>
      <c r="Q113" s="36">
        <v>11</v>
      </c>
      <c r="R113" s="36">
        <v>1</v>
      </c>
      <c r="S113" s="36">
        <v>25</v>
      </c>
      <c r="T113" s="52">
        <v>10</v>
      </c>
      <c r="U113" s="52">
        <v>11</v>
      </c>
      <c r="V113" s="52">
        <v>22</v>
      </c>
      <c r="W113" s="30">
        <v>26</v>
      </c>
      <c r="X113" s="31">
        <v>11.5</v>
      </c>
      <c r="Y113" s="31">
        <v>93</v>
      </c>
      <c r="Z113" s="31" t="s">
        <v>43</v>
      </c>
      <c r="AA113" s="31">
        <v>48</v>
      </c>
      <c r="AB113" s="31">
        <v>16</v>
      </c>
      <c r="AC113" s="17" t="s">
        <v>53</v>
      </c>
      <c r="AD113" s="10">
        <v>-1.1561487479999999</v>
      </c>
      <c r="AE113" s="9">
        <v>-0.35529904670000001</v>
      </c>
      <c r="AF113" s="9">
        <v>0.5239231607</v>
      </c>
      <c r="AG113" s="6" t="str">
        <f t="shared" si="10"/>
        <v>Normal</v>
      </c>
      <c r="AH113" s="7" t="str">
        <f t="shared" si="11"/>
        <v>BB Normal</v>
      </c>
      <c r="AI113" s="8" t="str">
        <f t="shared" si="12"/>
        <v>Normal</v>
      </c>
    </row>
    <row r="114" spans="1:35" ht="15.6">
      <c r="A114" s="35"/>
      <c r="B114" s="20">
        <v>2</v>
      </c>
      <c r="C114" s="33" t="s">
        <v>526</v>
      </c>
      <c r="D114" s="41" t="s">
        <v>37</v>
      </c>
      <c r="E114" s="47">
        <v>2</v>
      </c>
      <c r="F114" s="49" t="s">
        <v>527</v>
      </c>
      <c r="G114" s="50" t="s">
        <v>528</v>
      </c>
      <c r="H114" s="20">
        <v>2.9</v>
      </c>
      <c r="I114" s="20">
        <v>49</v>
      </c>
      <c r="J114" s="31">
        <v>1</v>
      </c>
      <c r="K114" s="31" t="s">
        <v>57</v>
      </c>
      <c r="L114" s="51" t="s">
        <v>529</v>
      </c>
      <c r="M114" s="49" t="s">
        <v>530</v>
      </c>
      <c r="N114" s="47" t="s">
        <v>400</v>
      </c>
      <c r="O114" s="51">
        <v>2</v>
      </c>
      <c r="P114" s="51">
        <v>7</v>
      </c>
      <c r="Q114" s="36">
        <v>11</v>
      </c>
      <c r="R114" s="36">
        <v>1</v>
      </c>
      <c r="S114" s="36">
        <v>25</v>
      </c>
      <c r="T114" s="52">
        <v>20</v>
      </c>
      <c r="U114" s="52">
        <v>11</v>
      </c>
      <c r="V114" s="52">
        <v>22</v>
      </c>
      <c r="W114" s="30">
        <v>25</v>
      </c>
      <c r="X114" s="31">
        <v>10.199999999999999</v>
      </c>
      <c r="Y114" s="31">
        <v>83</v>
      </c>
      <c r="Z114" s="31" t="s">
        <v>43</v>
      </c>
      <c r="AA114" s="31">
        <v>47</v>
      </c>
      <c r="AB114" s="31">
        <v>16</v>
      </c>
      <c r="AC114" s="17" t="s">
        <v>53</v>
      </c>
      <c r="AD114" s="10">
        <v>-1.2691730489999999</v>
      </c>
      <c r="AE114" s="9">
        <v>-1.246895555</v>
      </c>
      <c r="AF114" s="9">
        <v>-0.78462545350000001</v>
      </c>
      <c r="AG114" s="6" t="str">
        <f t="shared" si="10"/>
        <v>Normal</v>
      </c>
      <c r="AH114" s="7" t="str">
        <f t="shared" si="11"/>
        <v>BB Normal</v>
      </c>
      <c r="AI114" s="8" t="str">
        <f t="shared" si="12"/>
        <v>Normal</v>
      </c>
    </row>
    <row r="115" spans="1:35" ht="15.6">
      <c r="A115" s="35"/>
      <c r="B115" s="20">
        <v>4</v>
      </c>
      <c r="C115" s="33" t="s">
        <v>531</v>
      </c>
      <c r="D115" s="41" t="s">
        <v>37</v>
      </c>
      <c r="E115" s="47">
        <v>2</v>
      </c>
      <c r="F115" s="49" t="s">
        <v>532</v>
      </c>
      <c r="G115" s="50" t="s">
        <v>533</v>
      </c>
      <c r="H115" s="20">
        <v>3.4</v>
      </c>
      <c r="I115" s="20">
        <v>51</v>
      </c>
      <c r="J115" s="31">
        <v>1</v>
      </c>
      <c r="K115" s="31" t="s">
        <v>57</v>
      </c>
      <c r="L115" s="51" t="s">
        <v>534</v>
      </c>
      <c r="M115" s="49" t="s">
        <v>535</v>
      </c>
      <c r="N115" s="47" t="s">
        <v>400</v>
      </c>
      <c r="O115" s="51">
        <v>3</v>
      </c>
      <c r="P115" s="51">
        <v>7</v>
      </c>
      <c r="Q115" s="36">
        <v>11</v>
      </c>
      <c r="R115" s="36">
        <v>1</v>
      </c>
      <c r="S115" s="36">
        <v>25</v>
      </c>
      <c r="T115" s="52">
        <v>4</v>
      </c>
      <c r="U115" s="52">
        <v>11</v>
      </c>
      <c r="V115" s="52">
        <v>22</v>
      </c>
      <c r="W115" s="30">
        <v>26</v>
      </c>
      <c r="X115" s="31">
        <v>10.7</v>
      </c>
      <c r="Y115" s="31">
        <v>85.5</v>
      </c>
      <c r="Z115" s="31" t="s">
        <v>43</v>
      </c>
      <c r="AA115" s="31">
        <v>46</v>
      </c>
      <c r="AB115" s="31">
        <v>16</v>
      </c>
      <c r="AC115" s="17" t="s">
        <v>53</v>
      </c>
      <c r="AD115" s="10">
        <v>-0.64423001179999995</v>
      </c>
      <c r="AE115" s="9">
        <v>-0.91636287260000004</v>
      </c>
      <c r="AF115" s="9">
        <v>-0.86647452930000002</v>
      </c>
      <c r="AG115" s="6" t="str">
        <f t="shared" si="10"/>
        <v>Normal</v>
      </c>
      <c r="AH115" s="7" t="str">
        <f t="shared" si="11"/>
        <v>BB Normal</v>
      </c>
      <c r="AI115" s="8" t="str">
        <f t="shared" si="12"/>
        <v>Normal</v>
      </c>
    </row>
    <row r="116" spans="1:35" ht="15.6">
      <c r="A116" s="35"/>
      <c r="B116" s="20">
        <v>3</v>
      </c>
      <c r="C116" s="33" t="s">
        <v>536</v>
      </c>
      <c r="D116" s="41" t="s">
        <v>48</v>
      </c>
      <c r="E116" s="47">
        <v>1</v>
      </c>
      <c r="F116" s="49" t="s">
        <v>537</v>
      </c>
      <c r="G116" s="50" t="s">
        <v>538</v>
      </c>
      <c r="H116" s="20">
        <v>3.1</v>
      </c>
      <c r="I116" s="20">
        <v>50</v>
      </c>
      <c r="J116" s="31">
        <v>1</v>
      </c>
      <c r="K116" s="31" t="s">
        <v>57</v>
      </c>
      <c r="L116" s="51" t="s">
        <v>539</v>
      </c>
      <c r="M116" s="49" t="s">
        <v>540</v>
      </c>
      <c r="N116" s="47" t="s">
        <v>400</v>
      </c>
      <c r="O116" s="51">
        <v>1</v>
      </c>
      <c r="P116" s="51">
        <v>7</v>
      </c>
      <c r="Q116" s="36">
        <v>11</v>
      </c>
      <c r="R116" s="36">
        <v>1</v>
      </c>
      <c r="S116" s="36">
        <v>25</v>
      </c>
      <c r="T116" s="52">
        <v>2</v>
      </c>
      <c r="U116" s="52">
        <v>12</v>
      </c>
      <c r="V116" s="52">
        <v>22</v>
      </c>
      <c r="W116" s="30">
        <v>25</v>
      </c>
      <c r="X116" s="31">
        <v>10</v>
      </c>
      <c r="Y116" s="31">
        <v>82</v>
      </c>
      <c r="Z116" s="31" t="s">
        <v>43</v>
      </c>
      <c r="AA116" s="31">
        <v>48</v>
      </c>
      <c r="AB116" s="31">
        <v>16</v>
      </c>
      <c r="AC116" s="17" t="s">
        <v>53</v>
      </c>
      <c r="AD116" s="10">
        <v>-1.9915298400000001</v>
      </c>
      <c r="AE116" s="9">
        <v>-1.8804380430000001</v>
      </c>
      <c r="AF116" s="9">
        <v>-1.167356327</v>
      </c>
      <c r="AG116" s="6" t="str">
        <f t="shared" si="10"/>
        <v>Normal</v>
      </c>
      <c r="AH116" s="7" t="str">
        <f t="shared" si="11"/>
        <v>BB Normal</v>
      </c>
      <c r="AI116" s="8" t="str">
        <f t="shared" si="12"/>
        <v>Normal</v>
      </c>
    </row>
    <row r="117" spans="1:35" ht="15.6">
      <c r="A117" s="35"/>
      <c r="B117" s="20">
        <v>1</v>
      </c>
      <c r="C117" s="48" t="s">
        <v>541</v>
      </c>
      <c r="D117" s="41" t="s">
        <v>37</v>
      </c>
      <c r="E117" s="47">
        <v>2</v>
      </c>
      <c r="F117" s="49" t="s">
        <v>542</v>
      </c>
      <c r="G117" s="50" t="s">
        <v>543</v>
      </c>
      <c r="H117" s="20">
        <v>3</v>
      </c>
      <c r="I117" s="20">
        <v>49</v>
      </c>
      <c r="J117" s="31">
        <v>1</v>
      </c>
      <c r="K117" s="31" t="s">
        <v>57</v>
      </c>
      <c r="L117" s="51" t="s">
        <v>544</v>
      </c>
      <c r="M117" s="49" t="s">
        <v>542</v>
      </c>
      <c r="N117" s="47" t="s">
        <v>400</v>
      </c>
      <c r="O117" s="51">
        <v>1</v>
      </c>
      <c r="P117" s="51">
        <v>7</v>
      </c>
      <c r="Q117" s="36">
        <v>11</v>
      </c>
      <c r="R117" s="36">
        <v>1</v>
      </c>
      <c r="S117" s="36">
        <v>25</v>
      </c>
      <c r="T117" s="52">
        <v>26</v>
      </c>
      <c r="U117" s="52">
        <v>12</v>
      </c>
      <c r="V117" s="52">
        <v>22</v>
      </c>
      <c r="W117" s="30">
        <v>23</v>
      </c>
      <c r="X117" s="15">
        <v>10</v>
      </c>
      <c r="Y117" s="15">
        <v>81</v>
      </c>
      <c r="Z117" s="31" t="s">
        <v>43</v>
      </c>
      <c r="AA117" s="15">
        <v>48</v>
      </c>
      <c r="AB117" s="15">
        <v>16</v>
      </c>
      <c r="AC117" s="17" t="s">
        <v>53</v>
      </c>
      <c r="AD117" s="10">
        <v>-1.4444653220000001</v>
      </c>
      <c r="AE117" s="9">
        <v>-1.2445061019999999</v>
      </c>
      <c r="AF117" s="9">
        <v>-0.34193341319999998</v>
      </c>
      <c r="AG117" s="6" t="str">
        <f t="shared" si="10"/>
        <v>Normal</v>
      </c>
      <c r="AH117" s="7" t="str">
        <f t="shared" si="11"/>
        <v>BB Normal</v>
      </c>
      <c r="AI117" s="8" t="str">
        <f t="shared" si="12"/>
        <v>Normal</v>
      </c>
    </row>
    <row r="118" spans="1:35" ht="15.6">
      <c r="A118" s="35"/>
      <c r="B118" s="20">
        <v>1</v>
      </c>
      <c r="C118" s="48" t="s">
        <v>545</v>
      </c>
      <c r="D118" s="41" t="s">
        <v>37</v>
      </c>
      <c r="E118" s="47">
        <v>2</v>
      </c>
      <c r="F118" s="49" t="s">
        <v>546</v>
      </c>
      <c r="G118" s="50" t="s">
        <v>547</v>
      </c>
      <c r="H118" s="20">
        <v>3.4</v>
      </c>
      <c r="I118" s="20">
        <v>50</v>
      </c>
      <c r="J118" s="31">
        <v>1</v>
      </c>
      <c r="K118" s="31" t="s">
        <v>57</v>
      </c>
      <c r="L118" s="51" t="s">
        <v>548</v>
      </c>
      <c r="M118" s="49" t="s">
        <v>549</v>
      </c>
      <c r="N118" s="47" t="s">
        <v>400</v>
      </c>
      <c r="O118" s="51">
        <v>4</v>
      </c>
      <c r="P118" s="51">
        <v>7</v>
      </c>
      <c r="Q118" s="36">
        <v>11</v>
      </c>
      <c r="R118" s="36">
        <v>1</v>
      </c>
      <c r="S118" s="36">
        <v>25</v>
      </c>
      <c r="T118" s="52">
        <v>14</v>
      </c>
      <c r="U118" s="52">
        <v>1</v>
      </c>
      <c r="V118" s="52">
        <v>23</v>
      </c>
      <c r="W118" s="30">
        <v>22</v>
      </c>
      <c r="X118" s="31">
        <v>10.9</v>
      </c>
      <c r="Y118" s="31">
        <v>84</v>
      </c>
      <c r="Z118" s="31" t="s">
        <v>43</v>
      </c>
      <c r="AA118" s="31">
        <v>48</v>
      </c>
      <c r="AB118" s="31">
        <v>17</v>
      </c>
      <c r="AC118" s="17" t="s">
        <v>53</v>
      </c>
      <c r="AD118" s="10">
        <v>-0.45556230390000002</v>
      </c>
      <c r="AE118" s="9">
        <v>-0.41815707520000001</v>
      </c>
      <c r="AF118" s="9">
        <v>-8.2312178779999995E-2</v>
      </c>
      <c r="AG118" s="6" t="str">
        <f t="shared" si="10"/>
        <v>Normal</v>
      </c>
      <c r="AH118" s="7" t="str">
        <f t="shared" si="11"/>
        <v>BB Normal</v>
      </c>
      <c r="AI118" s="8" t="str">
        <f t="shared" si="12"/>
        <v>Normal</v>
      </c>
    </row>
    <row r="119" spans="1:35" ht="15.6">
      <c r="A119" s="35"/>
      <c r="B119" s="20">
        <v>5</v>
      </c>
      <c r="C119" s="48" t="s">
        <v>550</v>
      </c>
      <c r="D119" s="41" t="s">
        <v>48</v>
      </c>
      <c r="E119" s="47">
        <v>1</v>
      </c>
      <c r="F119" s="49" t="s">
        <v>551</v>
      </c>
      <c r="G119" s="50" t="s">
        <v>552</v>
      </c>
      <c r="H119" s="20">
        <v>3.2</v>
      </c>
      <c r="I119" s="20">
        <v>50</v>
      </c>
      <c r="J119" s="31">
        <v>1</v>
      </c>
      <c r="K119" s="31" t="s">
        <v>57</v>
      </c>
      <c r="L119" s="51" t="s">
        <v>553</v>
      </c>
      <c r="M119" s="49" t="s">
        <v>554</v>
      </c>
      <c r="N119" s="47" t="s">
        <v>400</v>
      </c>
      <c r="O119" s="51">
        <v>3</v>
      </c>
      <c r="P119" s="51">
        <v>7</v>
      </c>
      <c r="Q119" s="36">
        <v>11</v>
      </c>
      <c r="R119" s="36">
        <v>1</v>
      </c>
      <c r="S119" s="36">
        <v>25</v>
      </c>
      <c r="T119" s="52">
        <v>5</v>
      </c>
      <c r="U119" s="52">
        <v>1</v>
      </c>
      <c r="V119" s="52">
        <v>23</v>
      </c>
      <c r="W119" s="30">
        <v>22</v>
      </c>
      <c r="X119" s="31">
        <v>8</v>
      </c>
      <c r="Y119" s="31">
        <v>78</v>
      </c>
      <c r="Z119" s="31" t="s">
        <v>43</v>
      </c>
      <c r="AA119" s="31">
        <v>48</v>
      </c>
      <c r="AB119" s="31">
        <v>16</v>
      </c>
      <c r="AC119" s="17" t="s">
        <v>53</v>
      </c>
      <c r="AD119" s="10">
        <v>-1.523965161</v>
      </c>
      <c r="AE119" s="9">
        <v>-0.26403187630000002</v>
      </c>
      <c r="AF119" s="9">
        <v>0.62883266670000004</v>
      </c>
      <c r="AG119" s="6" t="str">
        <f t="shared" si="10"/>
        <v>Normal</v>
      </c>
      <c r="AH119" s="7" t="str">
        <f t="shared" si="11"/>
        <v>BB Normal</v>
      </c>
      <c r="AI119" s="8" t="str">
        <f t="shared" si="12"/>
        <v>Normal</v>
      </c>
    </row>
    <row r="120" spans="1:35" ht="15.6">
      <c r="A120" s="35"/>
      <c r="B120" s="20">
        <v>3</v>
      </c>
      <c r="C120" s="48" t="s">
        <v>555</v>
      </c>
      <c r="D120" s="41" t="s">
        <v>48</v>
      </c>
      <c r="E120" s="47">
        <v>1</v>
      </c>
      <c r="F120" s="49" t="s">
        <v>556</v>
      </c>
      <c r="G120" s="50" t="s">
        <v>557</v>
      </c>
      <c r="H120" s="20">
        <v>1.74</v>
      </c>
      <c r="I120" s="20">
        <v>43</v>
      </c>
      <c r="J120" s="31">
        <v>1</v>
      </c>
      <c r="K120" s="31" t="s">
        <v>57</v>
      </c>
      <c r="L120" s="51" t="s">
        <v>409</v>
      </c>
      <c r="M120" s="49" t="s">
        <v>410</v>
      </c>
      <c r="N120" s="47" t="s">
        <v>400</v>
      </c>
      <c r="O120" s="51">
        <v>3</v>
      </c>
      <c r="P120" s="51">
        <v>7</v>
      </c>
      <c r="Q120" s="36">
        <v>11</v>
      </c>
      <c r="R120" s="36">
        <v>1</v>
      </c>
      <c r="S120" s="36">
        <v>25</v>
      </c>
      <c r="T120" s="52">
        <v>27</v>
      </c>
      <c r="U120" s="52">
        <v>2</v>
      </c>
      <c r="V120" s="52">
        <v>23</v>
      </c>
      <c r="W120" s="30">
        <v>21</v>
      </c>
      <c r="X120" s="15">
        <v>11.8</v>
      </c>
      <c r="Y120" s="15">
        <v>83</v>
      </c>
      <c r="Z120" s="31" t="s">
        <v>43</v>
      </c>
      <c r="AA120" s="15">
        <v>49</v>
      </c>
      <c r="AB120" s="15">
        <v>17</v>
      </c>
      <c r="AC120" s="17" t="s">
        <v>53</v>
      </c>
      <c r="AD120" s="10">
        <v>-0.88251247820000001</v>
      </c>
      <c r="AE120" s="9">
        <v>-3.3313173639999999E-2</v>
      </c>
      <c r="AF120" s="9">
        <v>0.83451937580000002</v>
      </c>
      <c r="AG120" s="6" t="str">
        <f t="shared" si="10"/>
        <v>Normal</v>
      </c>
      <c r="AH120" s="7" t="str">
        <f t="shared" si="11"/>
        <v>BB Normal</v>
      </c>
      <c r="AI120" s="8" t="str">
        <f t="shared" si="12"/>
        <v>Normal</v>
      </c>
    </row>
    <row r="121" spans="1:35" ht="15.6">
      <c r="A121" s="35"/>
      <c r="B121" s="20">
        <v>3</v>
      </c>
      <c r="C121" s="48" t="s">
        <v>558</v>
      </c>
      <c r="D121" s="41" t="s">
        <v>48</v>
      </c>
      <c r="E121" s="47">
        <v>1</v>
      </c>
      <c r="F121" s="49" t="s">
        <v>559</v>
      </c>
      <c r="G121" s="50" t="s">
        <v>560</v>
      </c>
      <c r="H121" s="20">
        <v>3</v>
      </c>
      <c r="I121" s="20">
        <v>50</v>
      </c>
      <c r="J121" s="31">
        <v>1</v>
      </c>
      <c r="K121" s="31" t="s">
        <v>57</v>
      </c>
      <c r="L121" s="51" t="s">
        <v>561</v>
      </c>
      <c r="M121" s="49" t="s">
        <v>559</v>
      </c>
      <c r="N121" s="47" t="s">
        <v>400</v>
      </c>
      <c r="O121" s="51">
        <v>2</v>
      </c>
      <c r="P121" s="51">
        <v>7</v>
      </c>
      <c r="Q121" s="36">
        <v>11</v>
      </c>
      <c r="R121" s="36">
        <v>1</v>
      </c>
      <c r="S121" s="36">
        <v>25</v>
      </c>
      <c r="T121" s="52">
        <v>24</v>
      </c>
      <c r="U121" s="52">
        <v>3</v>
      </c>
      <c r="V121" s="52">
        <v>23</v>
      </c>
      <c r="W121" s="30">
        <v>21</v>
      </c>
      <c r="X121" s="31">
        <v>10.5</v>
      </c>
      <c r="Y121" s="31">
        <v>81</v>
      </c>
      <c r="Z121" s="31" t="s">
        <v>43</v>
      </c>
      <c r="AA121" s="31">
        <v>48</v>
      </c>
      <c r="AB121" s="31">
        <v>17</v>
      </c>
      <c r="AC121" s="17" t="s">
        <v>53</v>
      </c>
      <c r="AD121" s="10">
        <v>-1.6219598710000001</v>
      </c>
      <c r="AE121" s="9">
        <v>-0.94239032290000002</v>
      </c>
      <c r="AF121" s="9">
        <v>-0.16036189570000001</v>
      </c>
      <c r="AG121" s="6" t="str">
        <f t="shared" si="10"/>
        <v>Normal</v>
      </c>
      <c r="AH121" s="7" t="str">
        <f t="shared" si="11"/>
        <v>BB Normal</v>
      </c>
      <c r="AI121" s="8" t="str">
        <f t="shared" si="12"/>
        <v>Normal</v>
      </c>
    </row>
    <row r="122" spans="1:35" ht="15.6">
      <c r="A122" s="35"/>
      <c r="B122" s="20">
        <v>2</v>
      </c>
      <c r="C122" s="48" t="s">
        <v>562</v>
      </c>
      <c r="D122" s="41" t="s">
        <v>48</v>
      </c>
      <c r="E122" s="47">
        <v>1</v>
      </c>
      <c r="F122" s="49" t="s">
        <v>563</v>
      </c>
      <c r="G122" s="50" t="s">
        <v>564</v>
      </c>
      <c r="H122" s="20">
        <v>3.1</v>
      </c>
      <c r="I122" s="20">
        <v>50</v>
      </c>
      <c r="J122" s="31">
        <v>1</v>
      </c>
      <c r="K122" s="31" t="s">
        <v>57</v>
      </c>
      <c r="L122" s="51" t="s">
        <v>565</v>
      </c>
      <c r="M122" s="57" t="s">
        <v>566</v>
      </c>
      <c r="N122" s="47" t="s">
        <v>400</v>
      </c>
      <c r="O122" s="51">
        <v>3</v>
      </c>
      <c r="P122" s="51">
        <v>7</v>
      </c>
      <c r="Q122" s="36">
        <v>11</v>
      </c>
      <c r="R122" s="36">
        <v>1</v>
      </c>
      <c r="S122" s="36">
        <v>25</v>
      </c>
      <c r="T122" s="52">
        <v>29</v>
      </c>
      <c r="U122" s="52">
        <v>3</v>
      </c>
      <c r="V122" s="52">
        <v>23</v>
      </c>
      <c r="W122" s="30">
        <v>21</v>
      </c>
      <c r="X122" s="31">
        <v>9.6999999999999993</v>
      </c>
      <c r="Y122" s="31">
        <v>80</v>
      </c>
      <c r="Z122" s="31" t="s">
        <v>43</v>
      </c>
      <c r="AA122" s="31">
        <v>48</v>
      </c>
      <c r="AB122" s="31">
        <v>17</v>
      </c>
      <c r="AC122" s="17" t="s">
        <v>53</v>
      </c>
      <c r="AD122" s="10">
        <v>-1.920152337</v>
      </c>
      <c r="AE122" s="9">
        <v>-1.620031277</v>
      </c>
      <c r="AF122" s="9">
        <v>-0.92917421820000001</v>
      </c>
      <c r="AG122" s="6" t="str">
        <f t="shared" si="10"/>
        <v>Normal</v>
      </c>
      <c r="AH122" s="7" t="str">
        <f t="shared" si="11"/>
        <v>BB Normal</v>
      </c>
      <c r="AI122" s="8" t="str">
        <f t="shared" si="12"/>
        <v>Normal</v>
      </c>
    </row>
    <row r="123" spans="1:35" ht="15.6">
      <c r="A123" s="35"/>
      <c r="B123" s="20">
        <v>1</v>
      </c>
      <c r="C123" s="48" t="s">
        <v>567</v>
      </c>
      <c r="D123" s="41" t="s">
        <v>48</v>
      </c>
      <c r="E123" s="47">
        <v>1</v>
      </c>
      <c r="F123" s="49" t="s">
        <v>568</v>
      </c>
      <c r="G123" s="50" t="s">
        <v>569</v>
      </c>
      <c r="H123" s="20">
        <v>3</v>
      </c>
      <c r="I123" s="20">
        <v>50</v>
      </c>
      <c r="J123" s="31">
        <v>1</v>
      </c>
      <c r="K123" s="31" t="s">
        <v>57</v>
      </c>
      <c r="L123" s="51" t="s">
        <v>570</v>
      </c>
      <c r="M123" s="58" t="s">
        <v>571</v>
      </c>
      <c r="N123" s="47" t="s">
        <v>400</v>
      </c>
      <c r="O123" s="51">
        <v>2</v>
      </c>
      <c r="P123" s="51">
        <v>7</v>
      </c>
      <c r="Q123" s="36">
        <v>11</v>
      </c>
      <c r="R123" s="36">
        <v>1</v>
      </c>
      <c r="S123" s="36">
        <v>25</v>
      </c>
      <c r="T123" s="52">
        <v>29</v>
      </c>
      <c r="U123" s="52">
        <v>4</v>
      </c>
      <c r="V123" s="52">
        <v>23</v>
      </c>
      <c r="W123" s="30">
        <v>20</v>
      </c>
      <c r="X123" s="31">
        <v>12</v>
      </c>
      <c r="Y123" s="31">
        <v>81</v>
      </c>
      <c r="Z123" s="31" t="s">
        <v>43</v>
      </c>
      <c r="AA123" s="31">
        <v>48</v>
      </c>
      <c r="AB123" s="31">
        <v>17</v>
      </c>
      <c r="AC123" s="17" t="s">
        <v>53</v>
      </c>
      <c r="AD123" s="10">
        <v>-1.278234517</v>
      </c>
      <c r="AE123" s="9">
        <v>0.42449467089999998</v>
      </c>
      <c r="AF123" s="9">
        <v>1.5097884909999999</v>
      </c>
      <c r="AG123" s="6" t="str">
        <f t="shared" si="10"/>
        <v>Normal</v>
      </c>
      <c r="AH123" s="7" t="str">
        <f t="shared" si="11"/>
        <v>BB Normal</v>
      </c>
      <c r="AI123" s="8" t="str">
        <f t="shared" si="12"/>
        <v>R.Gz.Lbh</v>
      </c>
    </row>
    <row r="124" spans="1:35" ht="15.6">
      <c r="A124" s="35"/>
      <c r="B124" s="20">
        <v>1</v>
      </c>
      <c r="C124" s="48" t="s">
        <v>572</v>
      </c>
      <c r="D124" s="41" t="s">
        <v>48</v>
      </c>
      <c r="E124" s="47">
        <v>1</v>
      </c>
      <c r="F124" s="49" t="s">
        <v>573</v>
      </c>
      <c r="G124" s="50" t="s">
        <v>574</v>
      </c>
      <c r="H124" s="20">
        <v>4</v>
      </c>
      <c r="I124" s="20">
        <v>53</v>
      </c>
      <c r="J124" s="31">
        <v>1</v>
      </c>
      <c r="K124" s="31" t="s">
        <v>57</v>
      </c>
      <c r="L124" s="51" t="s">
        <v>575</v>
      </c>
      <c r="M124" s="49" t="s">
        <v>573</v>
      </c>
      <c r="N124" s="47" t="s">
        <v>400</v>
      </c>
      <c r="O124" s="51">
        <v>1</v>
      </c>
      <c r="P124" s="51">
        <v>7</v>
      </c>
      <c r="Q124" s="36">
        <v>11</v>
      </c>
      <c r="R124" s="36">
        <v>1</v>
      </c>
      <c r="S124" s="36">
        <v>25</v>
      </c>
      <c r="T124" s="52">
        <v>30</v>
      </c>
      <c r="U124" s="52">
        <v>5</v>
      </c>
      <c r="V124" s="52">
        <v>23</v>
      </c>
      <c r="W124" s="30">
        <v>19</v>
      </c>
      <c r="X124" s="31">
        <v>10.5</v>
      </c>
      <c r="Y124" s="31">
        <v>81.5</v>
      </c>
      <c r="Z124" s="31" t="s">
        <v>43</v>
      </c>
      <c r="AA124" s="31">
        <v>47</v>
      </c>
      <c r="AB124" s="31">
        <v>16</v>
      </c>
      <c r="AC124" s="17" t="s">
        <v>53</v>
      </c>
      <c r="AD124" s="10">
        <v>-0.77930200540000005</v>
      </c>
      <c r="AE124" s="9">
        <v>-0.60305018129999999</v>
      </c>
      <c r="AF124" s="9">
        <v>-0.27455126990000001</v>
      </c>
      <c r="AG124" s="6" t="str">
        <f t="shared" si="10"/>
        <v>Normal</v>
      </c>
      <c r="AH124" s="7" t="str">
        <f t="shared" si="11"/>
        <v>BB Normal</v>
      </c>
      <c r="AI124" s="8" t="str">
        <f t="shared" si="12"/>
        <v>Normal</v>
      </c>
    </row>
    <row r="125" spans="1:35" ht="15.6">
      <c r="A125" s="35"/>
      <c r="B125" s="20">
        <v>3</v>
      </c>
      <c r="C125" s="48" t="s">
        <v>576</v>
      </c>
      <c r="D125" s="41" t="s">
        <v>48</v>
      </c>
      <c r="E125" s="47">
        <v>1</v>
      </c>
      <c r="F125" s="49" t="s">
        <v>577</v>
      </c>
      <c r="G125" s="50" t="s">
        <v>578</v>
      </c>
      <c r="H125" s="20">
        <v>3</v>
      </c>
      <c r="I125" s="20">
        <v>50</v>
      </c>
      <c r="J125" s="31">
        <v>1</v>
      </c>
      <c r="K125" s="31" t="s">
        <v>57</v>
      </c>
      <c r="L125" s="51" t="s">
        <v>579</v>
      </c>
      <c r="M125" s="49" t="s">
        <v>508</v>
      </c>
      <c r="N125" s="47" t="s">
        <v>400</v>
      </c>
      <c r="O125" s="51">
        <v>4</v>
      </c>
      <c r="P125" s="51">
        <v>7</v>
      </c>
      <c r="Q125" s="36">
        <v>11</v>
      </c>
      <c r="R125" s="36">
        <v>1</v>
      </c>
      <c r="S125" s="36">
        <v>25</v>
      </c>
      <c r="T125" s="52">
        <v>1</v>
      </c>
      <c r="U125" s="52">
        <v>7</v>
      </c>
      <c r="V125" s="52">
        <v>23</v>
      </c>
      <c r="W125" s="30">
        <v>18</v>
      </c>
      <c r="X125" s="31">
        <v>10.7</v>
      </c>
      <c r="Y125" s="31">
        <v>78.5</v>
      </c>
      <c r="Z125" s="31" t="s">
        <v>43</v>
      </c>
      <c r="AA125" s="31">
        <v>47</v>
      </c>
      <c r="AB125" s="31">
        <v>16</v>
      </c>
      <c r="AC125" s="17" t="s">
        <v>53</v>
      </c>
      <c r="AD125" s="10">
        <v>-1.523965161</v>
      </c>
      <c r="AE125" s="9">
        <v>-0.26403187630000002</v>
      </c>
      <c r="AF125" s="9">
        <v>0.62883266670000004</v>
      </c>
      <c r="AG125" s="6" t="str">
        <f t="shared" si="10"/>
        <v>Normal</v>
      </c>
      <c r="AH125" s="7" t="str">
        <f t="shared" si="11"/>
        <v>BB Normal</v>
      </c>
      <c r="AI125" s="8" t="str">
        <f t="shared" si="12"/>
        <v>Normal</v>
      </c>
    </row>
    <row r="126" spans="1:35" ht="15.6">
      <c r="A126" s="35"/>
      <c r="B126" s="20"/>
      <c r="C126" s="48"/>
      <c r="D126" s="41"/>
      <c r="E126" s="47"/>
      <c r="F126" s="49"/>
      <c r="G126" s="50"/>
      <c r="H126" s="20"/>
      <c r="I126" s="20"/>
      <c r="J126" s="31"/>
      <c r="K126" s="31"/>
      <c r="L126" s="51"/>
      <c r="M126" s="49"/>
      <c r="N126" s="47"/>
      <c r="O126" s="51"/>
      <c r="P126" s="51"/>
      <c r="Q126" s="36"/>
      <c r="R126" s="36"/>
      <c r="S126" s="36"/>
      <c r="T126" s="52"/>
      <c r="U126" s="52"/>
      <c r="V126" s="52"/>
      <c r="W126" s="30"/>
      <c r="X126" s="31"/>
      <c r="Y126" s="31"/>
      <c r="Z126" s="31"/>
      <c r="AA126" s="31"/>
      <c r="AB126" s="31"/>
      <c r="AC126" s="17" t="s">
        <v>53</v>
      </c>
      <c r="AD126" s="10"/>
      <c r="AE126" s="9"/>
      <c r="AF126" s="9"/>
      <c r="AG126" s="6" t="str">
        <f t="shared" si="10"/>
        <v xml:space="preserve"> </v>
      </c>
      <c r="AH126" s="7" t="str">
        <f t="shared" si="11"/>
        <v xml:space="preserve"> </v>
      </c>
      <c r="AI126" s="8" t="str">
        <f t="shared" si="12"/>
        <v/>
      </c>
    </row>
    <row r="127" spans="1:35" ht="15.6">
      <c r="A127" s="35"/>
      <c r="B127" s="20">
        <v>1</v>
      </c>
      <c r="C127" s="48"/>
      <c r="D127" s="41"/>
      <c r="E127" s="47">
        <v>1</v>
      </c>
      <c r="F127" s="47"/>
      <c r="G127" s="50" t="s">
        <v>580</v>
      </c>
      <c r="H127" s="20">
        <v>3.5</v>
      </c>
      <c r="I127" s="20">
        <v>53</v>
      </c>
      <c r="J127" s="31">
        <v>1</v>
      </c>
      <c r="K127" s="31" t="s">
        <v>57</v>
      </c>
      <c r="L127" s="51" t="s">
        <v>581</v>
      </c>
      <c r="M127" s="31"/>
      <c r="N127" s="47" t="s">
        <v>400</v>
      </c>
      <c r="O127" s="51">
        <v>3</v>
      </c>
      <c r="P127" s="51">
        <v>7</v>
      </c>
      <c r="Q127" s="36">
        <v>11</v>
      </c>
      <c r="R127" s="36">
        <v>1</v>
      </c>
      <c r="S127" s="36">
        <v>25</v>
      </c>
      <c r="T127" s="52">
        <v>7</v>
      </c>
      <c r="U127" s="52">
        <v>8</v>
      </c>
      <c r="V127" s="52">
        <v>23</v>
      </c>
      <c r="W127" s="30">
        <v>17</v>
      </c>
      <c r="X127" s="31">
        <v>11.8</v>
      </c>
      <c r="Y127" s="31">
        <v>81.5</v>
      </c>
      <c r="Z127" s="31" t="s">
        <v>43</v>
      </c>
      <c r="AA127" s="31">
        <v>49</v>
      </c>
      <c r="AB127" s="31">
        <v>17</v>
      </c>
      <c r="AC127" s="17" t="s">
        <v>53</v>
      </c>
      <c r="AD127" s="10">
        <v>2.6370920570000001E-2</v>
      </c>
      <c r="AE127" s="9">
        <v>0.82458325690000001</v>
      </c>
      <c r="AF127" s="9">
        <v>1.188114836</v>
      </c>
      <c r="AG127" s="6" t="str">
        <f t="shared" si="10"/>
        <v>Normal</v>
      </c>
      <c r="AH127" s="7" t="str">
        <f t="shared" si="11"/>
        <v>BB Normal</v>
      </c>
      <c r="AI127" s="8" t="str">
        <f t="shared" si="12"/>
        <v>R.Gz.Lbh</v>
      </c>
    </row>
    <row r="128" spans="1:35" ht="15.6">
      <c r="A128" s="35"/>
      <c r="B128" s="20">
        <v>3</v>
      </c>
      <c r="C128" s="48" t="s">
        <v>582</v>
      </c>
      <c r="D128" s="41" t="s">
        <v>48</v>
      </c>
      <c r="E128" s="47">
        <v>1</v>
      </c>
      <c r="F128" s="49" t="s">
        <v>583</v>
      </c>
      <c r="G128" s="50" t="s">
        <v>584</v>
      </c>
      <c r="H128" s="20">
        <v>3</v>
      </c>
      <c r="I128" s="20">
        <v>50</v>
      </c>
      <c r="J128" s="31">
        <v>1</v>
      </c>
      <c r="K128" s="31" t="s">
        <v>57</v>
      </c>
      <c r="L128" s="51" t="s">
        <v>585</v>
      </c>
      <c r="M128" s="49" t="s">
        <v>586</v>
      </c>
      <c r="N128" s="47" t="s">
        <v>400</v>
      </c>
      <c r="O128" s="51">
        <v>4</v>
      </c>
      <c r="P128" s="51">
        <v>7</v>
      </c>
      <c r="Q128" s="36">
        <v>11</v>
      </c>
      <c r="R128" s="36">
        <v>1</v>
      </c>
      <c r="S128" s="36">
        <v>25</v>
      </c>
      <c r="T128" s="52">
        <v>23</v>
      </c>
      <c r="U128" s="52">
        <v>9</v>
      </c>
      <c r="V128" s="52">
        <v>23</v>
      </c>
      <c r="W128" s="30">
        <v>15</v>
      </c>
      <c r="X128" s="31">
        <v>10.1</v>
      </c>
      <c r="Y128" s="31">
        <v>81</v>
      </c>
      <c r="Z128" s="31" t="s">
        <v>43</v>
      </c>
      <c r="AA128" s="31">
        <v>46</v>
      </c>
      <c r="AB128" s="31">
        <v>16</v>
      </c>
      <c r="AC128" s="17" t="s">
        <v>53</v>
      </c>
      <c r="AD128" s="10">
        <v>0.45971827040000002</v>
      </c>
      <c r="AE128" s="9">
        <v>-0.30442688350000002</v>
      </c>
      <c r="AF128" s="9">
        <v>-0.64762900710000004</v>
      </c>
      <c r="AG128" s="6" t="str">
        <f t="shared" si="10"/>
        <v>Normal</v>
      </c>
      <c r="AH128" s="7" t="str">
        <f t="shared" si="11"/>
        <v>BB Normal</v>
      </c>
      <c r="AI128" s="8" t="str">
        <f t="shared" si="12"/>
        <v>Normal</v>
      </c>
    </row>
    <row r="129" spans="1:35" ht="15.6">
      <c r="A129" s="35"/>
      <c r="B129" s="20">
        <v>3</v>
      </c>
      <c r="C129" s="48" t="s">
        <v>587</v>
      </c>
      <c r="D129" s="41" t="s">
        <v>48</v>
      </c>
      <c r="E129" s="47">
        <v>1</v>
      </c>
      <c r="F129" s="49" t="s">
        <v>588</v>
      </c>
      <c r="G129" s="50" t="s">
        <v>589</v>
      </c>
      <c r="H129" s="20">
        <v>3</v>
      </c>
      <c r="I129" s="20">
        <v>51</v>
      </c>
      <c r="J129" s="31">
        <v>1</v>
      </c>
      <c r="K129" s="31" t="s">
        <v>57</v>
      </c>
      <c r="L129" s="51" t="s">
        <v>483</v>
      </c>
      <c r="M129" s="49" t="s">
        <v>484</v>
      </c>
      <c r="N129" s="47" t="s">
        <v>400</v>
      </c>
      <c r="O129" s="51">
        <v>4</v>
      </c>
      <c r="P129" s="51">
        <v>7</v>
      </c>
      <c r="Q129" s="36">
        <v>11</v>
      </c>
      <c r="R129" s="36">
        <v>1</v>
      </c>
      <c r="S129" s="36">
        <v>25</v>
      </c>
      <c r="T129" s="52">
        <v>4</v>
      </c>
      <c r="U129" s="52">
        <v>12</v>
      </c>
      <c r="V129" s="52">
        <v>23</v>
      </c>
      <c r="W129" s="30">
        <v>13</v>
      </c>
      <c r="X129" s="31">
        <v>8</v>
      </c>
      <c r="Y129" s="31">
        <v>73.5</v>
      </c>
      <c r="Z129" s="31" t="s">
        <v>43</v>
      </c>
      <c r="AA129" s="31">
        <v>47</v>
      </c>
      <c r="AB129" s="31">
        <v>15</v>
      </c>
      <c r="AC129" s="17" t="s">
        <v>53</v>
      </c>
      <c r="AD129" s="10">
        <v>-1.5258706230000001</v>
      </c>
      <c r="AE129" s="9">
        <v>-1.9715800809999999</v>
      </c>
      <c r="AF129" s="9">
        <v>-1.746817488</v>
      </c>
      <c r="AG129" s="6" t="str">
        <f t="shared" si="10"/>
        <v>Normal</v>
      </c>
      <c r="AH129" s="7" t="str">
        <f t="shared" si="11"/>
        <v>BB Normal</v>
      </c>
      <c r="AI129" s="8" t="str">
        <f t="shared" si="12"/>
        <v>Normal</v>
      </c>
    </row>
    <row r="130" spans="1:35" ht="15.6">
      <c r="A130" s="35"/>
      <c r="B130" s="20">
        <v>1</v>
      </c>
      <c r="C130" s="48" t="s">
        <v>582</v>
      </c>
      <c r="D130" s="41" t="s">
        <v>37</v>
      </c>
      <c r="E130" s="47">
        <v>2</v>
      </c>
      <c r="F130" s="49" t="s">
        <v>590</v>
      </c>
      <c r="G130" s="50" t="s">
        <v>591</v>
      </c>
      <c r="H130" s="20">
        <v>3</v>
      </c>
      <c r="I130" s="20">
        <v>50</v>
      </c>
      <c r="J130" s="31">
        <v>1</v>
      </c>
      <c r="K130" s="31" t="s">
        <v>57</v>
      </c>
      <c r="L130" s="51" t="s">
        <v>592</v>
      </c>
      <c r="M130" s="49" t="s">
        <v>593</v>
      </c>
      <c r="N130" s="47" t="s">
        <v>400</v>
      </c>
      <c r="O130" s="51">
        <v>2</v>
      </c>
      <c r="P130" s="51">
        <v>7</v>
      </c>
      <c r="Q130" s="36">
        <v>11</v>
      </c>
      <c r="R130" s="36">
        <v>1</v>
      </c>
      <c r="S130" s="36">
        <v>25</v>
      </c>
      <c r="T130" s="52">
        <v>23</v>
      </c>
      <c r="U130" s="52">
        <v>9</v>
      </c>
      <c r="V130" s="52">
        <v>23</v>
      </c>
      <c r="W130" s="30">
        <v>15</v>
      </c>
      <c r="X130" s="31">
        <v>9.1</v>
      </c>
      <c r="Y130" s="31">
        <v>73.5</v>
      </c>
      <c r="Z130" s="31" t="s">
        <v>43</v>
      </c>
      <c r="AA130" s="31">
        <v>46</v>
      </c>
      <c r="AB130" s="31">
        <v>17</v>
      </c>
      <c r="AC130" s="17" t="s">
        <v>53</v>
      </c>
      <c r="AD130" s="10">
        <v>-1.6957943900000001</v>
      </c>
      <c r="AE130" s="9">
        <v>-0.54984794439999995</v>
      </c>
      <c r="AF130" s="9">
        <v>0.30402031369999999</v>
      </c>
      <c r="AG130" s="6" t="str">
        <f t="shared" si="10"/>
        <v>Normal</v>
      </c>
      <c r="AH130" s="7" t="str">
        <f t="shared" si="11"/>
        <v>BB Normal</v>
      </c>
      <c r="AI130" s="8" t="str">
        <f t="shared" si="12"/>
        <v>Normal</v>
      </c>
    </row>
    <row r="131" spans="1:35" ht="15.6">
      <c r="A131" s="35"/>
      <c r="B131" s="20">
        <v>1</v>
      </c>
      <c r="C131" s="48" t="s">
        <v>594</v>
      </c>
      <c r="D131" s="41" t="s">
        <v>37</v>
      </c>
      <c r="E131" s="47">
        <v>2</v>
      </c>
      <c r="F131" s="49" t="s">
        <v>595</v>
      </c>
      <c r="G131" s="50" t="s">
        <v>596</v>
      </c>
      <c r="H131" s="20">
        <v>3.3</v>
      </c>
      <c r="I131" s="20">
        <v>49</v>
      </c>
      <c r="J131" s="31">
        <v>1</v>
      </c>
      <c r="K131" s="31" t="s">
        <v>57</v>
      </c>
      <c r="L131" s="51" t="s">
        <v>597</v>
      </c>
      <c r="M131" s="47"/>
      <c r="N131" s="47" t="s">
        <v>400</v>
      </c>
      <c r="O131" s="51">
        <v>2</v>
      </c>
      <c r="P131" s="51">
        <v>7</v>
      </c>
      <c r="Q131" s="36">
        <v>11</v>
      </c>
      <c r="R131" s="36">
        <v>1</v>
      </c>
      <c r="S131" s="36">
        <v>25</v>
      </c>
      <c r="T131" s="52">
        <v>29</v>
      </c>
      <c r="U131" s="52">
        <v>1</v>
      </c>
      <c r="V131" s="52">
        <v>24</v>
      </c>
      <c r="W131" s="30">
        <v>11</v>
      </c>
      <c r="X131" s="31">
        <v>9.6</v>
      </c>
      <c r="Y131" s="31">
        <v>71.5</v>
      </c>
      <c r="Z131" s="31" t="s">
        <v>131</v>
      </c>
      <c r="AA131" s="31">
        <v>46</v>
      </c>
      <c r="AB131" s="31">
        <v>17</v>
      </c>
      <c r="AC131" s="17" t="s">
        <v>53</v>
      </c>
      <c r="AD131" s="10">
        <v>-0.70892448679999998</v>
      </c>
      <c r="AE131" s="9">
        <v>0.70801645020000004</v>
      </c>
      <c r="AF131" s="9">
        <v>1.445061006</v>
      </c>
      <c r="AG131" s="6" t="str">
        <f t="shared" si="10"/>
        <v>Normal</v>
      </c>
      <c r="AH131" s="7" t="str">
        <f t="shared" si="11"/>
        <v>BB Normal</v>
      </c>
      <c r="AI131" s="8" t="str">
        <f t="shared" si="12"/>
        <v>R.Gz.Lbh</v>
      </c>
    </row>
    <row r="132" spans="1:35" ht="15.6">
      <c r="A132" s="35"/>
      <c r="B132" s="20">
        <v>2</v>
      </c>
      <c r="C132" s="48" t="s">
        <v>598</v>
      </c>
      <c r="D132" s="41" t="s">
        <v>37</v>
      </c>
      <c r="E132" s="47">
        <v>2</v>
      </c>
      <c r="F132" s="49" t="s">
        <v>599</v>
      </c>
      <c r="G132" s="50" t="s">
        <v>600</v>
      </c>
      <c r="H132" s="20">
        <v>3.37</v>
      </c>
      <c r="I132" s="20">
        <v>52</v>
      </c>
      <c r="J132" s="31">
        <v>1</v>
      </c>
      <c r="K132" s="31" t="s">
        <v>57</v>
      </c>
      <c r="L132" s="51" t="s">
        <v>601</v>
      </c>
      <c r="M132" s="49" t="s">
        <v>602</v>
      </c>
      <c r="N132" s="47" t="s">
        <v>400</v>
      </c>
      <c r="O132" s="51">
        <v>1</v>
      </c>
      <c r="P132" s="51">
        <v>7</v>
      </c>
      <c r="Q132" s="36">
        <v>11</v>
      </c>
      <c r="R132" s="36">
        <v>1</v>
      </c>
      <c r="S132" s="36">
        <v>25</v>
      </c>
      <c r="T132" s="52">
        <v>12</v>
      </c>
      <c r="U132" s="52">
        <v>3</v>
      </c>
      <c r="V132" s="52">
        <v>24</v>
      </c>
      <c r="W132" s="30">
        <v>9</v>
      </c>
      <c r="X132" s="31">
        <v>7.8</v>
      </c>
      <c r="Y132" s="31">
        <v>74</v>
      </c>
      <c r="Z132" s="31" t="s">
        <v>131</v>
      </c>
      <c r="AA132" s="31">
        <v>43</v>
      </c>
      <c r="AB132" s="31">
        <v>16</v>
      </c>
      <c r="AC132" s="17" t="s">
        <v>53</v>
      </c>
      <c r="AD132" s="10">
        <v>1.5845788160000001</v>
      </c>
      <c r="AE132" s="9">
        <v>-0.69641984479999997</v>
      </c>
      <c r="AF132" s="9">
        <v>-1.6068743969999999</v>
      </c>
      <c r="AG132" s="6" t="str">
        <f t="shared" ref="AG132:AG195" si="13">IF(Y132&gt;0,IF(AD132&lt;-3,"S.Pendek",IF(AD132&lt;-2,"Pendek",IF(AD132&lt;=3,"Normal","Tinggi")))," ")</f>
        <v>Normal</v>
      </c>
      <c r="AH132" s="7" t="str">
        <f t="shared" ref="AH132:AH195" si="14">IF(X132&gt;0,IF(AE132&lt;-3,"BB S.Krg",IF(AE132&lt;-2,"BB Krg",IF(AE132&lt;=1,"BB Normal","Ris Lbh")))," ")</f>
        <v>BB Normal</v>
      </c>
      <c r="AI132" s="8" t="str">
        <f t="shared" ref="AI132:AI195" si="15">IF(X132&gt;0,IF(Y132&gt;0,IF(AF132&lt;-3,"Gz.Brk",IF(AF132&lt;-2,"Gz.Krg",IF(AF132&lt;=1,"Normal",IF(AF132&lt;=2,"R.Gz.Lbh",IF(AF132&lt;=3,"Gz.Lbh","Obesitas")))))," "),"")</f>
        <v>Normal</v>
      </c>
    </row>
    <row r="133" spans="1:35" ht="15.6">
      <c r="A133" s="35"/>
      <c r="B133" s="20">
        <v>2</v>
      </c>
      <c r="C133" s="48" t="s">
        <v>603</v>
      </c>
      <c r="D133" s="41" t="s">
        <v>48</v>
      </c>
      <c r="E133" s="47">
        <v>1</v>
      </c>
      <c r="F133" s="49" t="s">
        <v>604</v>
      </c>
      <c r="G133" s="50" t="s">
        <v>605</v>
      </c>
      <c r="H133" s="20">
        <v>3</v>
      </c>
      <c r="I133" s="20">
        <v>50</v>
      </c>
      <c r="J133" s="31">
        <v>1</v>
      </c>
      <c r="K133" s="31" t="s">
        <v>57</v>
      </c>
      <c r="L133" s="51" t="s">
        <v>606</v>
      </c>
      <c r="M133" s="49" t="s">
        <v>607</v>
      </c>
      <c r="N133" s="47" t="s">
        <v>400</v>
      </c>
      <c r="O133" s="51">
        <v>3</v>
      </c>
      <c r="P133" s="51">
        <v>7</v>
      </c>
      <c r="Q133" s="36">
        <v>11</v>
      </c>
      <c r="R133" s="36">
        <v>1</v>
      </c>
      <c r="S133" s="36">
        <v>25</v>
      </c>
      <c r="T133" s="52">
        <v>14</v>
      </c>
      <c r="U133" s="52">
        <v>3</v>
      </c>
      <c r="V133" s="52">
        <v>24</v>
      </c>
      <c r="W133" s="30">
        <v>9</v>
      </c>
      <c r="X133" s="31">
        <v>10.199999999999999</v>
      </c>
      <c r="Y133" s="31">
        <v>74</v>
      </c>
      <c r="Z133" s="31" t="s">
        <v>131</v>
      </c>
      <c r="AA133" s="31">
        <v>45</v>
      </c>
      <c r="AB133" s="31">
        <v>17</v>
      </c>
      <c r="AC133" s="17" t="s">
        <v>53</v>
      </c>
      <c r="AD133" s="10">
        <v>0.34128074809999998</v>
      </c>
      <c r="AE133" s="9">
        <v>0.98902874910000005</v>
      </c>
      <c r="AF133" s="9">
        <v>1.160626876</v>
      </c>
      <c r="AG133" s="6" t="str">
        <f t="shared" si="13"/>
        <v>Normal</v>
      </c>
      <c r="AH133" s="7" t="str">
        <f t="shared" si="14"/>
        <v>BB Normal</v>
      </c>
      <c r="AI133" s="8" t="str">
        <f t="shared" si="15"/>
        <v>R.Gz.Lbh</v>
      </c>
    </row>
    <row r="134" spans="1:35" ht="15.6">
      <c r="A134" s="35"/>
      <c r="B134" s="20">
        <v>1</v>
      </c>
      <c r="C134" s="48" t="s">
        <v>608</v>
      </c>
      <c r="D134" s="41" t="s">
        <v>48</v>
      </c>
      <c r="E134" s="47">
        <v>2</v>
      </c>
      <c r="F134" s="47" t="s">
        <v>609</v>
      </c>
      <c r="G134" s="50" t="s">
        <v>610</v>
      </c>
      <c r="H134" s="20">
        <v>3.4</v>
      </c>
      <c r="I134" s="20">
        <v>50</v>
      </c>
      <c r="J134" s="31">
        <v>1</v>
      </c>
      <c r="K134" s="31" t="s">
        <v>57</v>
      </c>
      <c r="L134" s="51" t="s">
        <v>611</v>
      </c>
      <c r="M134" s="58" t="s">
        <v>612</v>
      </c>
      <c r="N134" s="47" t="s">
        <v>400</v>
      </c>
      <c r="O134" s="51">
        <v>3</v>
      </c>
      <c r="P134" s="51">
        <v>7</v>
      </c>
      <c r="Q134" s="36">
        <v>11</v>
      </c>
      <c r="R134" s="36">
        <v>1</v>
      </c>
      <c r="S134" s="36">
        <v>25</v>
      </c>
      <c r="T134" s="52">
        <v>11</v>
      </c>
      <c r="U134" s="52">
        <v>4</v>
      </c>
      <c r="V134" s="52">
        <v>24</v>
      </c>
      <c r="W134" s="30">
        <v>9</v>
      </c>
      <c r="X134" s="31">
        <v>6.7</v>
      </c>
      <c r="Y134" s="31">
        <v>69</v>
      </c>
      <c r="Z134" s="31" t="s">
        <v>131</v>
      </c>
      <c r="AA134" s="31">
        <v>45</v>
      </c>
      <c r="AB134" s="31">
        <v>15</v>
      </c>
      <c r="AC134" s="17" t="s">
        <v>53</v>
      </c>
      <c r="AD134" s="10">
        <v>-0.49193903049999999</v>
      </c>
      <c r="AE134" s="9">
        <v>-1.693365859</v>
      </c>
      <c r="AF134" s="9">
        <v>-1.9813012649999999</v>
      </c>
      <c r="AG134" s="6" t="str">
        <f t="shared" si="13"/>
        <v>Normal</v>
      </c>
      <c r="AH134" s="7" t="str">
        <f t="shared" si="14"/>
        <v>BB Normal</v>
      </c>
      <c r="AI134" s="8" t="str">
        <f t="shared" si="15"/>
        <v>Normal</v>
      </c>
    </row>
    <row r="135" spans="1:35" ht="15.6">
      <c r="A135" s="35"/>
      <c r="B135" s="20">
        <v>1</v>
      </c>
      <c r="C135" s="48" t="s">
        <v>613</v>
      </c>
      <c r="D135" s="41" t="s">
        <v>48</v>
      </c>
      <c r="E135" s="47">
        <v>1</v>
      </c>
      <c r="F135" s="49" t="s">
        <v>614</v>
      </c>
      <c r="G135" s="50" t="s">
        <v>615</v>
      </c>
      <c r="H135" s="20">
        <v>3.8</v>
      </c>
      <c r="I135" s="20">
        <v>49</v>
      </c>
      <c r="J135" s="31">
        <v>1</v>
      </c>
      <c r="K135" s="31" t="s">
        <v>57</v>
      </c>
      <c r="L135" s="51" t="s">
        <v>616</v>
      </c>
      <c r="M135" s="58" t="s">
        <v>617</v>
      </c>
      <c r="N135" s="47" t="s">
        <v>400</v>
      </c>
      <c r="O135" s="51">
        <v>4</v>
      </c>
      <c r="P135" s="51">
        <v>7</v>
      </c>
      <c r="Q135" s="36">
        <v>11</v>
      </c>
      <c r="R135" s="36">
        <v>1</v>
      </c>
      <c r="S135" s="36">
        <v>25</v>
      </c>
      <c r="T135" s="52">
        <v>8</v>
      </c>
      <c r="U135" s="52">
        <v>8</v>
      </c>
      <c r="V135" s="52">
        <v>24</v>
      </c>
      <c r="W135" s="30">
        <v>5</v>
      </c>
      <c r="X135" s="31">
        <v>7.8</v>
      </c>
      <c r="Y135" s="31">
        <v>67.5</v>
      </c>
      <c r="Z135" s="31" t="s">
        <v>131</v>
      </c>
      <c r="AA135" s="31">
        <v>42</v>
      </c>
      <c r="AB135" s="31">
        <v>16</v>
      </c>
      <c r="AC135" s="17" t="s">
        <v>53</v>
      </c>
      <c r="AD135" s="10">
        <v>0.65452461289999997</v>
      </c>
      <c r="AE135" s="9">
        <v>0.27341136939999999</v>
      </c>
      <c r="AF135" s="9">
        <v>-4.8181524980000001E-2</v>
      </c>
      <c r="AG135" s="6" t="str">
        <f t="shared" si="13"/>
        <v>Normal</v>
      </c>
      <c r="AH135" s="7" t="str">
        <f t="shared" si="14"/>
        <v>BB Normal</v>
      </c>
      <c r="AI135" s="8" t="str">
        <f t="shared" si="15"/>
        <v>Normal</v>
      </c>
    </row>
    <row r="136" spans="1:35" ht="15.6">
      <c r="A136" s="35"/>
      <c r="B136" s="48" t="s">
        <v>198</v>
      </c>
      <c r="C136" s="48" t="s">
        <v>618</v>
      </c>
      <c r="D136" s="41" t="s">
        <v>37</v>
      </c>
      <c r="E136" s="42">
        <v>2</v>
      </c>
      <c r="F136" s="47"/>
      <c r="G136" s="54" t="s">
        <v>619</v>
      </c>
      <c r="H136" s="31">
        <v>3.3</v>
      </c>
      <c r="I136" s="31">
        <v>50</v>
      </c>
      <c r="J136" s="31">
        <v>1</v>
      </c>
      <c r="K136" s="31" t="s">
        <v>57</v>
      </c>
      <c r="L136" s="30" t="s">
        <v>620</v>
      </c>
      <c r="M136" s="58" t="s">
        <v>621</v>
      </c>
      <c r="N136" s="47" t="s">
        <v>400</v>
      </c>
      <c r="O136" s="30"/>
      <c r="P136" s="30">
        <v>7</v>
      </c>
      <c r="Q136" s="36">
        <v>11</v>
      </c>
      <c r="R136" s="36">
        <v>1</v>
      </c>
      <c r="S136" s="36">
        <v>25</v>
      </c>
      <c r="T136" s="55">
        <v>10</v>
      </c>
      <c r="U136" s="55">
        <v>10</v>
      </c>
      <c r="V136" s="55">
        <v>24</v>
      </c>
      <c r="W136" s="30">
        <v>3</v>
      </c>
      <c r="X136" s="31">
        <v>5.6</v>
      </c>
      <c r="Y136" s="31">
        <v>58.5</v>
      </c>
      <c r="Z136" s="31" t="s">
        <v>131</v>
      </c>
      <c r="AA136" s="31">
        <v>38</v>
      </c>
      <c r="AB136" s="31">
        <v>14</v>
      </c>
      <c r="AC136" s="17" t="s">
        <v>53</v>
      </c>
      <c r="AD136" s="10">
        <v>-0.6765754705</v>
      </c>
      <c r="AE136" s="9">
        <v>-0.3828611885</v>
      </c>
      <c r="AF136" s="9">
        <v>0.30233901930000001</v>
      </c>
      <c r="AG136" s="6" t="str">
        <f t="shared" si="13"/>
        <v>Normal</v>
      </c>
      <c r="AH136" s="7" t="str">
        <f t="shared" si="14"/>
        <v>BB Normal</v>
      </c>
      <c r="AI136" s="8" t="str">
        <f t="shared" si="15"/>
        <v>Normal</v>
      </c>
    </row>
    <row r="137" spans="1:35" ht="15.6">
      <c r="A137" s="35"/>
      <c r="B137" s="48" t="s">
        <v>44</v>
      </c>
      <c r="C137" s="48" t="s">
        <v>622</v>
      </c>
      <c r="D137" s="41" t="s">
        <v>48</v>
      </c>
      <c r="E137" s="42">
        <v>1</v>
      </c>
      <c r="F137" s="47"/>
      <c r="G137" s="54" t="s">
        <v>623</v>
      </c>
      <c r="H137" s="31">
        <v>3.5</v>
      </c>
      <c r="I137" s="31">
        <v>51</v>
      </c>
      <c r="J137" s="31">
        <v>1</v>
      </c>
      <c r="K137" s="31" t="s">
        <v>57</v>
      </c>
      <c r="L137" s="51" t="s">
        <v>448</v>
      </c>
      <c r="M137" s="49" t="s">
        <v>449</v>
      </c>
      <c r="N137" s="47" t="s">
        <v>400</v>
      </c>
      <c r="O137" s="30">
        <v>2</v>
      </c>
      <c r="P137" s="30">
        <v>7</v>
      </c>
      <c r="Q137" s="36">
        <v>11</v>
      </c>
      <c r="R137" s="36">
        <v>1</v>
      </c>
      <c r="S137" s="36">
        <v>25</v>
      </c>
      <c r="T137" s="55">
        <v>9</v>
      </c>
      <c r="U137" s="55">
        <v>11</v>
      </c>
      <c r="V137" s="55">
        <v>24</v>
      </c>
      <c r="W137" s="30">
        <v>2</v>
      </c>
      <c r="X137" s="31">
        <v>6</v>
      </c>
      <c r="Y137" s="31">
        <v>58</v>
      </c>
      <c r="Z137" s="31" t="s">
        <v>131</v>
      </c>
      <c r="AA137" s="31">
        <v>39</v>
      </c>
      <c r="AB137" s="31">
        <v>14</v>
      </c>
      <c r="AC137" s="17" t="s">
        <v>53</v>
      </c>
      <c r="AD137" s="10">
        <v>-0.31467894190000001</v>
      </c>
      <c r="AE137" s="9">
        <v>0.50034240070000002</v>
      </c>
      <c r="AF137" s="9">
        <v>1.3512707930000001</v>
      </c>
      <c r="AG137" s="6" t="str">
        <f t="shared" si="13"/>
        <v>Normal</v>
      </c>
      <c r="AH137" s="7" t="str">
        <f t="shared" si="14"/>
        <v>BB Normal</v>
      </c>
      <c r="AI137" s="8" t="str">
        <f t="shared" si="15"/>
        <v>R.Gz.Lbh</v>
      </c>
    </row>
    <row r="138" spans="1:35" ht="15.6">
      <c r="A138" s="35"/>
      <c r="B138" s="48" t="s">
        <v>198</v>
      </c>
      <c r="C138" s="48" t="s">
        <v>624</v>
      </c>
      <c r="D138" s="41" t="s">
        <v>48</v>
      </c>
      <c r="E138" s="42">
        <v>1</v>
      </c>
      <c r="F138" s="47"/>
      <c r="G138" s="54" t="s">
        <v>625</v>
      </c>
      <c r="H138" s="31">
        <v>2.9</v>
      </c>
      <c r="I138" s="31">
        <v>49</v>
      </c>
      <c r="J138" s="31">
        <v>1</v>
      </c>
      <c r="K138" s="31" t="s">
        <v>57</v>
      </c>
      <c r="L138" s="51" t="s">
        <v>626</v>
      </c>
      <c r="M138" s="58" t="s">
        <v>627</v>
      </c>
      <c r="N138" s="47" t="s">
        <v>400</v>
      </c>
      <c r="O138" s="30">
        <v>1</v>
      </c>
      <c r="P138" s="30">
        <v>7</v>
      </c>
      <c r="Q138" s="36">
        <v>11</v>
      </c>
      <c r="R138" s="36">
        <v>1</v>
      </c>
      <c r="S138" s="36">
        <v>25</v>
      </c>
      <c r="T138" s="55">
        <v>6</v>
      </c>
      <c r="U138" s="55">
        <v>11</v>
      </c>
      <c r="V138" s="55">
        <v>24</v>
      </c>
      <c r="W138" s="30">
        <v>2</v>
      </c>
      <c r="X138" s="31">
        <v>5.2</v>
      </c>
      <c r="Y138" s="31">
        <v>58</v>
      </c>
      <c r="Z138" s="31" t="s">
        <v>131</v>
      </c>
      <c r="AA138" s="31">
        <v>40</v>
      </c>
      <c r="AB138" s="31">
        <v>14</v>
      </c>
      <c r="AC138" s="17" t="s">
        <v>53</v>
      </c>
      <c r="AD138" s="10">
        <v>-0.45907240739999999</v>
      </c>
      <c r="AE138" s="9">
        <v>-0.72216257029999997</v>
      </c>
      <c r="AF138" s="9">
        <v>-0.4497538626</v>
      </c>
      <c r="AG138" s="6" t="str">
        <f t="shared" si="13"/>
        <v>Normal</v>
      </c>
      <c r="AH138" s="7" t="str">
        <f t="shared" si="14"/>
        <v>BB Normal</v>
      </c>
      <c r="AI138" s="8" t="str">
        <f t="shared" si="15"/>
        <v>Normal</v>
      </c>
    </row>
    <row r="139" spans="1:35" ht="15.6">
      <c r="A139" s="35"/>
      <c r="B139" s="48" t="s">
        <v>198</v>
      </c>
      <c r="C139" s="48" t="s">
        <v>628</v>
      </c>
      <c r="D139" s="41" t="s">
        <v>48</v>
      </c>
      <c r="E139" s="42">
        <v>1</v>
      </c>
      <c r="F139" s="47" t="s">
        <v>629</v>
      </c>
      <c r="G139" s="54" t="s">
        <v>630</v>
      </c>
      <c r="H139" s="31">
        <v>3</v>
      </c>
      <c r="I139" s="31">
        <v>49</v>
      </c>
      <c r="J139" s="31">
        <v>1</v>
      </c>
      <c r="K139" s="31" t="s">
        <v>57</v>
      </c>
      <c r="L139" s="30" t="s">
        <v>631</v>
      </c>
      <c r="M139" s="58" t="s">
        <v>632</v>
      </c>
      <c r="N139" s="47" t="s">
        <v>400</v>
      </c>
      <c r="O139" s="30">
        <v>1</v>
      </c>
      <c r="P139" s="30">
        <v>7</v>
      </c>
      <c r="Q139" s="36">
        <v>11</v>
      </c>
      <c r="R139" s="36">
        <v>1</v>
      </c>
      <c r="S139" s="36">
        <v>25</v>
      </c>
      <c r="T139" s="55">
        <v>28</v>
      </c>
      <c r="U139" s="55">
        <v>11</v>
      </c>
      <c r="V139" s="55">
        <v>24</v>
      </c>
      <c r="W139" s="30">
        <v>1</v>
      </c>
      <c r="X139" s="31">
        <v>5.4</v>
      </c>
      <c r="Y139" s="31">
        <v>56</v>
      </c>
      <c r="Z139" s="31" t="s">
        <v>131</v>
      </c>
      <c r="AA139" s="31">
        <v>38</v>
      </c>
      <c r="AB139" s="31">
        <v>14</v>
      </c>
      <c r="AC139" s="17" t="s">
        <v>53</v>
      </c>
      <c r="AD139" s="10">
        <v>-0.17680732090000001</v>
      </c>
      <c r="AE139" s="9">
        <v>0.64465686950000001</v>
      </c>
      <c r="AF139" s="9">
        <v>1.4529573389999999</v>
      </c>
      <c r="AG139" s="6" t="str">
        <f t="shared" si="13"/>
        <v>Normal</v>
      </c>
      <c r="AH139" s="7" t="str">
        <f t="shared" si="14"/>
        <v>BB Normal</v>
      </c>
      <c r="AI139" s="8" t="str">
        <f t="shared" si="15"/>
        <v>R.Gz.Lbh</v>
      </c>
    </row>
    <row r="140" spans="1:35" ht="15.6">
      <c r="A140" s="35"/>
      <c r="B140" s="48" t="s">
        <v>198</v>
      </c>
      <c r="C140" s="48" t="s">
        <v>633</v>
      </c>
      <c r="D140" s="41" t="s">
        <v>48</v>
      </c>
      <c r="E140" s="42">
        <v>1</v>
      </c>
      <c r="F140" s="47"/>
      <c r="G140" s="54" t="s">
        <v>634</v>
      </c>
      <c r="H140" s="31">
        <v>3.3</v>
      </c>
      <c r="I140" s="31">
        <v>50</v>
      </c>
      <c r="J140" s="31">
        <v>1</v>
      </c>
      <c r="K140" s="31" t="s">
        <v>57</v>
      </c>
      <c r="L140" s="30" t="s">
        <v>635</v>
      </c>
      <c r="M140" s="31"/>
      <c r="N140" s="47" t="s">
        <v>400</v>
      </c>
      <c r="O140" s="30"/>
      <c r="P140" s="30">
        <v>7</v>
      </c>
      <c r="Q140" s="36">
        <v>11</v>
      </c>
      <c r="R140" s="36">
        <v>1</v>
      </c>
      <c r="S140" s="36">
        <v>25</v>
      </c>
      <c r="T140" s="55">
        <v>15</v>
      </c>
      <c r="U140" s="55">
        <v>11</v>
      </c>
      <c r="V140" s="55">
        <v>24</v>
      </c>
      <c r="W140" s="30">
        <v>1</v>
      </c>
      <c r="X140" s="31">
        <v>5.3</v>
      </c>
      <c r="Y140" s="31">
        <v>59</v>
      </c>
      <c r="Z140" s="31" t="s">
        <v>131</v>
      </c>
      <c r="AA140" s="31">
        <v>38</v>
      </c>
      <c r="AB140" s="31">
        <v>14</v>
      </c>
      <c r="AC140" s="17" t="s">
        <v>53</v>
      </c>
      <c r="AD140" s="10">
        <v>0.53052039870000001</v>
      </c>
      <c r="AE140" s="9">
        <v>-0.1753832243</v>
      </c>
      <c r="AF140" s="9">
        <v>-0.87105576289999997</v>
      </c>
      <c r="AG140" s="6" t="str">
        <f t="shared" si="13"/>
        <v>Normal</v>
      </c>
      <c r="AH140" s="7" t="str">
        <f t="shared" si="14"/>
        <v>BB Normal</v>
      </c>
      <c r="AI140" s="8" t="str">
        <f t="shared" si="15"/>
        <v>Normal</v>
      </c>
    </row>
    <row r="141" spans="1:35" ht="15.6">
      <c r="A141" s="35"/>
      <c r="B141" s="48" t="s">
        <v>36</v>
      </c>
      <c r="C141" s="48" t="s">
        <v>636</v>
      </c>
      <c r="D141" s="41" t="s">
        <v>37</v>
      </c>
      <c r="E141" s="42">
        <v>2</v>
      </c>
      <c r="F141" s="47"/>
      <c r="G141" s="54" t="s">
        <v>637</v>
      </c>
      <c r="H141" s="31">
        <v>3.4</v>
      </c>
      <c r="I141" s="31">
        <v>50</v>
      </c>
      <c r="J141" s="31">
        <v>1</v>
      </c>
      <c r="K141" s="31" t="s">
        <v>57</v>
      </c>
      <c r="L141" s="30" t="s">
        <v>638</v>
      </c>
      <c r="M141" s="58" t="s">
        <v>639</v>
      </c>
      <c r="N141" s="47" t="s">
        <v>400</v>
      </c>
      <c r="O141" s="30"/>
      <c r="P141" s="30">
        <v>7</v>
      </c>
      <c r="Q141" s="36">
        <v>11</v>
      </c>
      <c r="R141" s="36">
        <v>1</v>
      </c>
      <c r="S141" s="36">
        <v>25</v>
      </c>
      <c r="T141" s="55">
        <v>3</v>
      </c>
      <c r="U141" s="55">
        <v>12</v>
      </c>
      <c r="V141" s="55">
        <v>24</v>
      </c>
      <c r="W141" s="30">
        <v>1</v>
      </c>
      <c r="X141" s="31">
        <v>4.5</v>
      </c>
      <c r="Y141" s="31">
        <v>54.5</v>
      </c>
      <c r="Z141" s="31" t="s">
        <v>131</v>
      </c>
      <c r="AA141" s="31">
        <v>38</v>
      </c>
      <c r="AB141" s="31">
        <v>14</v>
      </c>
      <c r="AC141" s="17" t="s">
        <v>53</v>
      </c>
      <c r="AD141" s="10">
        <v>-5.577879057E-2</v>
      </c>
      <c r="AE141" s="9">
        <v>7.9583967229999997E-2</v>
      </c>
      <c r="AF141" s="9">
        <v>0.28614508719999998</v>
      </c>
      <c r="AG141" s="6" t="str">
        <f t="shared" si="13"/>
        <v>Normal</v>
      </c>
      <c r="AH141" s="7" t="str">
        <f t="shared" si="14"/>
        <v>BB Normal</v>
      </c>
      <c r="AI141" s="8" t="str">
        <f t="shared" si="15"/>
        <v>Normal</v>
      </c>
    </row>
    <row r="142" spans="1:35" ht="15.6">
      <c r="A142" s="35"/>
      <c r="B142" s="48" t="s">
        <v>640</v>
      </c>
      <c r="C142" s="48" t="s">
        <v>641</v>
      </c>
      <c r="D142" s="41" t="s">
        <v>37</v>
      </c>
      <c r="E142" s="42">
        <v>2</v>
      </c>
      <c r="F142" s="47"/>
      <c r="G142" s="54" t="s">
        <v>642</v>
      </c>
      <c r="H142" s="31">
        <v>3.2</v>
      </c>
      <c r="I142" s="31">
        <v>52</v>
      </c>
      <c r="J142" s="31">
        <v>1</v>
      </c>
      <c r="K142" s="31" t="s">
        <v>57</v>
      </c>
      <c r="L142" s="30" t="s">
        <v>643</v>
      </c>
      <c r="M142" s="58" t="s">
        <v>644</v>
      </c>
      <c r="N142" s="47" t="s">
        <v>400</v>
      </c>
      <c r="O142" s="30">
        <v>3</v>
      </c>
      <c r="P142" s="30">
        <v>7</v>
      </c>
      <c r="Q142" s="36">
        <v>11</v>
      </c>
      <c r="R142" s="36">
        <v>1</v>
      </c>
      <c r="S142" s="36">
        <v>25</v>
      </c>
      <c r="T142" s="55">
        <v>6</v>
      </c>
      <c r="U142" s="55">
        <v>12</v>
      </c>
      <c r="V142" s="55">
        <v>24</v>
      </c>
      <c r="W142" s="30">
        <v>1</v>
      </c>
      <c r="X142" s="31">
        <v>4.8</v>
      </c>
      <c r="Y142" s="31">
        <v>53.5</v>
      </c>
      <c r="Z142" s="31" t="s">
        <v>131</v>
      </c>
      <c r="AA142" s="31">
        <v>38</v>
      </c>
      <c r="AB142" s="31">
        <v>14</v>
      </c>
      <c r="AC142" s="17" t="s">
        <v>53</v>
      </c>
      <c r="AD142" s="10">
        <v>-0.39846247299999998</v>
      </c>
      <c r="AE142" s="9">
        <v>0.68840943809999999</v>
      </c>
      <c r="AF142" s="9">
        <v>1.7525048519999999</v>
      </c>
      <c r="AG142" s="6" t="str">
        <f t="shared" si="13"/>
        <v>Normal</v>
      </c>
      <c r="AH142" s="7" t="str">
        <f t="shared" si="14"/>
        <v>BB Normal</v>
      </c>
      <c r="AI142" s="8" t="str">
        <f t="shared" si="15"/>
        <v>R.Gz.Lbh</v>
      </c>
    </row>
    <row r="143" spans="1:35" ht="15.6">
      <c r="A143" s="35"/>
      <c r="B143" s="33" t="s">
        <v>44</v>
      </c>
      <c r="C143" s="33" t="s">
        <v>645</v>
      </c>
      <c r="D143" s="34" t="s">
        <v>37</v>
      </c>
      <c r="E143" s="31">
        <v>2</v>
      </c>
      <c r="F143" s="31" t="s">
        <v>646</v>
      </c>
      <c r="G143" s="31" t="s">
        <v>647</v>
      </c>
      <c r="H143" s="31">
        <v>3.2</v>
      </c>
      <c r="I143" s="31">
        <v>53</v>
      </c>
      <c r="J143" s="31">
        <v>1</v>
      </c>
      <c r="K143" s="31" t="s">
        <v>53</v>
      </c>
      <c r="L143" s="31" t="s">
        <v>648</v>
      </c>
      <c r="M143" s="31" t="s">
        <v>649</v>
      </c>
      <c r="N143" s="47" t="s">
        <v>650</v>
      </c>
      <c r="O143" s="31">
        <v>1</v>
      </c>
      <c r="P143" s="31">
        <v>5</v>
      </c>
      <c r="Q143" s="36">
        <v>14</v>
      </c>
      <c r="R143" s="36">
        <v>1</v>
      </c>
      <c r="S143" s="36">
        <v>25</v>
      </c>
      <c r="T143" s="37">
        <v>25</v>
      </c>
      <c r="U143" s="37">
        <v>1</v>
      </c>
      <c r="V143" s="37">
        <v>24</v>
      </c>
      <c r="W143" s="30">
        <f t="shared" ref="W143:W160" si="16">IF(E143&gt;0,IF(E143&lt;3,IF(V143&gt;0,IF((Q143-T143)&gt;=0,(S143-V143)*12+(R143-U143),(S143-V143)*12-1+(R143-U143))," "),""),"")</f>
        <v>11</v>
      </c>
      <c r="X143" s="31">
        <v>9.8000000000000007</v>
      </c>
      <c r="Y143" s="31">
        <v>75</v>
      </c>
      <c r="Z143" s="31" t="s">
        <v>339</v>
      </c>
      <c r="AA143" s="31">
        <v>46</v>
      </c>
      <c r="AB143" s="31">
        <v>17</v>
      </c>
      <c r="AC143" s="17" t="s">
        <v>53</v>
      </c>
      <c r="AD143" s="9">
        <v>-1.148276517</v>
      </c>
      <c r="AE143" s="9">
        <v>-0.36773832950000002</v>
      </c>
      <c r="AF143" s="9">
        <v>0.50034240070000002</v>
      </c>
      <c r="AG143" s="6" t="str">
        <f t="shared" si="13"/>
        <v>Normal</v>
      </c>
      <c r="AH143" s="7" t="str">
        <f t="shared" si="14"/>
        <v>BB Normal</v>
      </c>
      <c r="AI143" s="8" t="str">
        <f t="shared" si="15"/>
        <v>Normal</v>
      </c>
    </row>
    <row r="144" spans="1:35" ht="15.6">
      <c r="A144" s="35"/>
      <c r="B144" s="33" t="s">
        <v>36</v>
      </c>
      <c r="C144" s="33" t="s">
        <v>645</v>
      </c>
      <c r="D144" s="34" t="s">
        <v>37</v>
      </c>
      <c r="E144" s="31">
        <v>2</v>
      </c>
      <c r="F144" s="31" t="s">
        <v>651</v>
      </c>
      <c r="G144" s="31" t="s">
        <v>652</v>
      </c>
      <c r="H144" s="31">
        <v>3.1</v>
      </c>
      <c r="I144" s="31">
        <v>52</v>
      </c>
      <c r="J144" s="31">
        <v>1</v>
      </c>
      <c r="K144" s="31" t="s">
        <v>53</v>
      </c>
      <c r="L144" s="31" t="s">
        <v>653</v>
      </c>
      <c r="M144" s="31" t="s">
        <v>654</v>
      </c>
      <c r="N144" s="47" t="s">
        <v>650</v>
      </c>
      <c r="O144" s="15">
        <v>2</v>
      </c>
      <c r="P144" s="38">
        <v>5</v>
      </c>
      <c r="Q144" s="36">
        <v>14</v>
      </c>
      <c r="R144" s="36">
        <v>1</v>
      </c>
      <c r="S144" s="36">
        <v>25</v>
      </c>
      <c r="T144" s="39">
        <v>25</v>
      </c>
      <c r="U144" s="37">
        <v>1</v>
      </c>
      <c r="V144" s="40">
        <v>24</v>
      </c>
      <c r="W144" s="30">
        <f t="shared" si="16"/>
        <v>11</v>
      </c>
      <c r="X144" s="31">
        <v>9.6</v>
      </c>
      <c r="Y144" s="31">
        <v>74</v>
      </c>
      <c r="Z144" s="31" t="s">
        <v>339</v>
      </c>
      <c r="AA144" s="31">
        <v>43</v>
      </c>
      <c r="AB144" s="31">
        <v>17</v>
      </c>
      <c r="AC144" s="17" t="s">
        <v>53</v>
      </c>
      <c r="AD144" s="9">
        <v>-0.14331012430000001</v>
      </c>
      <c r="AE144" s="9">
        <v>-0.1075737725</v>
      </c>
      <c r="AF144" s="9">
        <v>-0.72216257029999997</v>
      </c>
      <c r="AG144" s="6" t="str">
        <f t="shared" si="13"/>
        <v>Normal</v>
      </c>
      <c r="AH144" s="7" t="str">
        <f t="shared" si="14"/>
        <v>BB Normal</v>
      </c>
      <c r="AI144" s="8" t="str">
        <f t="shared" si="15"/>
        <v>Normal</v>
      </c>
    </row>
    <row r="145" spans="1:35" ht="15.6">
      <c r="A145" s="35"/>
      <c r="B145" s="33" t="s">
        <v>292</v>
      </c>
      <c r="C145" s="33" t="s">
        <v>655</v>
      </c>
      <c r="D145" s="41" t="s">
        <v>37</v>
      </c>
      <c r="E145" s="42">
        <v>2</v>
      </c>
      <c r="F145" s="31"/>
      <c r="G145" s="42" t="s">
        <v>656</v>
      </c>
      <c r="H145" s="42">
        <v>3</v>
      </c>
      <c r="I145" s="42">
        <v>50</v>
      </c>
      <c r="J145" s="42">
        <v>1</v>
      </c>
      <c r="K145" s="42" t="s">
        <v>53</v>
      </c>
      <c r="L145" s="42" t="s">
        <v>657</v>
      </c>
      <c r="M145" s="42" t="s">
        <v>658</v>
      </c>
      <c r="N145" s="47" t="s">
        <v>650</v>
      </c>
      <c r="O145" s="43">
        <v>2</v>
      </c>
      <c r="P145" s="17">
        <v>5</v>
      </c>
      <c r="Q145" s="36">
        <v>14</v>
      </c>
      <c r="R145" s="36">
        <v>1</v>
      </c>
      <c r="S145" s="36">
        <v>25</v>
      </c>
      <c r="T145" s="39">
        <v>11</v>
      </c>
      <c r="U145" s="37">
        <v>8</v>
      </c>
      <c r="V145" s="40">
        <v>24</v>
      </c>
      <c r="W145" s="30">
        <f t="shared" si="16"/>
        <v>5</v>
      </c>
      <c r="X145" s="31">
        <v>5.55</v>
      </c>
      <c r="Y145" s="31">
        <v>64</v>
      </c>
      <c r="Z145" s="31" t="s">
        <v>339</v>
      </c>
      <c r="AA145" s="31">
        <v>41</v>
      </c>
      <c r="AB145" s="31">
        <v>14</v>
      </c>
      <c r="AC145" s="14" t="s">
        <v>222</v>
      </c>
      <c r="AD145" s="9">
        <v>0.16831626750000001</v>
      </c>
      <c r="AE145" s="9">
        <v>0.1367919615</v>
      </c>
      <c r="AF145" s="9">
        <v>0.64465686950000001</v>
      </c>
      <c r="AG145" s="6" t="str">
        <f t="shared" si="13"/>
        <v>Normal</v>
      </c>
      <c r="AH145" s="7" t="str">
        <f t="shared" si="14"/>
        <v>BB Normal</v>
      </c>
      <c r="AI145" s="8" t="str">
        <f t="shared" si="15"/>
        <v>Normal</v>
      </c>
    </row>
    <row r="146" spans="1:35" ht="15.6">
      <c r="A146" s="35"/>
      <c r="B146" s="59" t="s">
        <v>198</v>
      </c>
      <c r="C146" s="59" t="s">
        <v>659</v>
      </c>
      <c r="D146" s="60" t="s">
        <v>48</v>
      </c>
      <c r="E146" s="61">
        <v>1</v>
      </c>
      <c r="F146" s="30" t="s">
        <v>660</v>
      </c>
      <c r="G146" s="62" t="s">
        <v>661</v>
      </c>
      <c r="H146" s="62">
        <v>3</v>
      </c>
      <c r="I146" s="62">
        <v>48</v>
      </c>
      <c r="J146" s="62">
        <v>1</v>
      </c>
      <c r="K146" s="62" t="s">
        <v>53</v>
      </c>
      <c r="L146" s="62" t="s">
        <v>662</v>
      </c>
      <c r="M146" s="51" t="s">
        <v>663</v>
      </c>
      <c r="N146" s="51" t="s">
        <v>650</v>
      </c>
      <c r="O146" s="62">
        <v>1</v>
      </c>
      <c r="P146" s="62">
        <v>5</v>
      </c>
      <c r="Q146" s="30">
        <v>14</v>
      </c>
      <c r="R146" s="30">
        <v>1</v>
      </c>
      <c r="S146" s="30">
        <v>25</v>
      </c>
      <c r="T146" s="62">
        <v>12</v>
      </c>
      <c r="U146" s="62">
        <v>3</v>
      </c>
      <c r="V146" s="62">
        <v>23</v>
      </c>
      <c r="W146" s="30">
        <f t="shared" si="16"/>
        <v>22</v>
      </c>
      <c r="X146" s="30">
        <v>9.1999999999999993</v>
      </c>
      <c r="Y146" s="30">
        <v>80</v>
      </c>
      <c r="Z146" s="30" t="s">
        <v>221</v>
      </c>
      <c r="AA146" s="30">
        <v>48</v>
      </c>
      <c r="AB146" s="30">
        <v>15</v>
      </c>
      <c r="AC146" s="18" t="s">
        <v>53</v>
      </c>
      <c r="AD146" s="9">
        <v>-1.884658655</v>
      </c>
      <c r="AE146" s="9">
        <v>-1.1705098789999999</v>
      </c>
      <c r="AF146" s="10">
        <v>-0.31467894190000001</v>
      </c>
      <c r="AG146" s="6" t="str">
        <f t="shared" si="13"/>
        <v>Normal</v>
      </c>
      <c r="AH146" s="7" t="str">
        <f t="shared" si="14"/>
        <v>BB Normal</v>
      </c>
      <c r="AI146" s="8" t="str">
        <f t="shared" si="15"/>
        <v>Normal</v>
      </c>
    </row>
    <row r="147" spans="1:35" ht="15.6">
      <c r="A147" s="35"/>
      <c r="B147" s="59" t="s">
        <v>36</v>
      </c>
      <c r="C147" s="59" t="s">
        <v>664</v>
      </c>
      <c r="D147" s="60" t="s">
        <v>48</v>
      </c>
      <c r="E147" s="61">
        <v>1</v>
      </c>
      <c r="F147" s="30" t="s">
        <v>665</v>
      </c>
      <c r="G147" s="62" t="s">
        <v>666</v>
      </c>
      <c r="H147" s="62">
        <v>3</v>
      </c>
      <c r="I147" s="62">
        <v>50</v>
      </c>
      <c r="J147" s="62">
        <v>1</v>
      </c>
      <c r="K147" s="62" t="s">
        <v>53</v>
      </c>
      <c r="L147" s="62" t="s">
        <v>667</v>
      </c>
      <c r="M147" s="51" t="s">
        <v>668</v>
      </c>
      <c r="N147" s="51" t="s">
        <v>650</v>
      </c>
      <c r="O147" s="62">
        <v>1</v>
      </c>
      <c r="P147" s="62">
        <v>5</v>
      </c>
      <c r="Q147" s="30">
        <v>14</v>
      </c>
      <c r="R147" s="30">
        <v>1</v>
      </c>
      <c r="S147" s="30">
        <v>25</v>
      </c>
      <c r="T147" s="62">
        <v>16</v>
      </c>
      <c r="U147" s="62">
        <v>11</v>
      </c>
      <c r="V147" s="62">
        <v>23</v>
      </c>
      <c r="W147" s="30">
        <f t="shared" si="16"/>
        <v>13</v>
      </c>
      <c r="X147" s="30">
        <v>7.08</v>
      </c>
      <c r="Y147" s="30">
        <v>72</v>
      </c>
      <c r="Z147" s="30" t="s">
        <v>339</v>
      </c>
      <c r="AA147" s="30">
        <v>45.5</v>
      </c>
      <c r="AB147" s="30">
        <v>12</v>
      </c>
      <c r="AC147" s="18" t="s">
        <v>53</v>
      </c>
      <c r="AD147" s="9">
        <v>-7.7758666320000003E-2</v>
      </c>
      <c r="AE147" s="9">
        <v>-0.92490868749999999</v>
      </c>
      <c r="AF147" s="10">
        <v>-0.45907240739999999</v>
      </c>
      <c r="AG147" s="6" t="str">
        <f t="shared" si="13"/>
        <v>Normal</v>
      </c>
      <c r="AH147" s="7" t="str">
        <f t="shared" si="14"/>
        <v>BB Normal</v>
      </c>
      <c r="AI147" s="8" t="str">
        <f t="shared" si="15"/>
        <v>Normal</v>
      </c>
    </row>
    <row r="148" spans="1:35" ht="15.6">
      <c r="A148" s="35"/>
      <c r="B148" s="59" t="s">
        <v>36</v>
      </c>
      <c r="C148" s="59" t="s">
        <v>669</v>
      </c>
      <c r="D148" s="63" t="s">
        <v>48</v>
      </c>
      <c r="E148" s="61">
        <v>1</v>
      </c>
      <c r="F148" s="30" t="s">
        <v>670</v>
      </c>
      <c r="G148" s="61" t="s">
        <v>671</v>
      </c>
      <c r="H148" s="61">
        <v>3.9</v>
      </c>
      <c r="I148" s="61">
        <v>51</v>
      </c>
      <c r="J148" s="61">
        <v>1</v>
      </c>
      <c r="K148" s="61" t="s">
        <v>53</v>
      </c>
      <c r="L148" s="61" t="s">
        <v>672</v>
      </c>
      <c r="M148" s="51">
        <v>351516410940005</v>
      </c>
      <c r="N148" s="51" t="s">
        <v>650</v>
      </c>
      <c r="O148" s="61">
        <v>2</v>
      </c>
      <c r="P148" s="64">
        <v>5</v>
      </c>
      <c r="Q148" s="30">
        <v>14</v>
      </c>
      <c r="R148" s="30">
        <v>1</v>
      </c>
      <c r="S148" s="30">
        <v>25</v>
      </c>
      <c r="T148" s="61">
        <v>7</v>
      </c>
      <c r="U148" s="64">
        <v>4</v>
      </c>
      <c r="V148" s="64">
        <v>22</v>
      </c>
      <c r="W148" s="30">
        <f t="shared" si="16"/>
        <v>33</v>
      </c>
      <c r="X148" s="30">
        <v>14.2</v>
      </c>
      <c r="Y148" s="30">
        <v>86.1</v>
      </c>
      <c r="Z148" s="30" t="s">
        <v>221</v>
      </c>
      <c r="AA148" s="30">
        <v>48.3</v>
      </c>
      <c r="AB148" s="30">
        <v>18</v>
      </c>
      <c r="AC148" s="18" t="s">
        <v>53</v>
      </c>
      <c r="AD148" s="9">
        <v>-1.1199666939999999</v>
      </c>
      <c r="AE148" s="9">
        <v>-0.65102986240000005</v>
      </c>
      <c r="AF148" s="10">
        <v>-0.17680732090000001</v>
      </c>
      <c r="AG148" s="6" t="str">
        <f t="shared" si="13"/>
        <v>Normal</v>
      </c>
      <c r="AH148" s="7" t="str">
        <f t="shared" si="14"/>
        <v>BB Normal</v>
      </c>
      <c r="AI148" s="8" t="str">
        <f t="shared" si="15"/>
        <v>Normal</v>
      </c>
    </row>
    <row r="149" spans="1:35" ht="15.6">
      <c r="A149" s="35"/>
      <c r="B149" s="33" t="s">
        <v>198</v>
      </c>
      <c r="C149" s="33" t="s">
        <v>673</v>
      </c>
      <c r="D149" s="41" t="s">
        <v>37</v>
      </c>
      <c r="E149" s="42">
        <v>2</v>
      </c>
      <c r="F149" s="31" t="s">
        <v>674</v>
      </c>
      <c r="G149" s="42" t="s">
        <v>675</v>
      </c>
      <c r="H149" s="42">
        <v>3.6</v>
      </c>
      <c r="I149" s="42">
        <v>50</v>
      </c>
      <c r="J149" s="42">
        <v>1</v>
      </c>
      <c r="K149" s="42" t="s">
        <v>53</v>
      </c>
      <c r="L149" s="42" t="s">
        <v>676</v>
      </c>
      <c r="M149" s="47" t="s">
        <v>677</v>
      </c>
      <c r="N149" s="47" t="s">
        <v>650</v>
      </c>
      <c r="O149" s="43">
        <v>2</v>
      </c>
      <c r="P149" s="17">
        <v>5</v>
      </c>
      <c r="Q149" s="36">
        <v>14</v>
      </c>
      <c r="R149" s="36">
        <v>1</v>
      </c>
      <c r="S149" s="36">
        <v>25</v>
      </c>
      <c r="T149" s="39">
        <v>3</v>
      </c>
      <c r="U149" s="37">
        <v>6</v>
      </c>
      <c r="V149" s="37">
        <v>22</v>
      </c>
      <c r="W149" s="30">
        <f t="shared" si="16"/>
        <v>31</v>
      </c>
      <c r="X149" s="31">
        <v>16</v>
      </c>
      <c r="Y149" s="31">
        <v>93.5</v>
      </c>
      <c r="Z149" s="31" t="s">
        <v>221</v>
      </c>
      <c r="AA149" s="31">
        <v>50</v>
      </c>
      <c r="AB149" s="31">
        <v>17.5</v>
      </c>
      <c r="AC149" s="18" t="s">
        <v>53</v>
      </c>
      <c r="AD149" s="9">
        <v>-0.96222559409999997</v>
      </c>
      <c r="AE149" s="9">
        <v>-1.055258314</v>
      </c>
      <c r="AF149" s="10">
        <v>0.53052039870000001</v>
      </c>
      <c r="AG149" s="6" t="str">
        <f t="shared" si="13"/>
        <v>Normal</v>
      </c>
      <c r="AH149" s="7" t="str">
        <f t="shared" si="14"/>
        <v>BB Normal</v>
      </c>
      <c r="AI149" s="8" t="str">
        <f t="shared" si="15"/>
        <v>Normal</v>
      </c>
    </row>
    <row r="150" spans="1:35" ht="15.6">
      <c r="A150" s="35"/>
      <c r="B150" s="33" t="s">
        <v>198</v>
      </c>
      <c r="C150" s="33" t="s">
        <v>678</v>
      </c>
      <c r="D150" s="41" t="s">
        <v>48</v>
      </c>
      <c r="E150" s="42">
        <v>1</v>
      </c>
      <c r="F150" s="31" t="s">
        <v>679</v>
      </c>
      <c r="G150" s="42" t="s">
        <v>680</v>
      </c>
      <c r="H150" s="42">
        <v>3.6</v>
      </c>
      <c r="I150" s="42">
        <v>50</v>
      </c>
      <c r="J150" s="42">
        <v>1</v>
      </c>
      <c r="K150" s="42" t="s">
        <v>53</v>
      </c>
      <c r="L150" s="42" t="s">
        <v>681</v>
      </c>
      <c r="M150" s="47" t="s">
        <v>682</v>
      </c>
      <c r="N150" s="47" t="s">
        <v>650</v>
      </c>
      <c r="O150" s="43">
        <v>2</v>
      </c>
      <c r="P150" s="17">
        <v>5</v>
      </c>
      <c r="Q150" s="36">
        <v>14</v>
      </c>
      <c r="R150" s="36">
        <v>1</v>
      </c>
      <c r="S150" s="36">
        <v>25</v>
      </c>
      <c r="T150" s="39">
        <v>29</v>
      </c>
      <c r="U150" s="37">
        <v>9</v>
      </c>
      <c r="V150" s="37">
        <v>22</v>
      </c>
      <c r="W150" s="30">
        <f t="shared" si="16"/>
        <v>27</v>
      </c>
      <c r="X150" s="31">
        <v>12.6</v>
      </c>
      <c r="Y150" s="31">
        <v>90</v>
      </c>
      <c r="Z150" s="31" t="s">
        <v>221</v>
      </c>
      <c r="AA150" s="31">
        <v>49</v>
      </c>
      <c r="AB150" s="31">
        <v>14.5</v>
      </c>
      <c r="AC150" s="18" t="s">
        <v>53</v>
      </c>
      <c r="AD150" s="9">
        <v>-0.85820479390000004</v>
      </c>
      <c r="AE150" s="9">
        <v>-0.81894219000000001</v>
      </c>
      <c r="AF150" s="9">
        <v>-0.86647452930000002</v>
      </c>
      <c r="AG150" s="6" t="str">
        <f t="shared" si="13"/>
        <v>Normal</v>
      </c>
      <c r="AH150" s="7" t="str">
        <f t="shared" si="14"/>
        <v>BB Normal</v>
      </c>
      <c r="AI150" s="8" t="str">
        <f t="shared" si="15"/>
        <v>Normal</v>
      </c>
    </row>
    <row r="151" spans="1:35" ht="15.6">
      <c r="A151" s="35"/>
      <c r="B151" s="33" t="s">
        <v>36</v>
      </c>
      <c r="C151" s="33" t="s">
        <v>683</v>
      </c>
      <c r="D151" s="41" t="s">
        <v>48</v>
      </c>
      <c r="E151" s="42">
        <v>1</v>
      </c>
      <c r="F151" s="31" t="s">
        <v>684</v>
      </c>
      <c r="G151" s="42" t="s">
        <v>685</v>
      </c>
      <c r="H151" s="42">
        <v>3.2</v>
      </c>
      <c r="I151" s="42">
        <v>49</v>
      </c>
      <c r="J151" s="42">
        <v>1</v>
      </c>
      <c r="K151" s="42" t="s">
        <v>53</v>
      </c>
      <c r="L151" s="42" t="s">
        <v>686</v>
      </c>
      <c r="M151" s="47" t="s">
        <v>687</v>
      </c>
      <c r="N151" s="47" t="s">
        <v>650</v>
      </c>
      <c r="O151" s="43">
        <v>3</v>
      </c>
      <c r="P151" s="17">
        <v>5</v>
      </c>
      <c r="Q151" s="36">
        <v>14</v>
      </c>
      <c r="R151" s="36">
        <v>1</v>
      </c>
      <c r="S151" s="36">
        <v>25</v>
      </c>
      <c r="T151" s="39">
        <v>11</v>
      </c>
      <c r="U151" s="37">
        <v>9</v>
      </c>
      <c r="V151" s="37">
        <v>21</v>
      </c>
      <c r="W151" s="30">
        <f t="shared" si="16"/>
        <v>40</v>
      </c>
      <c r="X151" s="31">
        <v>12.3</v>
      </c>
      <c r="Y151" s="31">
        <v>92.2</v>
      </c>
      <c r="Z151" s="31" t="s">
        <v>221</v>
      </c>
      <c r="AA151" s="31">
        <v>49.3</v>
      </c>
      <c r="AB151" s="31">
        <v>15.3</v>
      </c>
      <c r="AC151" s="18" t="s">
        <v>53</v>
      </c>
      <c r="AD151" s="9">
        <v>7.4932712740000004E-2</v>
      </c>
      <c r="AE151" s="9">
        <v>-9.1352923589999996E-2</v>
      </c>
      <c r="AF151" s="9">
        <v>-1.167356327</v>
      </c>
      <c r="AG151" s="6" t="str">
        <f t="shared" si="13"/>
        <v>Normal</v>
      </c>
      <c r="AH151" s="7" t="str">
        <f t="shared" si="14"/>
        <v>BB Normal</v>
      </c>
      <c r="AI151" s="8" t="str">
        <f t="shared" si="15"/>
        <v>Normal</v>
      </c>
    </row>
    <row r="152" spans="1:35" ht="15.6">
      <c r="A152" s="35"/>
      <c r="B152" s="33" t="s">
        <v>44</v>
      </c>
      <c r="C152" s="33" t="s">
        <v>688</v>
      </c>
      <c r="D152" s="41" t="s">
        <v>48</v>
      </c>
      <c r="E152" s="42">
        <v>1</v>
      </c>
      <c r="F152" s="31" t="s">
        <v>689</v>
      </c>
      <c r="G152" s="42" t="s">
        <v>690</v>
      </c>
      <c r="H152" s="42">
        <v>3.8</v>
      </c>
      <c r="I152" s="42">
        <v>50</v>
      </c>
      <c r="J152" s="42">
        <v>1</v>
      </c>
      <c r="K152" s="42" t="s">
        <v>53</v>
      </c>
      <c r="L152" s="42" t="s">
        <v>691</v>
      </c>
      <c r="M152" s="47">
        <v>351502506810003</v>
      </c>
      <c r="N152" s="47" t="s">
        <v>650</v>
      </c>
      <c r="O152" s="43">
        <v>2</v>
      </c>
      <c r="P152" s="17">
        <v>5</v>
      </c>
      <c r="Q152" s="36">
        <v>14</v>
      </c>
      <c r="R152" s="36">
        <v>1</v>
      </c>
      <c r="S152" s="36">
        <v>25</v>
      </c>
      <c r="T152" s="39">
        <v>28</v>
      </c>
      <c r="U152" s="37">
        <v>9</v>
      </c>
      <c r="V152" s="37">
        <v>21</v>
      </c>
      <c r="W152" s="30">
        <f t="shared" si="16"/>
        <v>39</v>
      </c>
      <c r="X152" s="31">
        <v>13.95</v>
      </c>
      <c r="Y152" s="31">
        <v>95.3</v>
      </c>
      <c r="Z152" s="31" t="s">
        <v>221</v>
      </c>
      <c r="AA152" s="31">
        <v>50</v>
      </c>
      <c r="AB152" s="31">
        <v>17</v>
      </c>
      <c r="AC152" s="18" t="s">
        <v>53</v>
      </c>
      <c r="AD152" s="9">
        <v>-7.873088282E-2</v>
      </c>
      <c r="AE152" s="9">
        <v>-3.3499935379999998E-2</v>
      </c>
      <c r="AF152" s="9">
        <v>-0.34193341319999998</v>
      </c>
      <c r="AG152" s="6" t="str">
        <f t="shared" si="13"/>
        <v>Normal</v>
      </c>
      <c r="AH152" s="7" t="str">
        <f t="shared" si="14"/>
        <v>BB Normal</v>
      </c>
      <c r="AI152" s="8" t="str">
        <f t="shared" si="15"/>
        <v>Normal</v>
      </c>
    </row>
    <row r="153" spans="1:35" ht="15.6">
      <c r="A153" s="35"/>
      <c r="B153" s="33" t="s">
        <v>198</v>
      </c>
      <c r="C153" s="33" t="s">
        <v>692</v>
      </c>
      <c r="D153" s="41" t="s">
        <v>48</v>
      </c>
      <c r="E153" s="42">
        <v>1</v>
      </c>
      <c r="F153" s="31" t="s">
        <v>693</v>
      </c>
      <c r="G153" s="42" t="s">
        <v>694</v>
      </c>
      <c r="H153" s="42">
        <v>3.4</v>
      </c>
      <c r="I153" s="42">
        <v>52</v>
      </c>
      <c r="J153" s="42">
        <v>1</v>
      </c>
      <c r="K153" s="42" t="s">
        <v>53</v>
      </c>
      <c r="L153" s="42" t="s">
        <v>653</v>
      </c>
      <c r="M153" s="47" t="s">
        <v>654</v>
      </c>
      <c r="N153" s="47" t="s">
        <v>650</v>
      </c>
      <c r="O153" s="43">
        <v>2</v>
      </c>
      <c r="P153" s="17">
        <v>5</v>
      </c>
      <c r="Q153" s="36">
        <v>14</v>
      </c>
      <c r="R153" s="36">
        <v>1</v>
      </c>
      <c r="S153" s="36">
        <v>25</v>
      </c>
      <c r="T153" s="39">
        <v>14</v>
      </c>
      <c r="U153" s="37">
        <v>10</v>
      </c>
      <c r="V153" s="37">
        <v>21</v>
      </c>
      <c r="W153" s="30">
        <f t="shared" si="16"/>
        <v>39</v>
      </c>
      <c r="X153" s="31">
        <v>15.4</v>
      </c>
      <c r="Y153" s="31">
        <v>99.2</v>
      </c>
      <c r="Z153" s="31" t="s">
        <v>221</v>
      </c>
      <c r="AA153" s="31">
        <v>50</v>
      </c>
      <c r="AB153" s="31">
        <v>15.9</v>
      </c>
      <c r="AC153" s="18" t="s">
        <v>53</v>
      </c>
      <c r="AD153" s="9">
        <v>-0.35635530700000001</v>
      </c>
      <c r="AE153" s="9">
        <v>-1.7185952390000001</v>
      </c>
      <c r="AF153" s="9">
        <v>-8.2312178779999995E-2</v>
      </c>
      <c r="AG153" s="6" t="str">
        <f t="shared" si="13"/>
        <v>Normal</v>
      </c>
      <c r="AH153" s="7" t="str">
        <f t="shared" si="14"/>
        <v>BB Normal</v>
      </c>
      <c r="AI153" s="8" t="str">
        <f t="shared" si="15"/>
        <v>Normal</v>
      </c>
    </row>
    <row r="154" spans="1:35" ht="15.6">
      <c r="A154" s="35"/>
      <c r="B154" s="33" t="s">
        <v>44</v>
      </c>
      <c r="C154" s="33" t="s">
        <v>695</v>
      </c>
      <c r="D154" s="41" t="s">
        <v>37</v>
      </c>
      <c r="E154" s="42">
        <v>2</v>
      </c>
      <c r="F154" s="31" t="s">
        <v>696</v>
      </c>
      <c r="G154" s="42" t="s">
        <v>697</v>
      </c>
      <c r="H154" s="42">
        <v>4.0999999999999996</v>
      </c>
      <c r="I154" s="42">
        <v>51</v>
      </c>
      <c r="J154" s="42">
        <v>1</v>
      </c>
      <c r="K154" s="42" t="s">
        <v>53</v>
      </c>
      <c r="L154" s="42" t="s">
        <v>698</v>
      </c>
      <c r="M154" s="47" t="s">
        <v>699</v>
      </c>
      <c r="N154" s="47" t="s">
        <v>650</v>
      </c>
      <c r="O154" s="43">
        <v>1</v>
      </c>
      <c r="P154" s="17">
        <v>5</v>
      </c>
      <c r="Q154" s="36">
        <v>14</v>
      </c>
      <c r="R154" s="36">
        <v>1</v>
      </c>
      <c r="S154" s="36">
        <v>25</v>
      </c>
      <c r="T154" s="39">
        <v>29</v>
      </c>
      <c r="U154" s="37">
        <v>11</v>
      </c>
      <c r="V154" s="37">
        <v>21</v>
      </c>
      <c r="W154" s="30">
        <f t="shared" si="16"/>
        <v>37</v>
      </c>
      <c r="X154" s="31">
        <v>11.55</v>
      </c>
      <c r="Y154" s="31">
        <v>88.4</v>
      </c>
      <c r="Z154" s="31" t="s">
        <v>221</v>
      </c>
      <c r="AA154" s="31">
        <v>51</v>
      </c>
      <c r="AB154" s="31">
        <v>15</v>
      </c>
      <c r="AC154" s="18" t="s">
        <v>53</v>
      </c>
      <c r="AD154" s="9">
        <v>-0.78896071440000004</v>
      </c>
      <c r="AE154" s="9">
        <v>-2.0292517999999999</v>
      </c>
      <c r="AF154" s="9">
        <v>-0.11911346909999999</v>
      </c>
      <c r="AG154" s="6" t="str">
        <f t="shared" si="13"/>
        <v>Normal</v>
      </c>
      <c r="AH154" s="7" t="str">
        <f t="shared" si="14"/>
        <v>BB Krg</v>
      </c>
      <c r="AI154" s="8" t="str">
        <f t="shared" si="15"/>
        <v>Normal</v>
      </c>
    </row>
    <row r="155" spans="1:35" ht="15.6">
      <c r="A155" s="35"/>
      <c r="B155" s="33" t="s">
        <v>198</v>
      </c>
      <c r="C155" s="33" t="s">
        <v>700</v>
      </c>
      <c r="D155" s="41" t="s">
        <v>48</v>
      </c>
      <c r="E155" s="42">
        <v>1</v>
      </c>
      <c r="F155" s="31" t="s">
        <v>701</v>
      </c>
      <c r="G155" s="42" t="s">
        <v>702</v>
      </c>
      <c r="H155" s="42">
        <v>4.2</v>
      </c>
      <c r="I155" s="42">
        <v>53</v>
      </c>
      <c r="J155" s="42">
        <v>1</v>
      </c>
      <c r="K155" s="42" t="s">
        <v>53</v>
      </c>
      <c r="L155" s="42" t="s">
        <v>703</v>
      </c>
      <c r="M155" s="47" t="s">
        <v>704</v>
      </c>
      <c r="N155" s="47" t="s">
        <v>650</v>
      </c>
      <c r="O155" s="43">
        <v>3</v>
      </c>
      <c r="P155" s="17">
        <v>5</v>
      </c>
      <c r="Q155" s="36">
        <v>14</v>
      </c>
      <c r="R155" s="36">
        <v>1</v>
      </c>
      <c r="S155" s="36">
        <v>25</v>
      </c>
      <c r="T155" s="39">
        <v>25</v>
      </c>
      <c r="U155" s="37">
        <v>1</v>
      </c>
      <c r="V155" s="37">
        <v>22</v>
      </c>
      <c r="W155" s="30">
        <f t="shared" si="16"/>
        <v>35</v>
      </c>
      <c r="X155" s="31">
        <v>14.5</v>
      </c>
      <c r="Y155" s="31">
        <v>94.2</v>
      </c>
      <c r="Z155" s="31" t="s">
        <v>221</v>
      </c>
      <c r="AA155" s="31">
        <v>50</v>
      </c>
      <c r="AB155" s="31">
        <v>16</v>
      </c>
      <c r="AC155" s="18" t="s">
        <v>53</v>
      </c>
      <c r="AD155" s="9">
        <v>-0.94270517399999998</v>
      </c>
      <c r="AE155" s="9">
        <v>-1.4114402239999999</v>
      </c>
      <c r="AF155" s="9">
        <v>-1.6732665369999999</v>
      </c>
      <c r="AG155" s="6" t="str">
        <f t="shared" si="13"/>
        <v>Normal</v>
      </c>
      <c r="AH155" s="7" t="str">
        <f t="shared" si="14"/>
        <v>BB Normal</v>
      </c>
      <c r="AI155" s="8" t="str">
        <f t="shared" si="15"/>
        <v>Normal</v>
      </c>
    </row>
    <row r="156" spans="1:35" ht="15.6">
      <c r="A156" s="35"/>
      <c r="B156" s="33" t="s">
        <v>198</v>
      </c>
      <c r="C156" s="33" t="s">
        <v>705</v>
      </c>
      <c r="D156" s="41" t="s">
        <v>48</v>
      </c>
      <c r="E156" s="42">
        <v>1</v>
      </c>
      <c r="F156" s="31" t="s">
        <v>706</v>
      </c>
      <c r="G156" s="42" t="s">
        <v>707</v>
      </c>
      <c r="H156" s="42">
        <v>2.5</v>
      </c>
      <c r="I156" s="42">
        <v>50</v>
      </c>
      <c r="J156" s="42">
        <v>1</v>
      </c>
      <c r="K156" s="42" t="s">
        <v>53</v>
      </c>
      <c r="L156" s="42" t="s">
        <v>708</v>
      </c>
      <c r="M156" s="47" t="s">
        <v>709</v>
      </c>
      <c r="N156" s="47" t="s">
        <v>650</v>
      </c>
      <c r="O156" s="43">
        <v>3</v>
      </c>
      <c r="P156" s="17">
        <v>5</v>
      </c>
      <c r="Q156" s="36">
        <v>14</v>
      </c>
      <c r="R156" s="36">
        <v>1</v>
      </c>
      <c r="S156" s="36">
        <v>25</v>
      </c>
      <c r="T156" s="39">
        <v>21</v>
      </c>
      <c r="U156" s="37">
        <v>3</v>
      </c>
      <c r="V156" s="37">
        <v>20</v>
      </c>
      <c r="W156" s="30">
        <f t="shared" si="16"/>
        <v>57</v>
      </c>
      <c r="X156" s="31">
        <v>14</v>
      </c>
      <c r="Y156" s="31">
        <v>103</v>
      </c>
      <c r="Z156" s="31" t="s">
        <v>221</v>
      </c>
      <c r="AA156" s="31">
        <v>46</v>
      </c>
      <c r="AB156" s="31">
        <v>16</v>
      </c>
      <c r="AC156" s="18" t="s">
        <v>53</v>
      </c>
      <c r="AD156" s="9">
        <v>-0.92968948439999999</v>
      </c>
      <c r="AE156" s="9">
        <v>-0.25925712270000001</v>
      </c>
      <c r="AF156" s="9">
        <v>1.160626876</v>
      </c>
      <c r="AG156" s="6" t="str">
        <f t="shared" si="13"/>
        <v>Normal</v>
      </c>
      <c r="AH156" s="7" t="str">
        <f t="shared" si="14"/>
        <v>BB Normal</v>
      </c>
      <c r="AI156" s="8" t="str">
        <f t="shared" si="15"/>
        <v>R.Gz.Lbh</v>
      </c>
    </row>
    <row r="157" spans="1:35" ht="15.6">
      <c r="A157" s="35"/>
      <c r="B157" s="59" t="s">
        <v>36</v>
      </c>
      <c r="C157" s="59" t="s">
        <v>710</v>
      </c>
      <c r="D157" s="63" t="s">
        <v>37</v>
      </c>
      <c r="E157" s="61">
        <v>2</v>
      </c>
      <c r="F157" s="30" t="s">
        <v>711</v>
      </c>
      <c r="G157" s="61" t="s">
        <v>712</v>
      </c>
      <c r="H157" s="61">
        <v>2.9</v>
      </c>
      <c r="I157" s="61">
        <v>48</v>
      </c>
      <c r="J157" s="61">
        <v>1</v>
      </c>
      <c r="K157" s="61" t="s">
        <v>53</v>
      </c>
      <c r="L157" s="61" t="s">
        <v>713</v>
      </c>
      <c r="M157" s="51" t="s">
        <v>714</v>
      </c>
      <c r="N157" s="51" t="s">
        <v>650</v>
      </c>
      <c r="O157" s="61">
        <v>3</v>
      </c>
      <c r="P157" s="64">
        <v>5</v>
      </c>
      <c r="Q157" s="30">
        <v>14</v>
      </c>
      <c r="R157" s="30">
        <v>1</v>
      </c>
      <c r="S157" s="30">
        <v>25</v>
      </c>
      <c r="T157" s="61">
        <v>23</v>
      </c>
      <c r="U157" s="64">
        <v>3</v>
      </c>
      <c r="V157" s="64">
        <v>20</v>
      </c>
      <c r="W157" s="30">
        <f t="shared" si="16"/>
        <v>57</v>
      </c>
      <c r="X157" s="30">
        <v>13</v>
      </c>
      <c r="Y157" s="30">
        <v>97</v>
      </c>
      <c r="Z157" s="30" t="s">
        <v>221</v>
      </c>
      <c r="AA157" s="30">
        <v>48</v>
      </c>
      <c r="AB157" s="30">
        <v>17</v>
      </c>
      <c r="AC157" s="18" t="s">
        <v>53</v>
      </c>
      <c r="AD157" s="9">
        <v>-1.1145523450000001</v>
      </c>
      <c r="AE157" s="9">
        <v>-0.1223510392</v>
      </c>
      <c r="AF157" s="9">
        <v>-1.9813012649999999</v>
      </c>
      <c r="AG157" s="6" t="str">
        <f t="shared" si="13"/>
        <v>Normal</v>
      </c>
      <c r="AH157" s="7" t="str">
        <f t="shared" si="14"/>
        <v>BB Normal</v>
      </c>
      <c r="AI157" s="8" t="str">
        <f t="shared" si="15"/>
        <v>Normal</v>
      </c>
    </row>
    <row r="158" spans="1:35" ht="15.6">
      <c r="A158" s="35"/>
      <c r="B158" s="33" t="s">
        <v>36</v>
      </c>
      <c r="C158" s="33" t="s">
        <v>715</v>
      </c>
      <c r="D158" s="41" t="s">
        <v>37</v>
      </c>
      <c r="E158" s="42">
        <v>2</v>
      </c>
      <c r="F158" s="31" t="s">
        <v>716</v>
      </c>
      <c r="G158" s="42" t="s">
        <v>717</v>
      </c>
      <c r="H158" s="42">
        <v>3.8</v>
      </c>
      <c r="I158" s="42">
        <v>48</v>
      </c>
      <c r="J158" s="42">
        <v>1</v>
      </c>
      <c r="K158" s="42" t="s">
        <v>53</v>
      </c>
      <c r="L158" s="47" t="s">
        <v>718</v>
      </c>
      <c r="M158" s="47" t="s">
        <v>719</v>
      </c>
      <c r="N158" s="47" t="s">
        <v>650</v>
      </c>
      <c r="O158" s="43">
        <v>2</v>
      </c>
      <c r="P158" s="17">
        <v>5</v>
      </c>
      <c r="Q158" s="36">
        <v>14</v>
      </c>
      <c r="R158" s="36">
        <v>1</v>
      </c>
      <c r="S158" s="36">
        <v>25</v>
      </c>
      <c r="T158" s="39">
        <v>14</v>
      </c>
      <c r="U158" s="37">
        <v>5</v>
      </c>
      <c r="V158" s="37">
        <v>20</v>
      </c>
      <c r="W158" s="30">
        <f t="shared" si="16"/>
        <v>56</v>
      </c>
      <c r="X158" s="42">
        <v>14.7</v>
      </c>
      <c r="Y158" s="32">
        <v>103</v>
      </c>
      <c r="Z158" s="32" t="s">
        <v>221</v>
      </c>
      <c r="AA158" s="32">
        <v>49</v>
      </c>
      <c r="AB158" s="32">
        <v>14.3</v>
      </c>
      <c r="AC158" s="18" t="s">
        <v>53</v>
      </c>
      <c r="AD158" s="9">
        <v>-0.183523148</v>
      </c>
      <c r="AE158" s="9">
        <v>0.81848189090000001</v>
      </c>
      <c r="AF158" s="9">
        <v>-4.8181524980000001E-2</v>
      </c>
      <c r="AG158" s="6" t="str">
        <f t="shared" si="13"/>
        <v>Normal</v>
      </c>
      <c r="AH158" s="7" t="str">
        <f t="shared" si="14"/>
        <v>BB Normal</v>
      </c>
      <c r="AI158" s="8" t="str">
        <f t="shared" si="15"/>
        <v>Normal</v>
      </c>
    </row>
    <row r="159" spans="1:35" ht="15.6">
      <c r="A159" s="35"/>
      <c r="B159" s="33" t="s">
        <v>36</v>
      </c>
      <c r="C159" s="33" t="s">
        <v>720</v>
      </c>
      <c r="D159" s="41" t="s">
        <v>37</v>
      </c>
      <c r="E159" s="42">
        <v>2</v>
      </c>
      <c r="F159" s="31" t="s">
        <v>721</v>
      </c>
      <c r="G159" s="42" t="s">
        <v>722</v>
      </c>
      <c r="H159" s="42">
        <v>3.3</v>
      </c>
      <c r="I159" s="42">
        <v>51</v>
      </c>
      <c r="J159" s="42">
        <v>1</v>
      </c>
      <c r="K159" s="42" t="s">
        <v>53</v>
      </c>
      <c r="L159" s="42" t="s">
        <v>723</v>
      </c>
      <c r="M159" s="47" t="s">
        <v>724</v>
      </c>
      <c r="N159" s="47" t="s">
        <v>650</v>
      </c>
      <c r="O159" s="43">
        <v>3</v>
      </c>
      <c r="P159" s="17">
        <v>5</v>
      </c>
      <c r="Q159" s="36">
        <v>14</v>
      </c>
      <c r="R159" s="36">
        <v>1</v>
      </c>
      <c r="S159" s="36">
        <v>25</v>
      </c>
      <c r="T159" s="39">
        <v>15</v>
      </c>
      <c r="U159" s="37">
        <v>5</v>
      </c>
      <c r="V159" s="37">
        <v>20</v>
      </c>
      <c r="W159" s="30">
        <f t="shared" si="16"/>
        <v>55</v>
      </c>
      <c r="X159" s="31">
        <v>23</v>
      </c>
      <c r="Y159" s="31">
        <v>106</v>
      </c>
      <c r="Z159" s="31" t="s">
        <v>221</v>
      </c>
      <c r="AA159" s="31">
        <v>49</v>
      </c>
      <c r="AB159" s="31">
        <v>16</v>
      </c>
      <c r="AC159" s="18" t="s">
        <v>53</v>
      </c>
      <c r="AD159" s="9">
        <v>-0.11911346909999999</v>
      </c>
      <c r="AE159" s="9">
        <v>0.90887202879999995</v>
      </c>
      <c r="AF159" s="9">
        <v>0.30233901930000001</v>
      </c>
      <c r="AG159" s="6" t="str">
        <f t="shared" si="13"/>
        <v>Normal</v>
      </c>
      <c r="AH159" s="7" t="str">
        <f t="shared" si="14"/>
        <v>BB Normal</v>
      </c>
      <c r="AI159" s="8" t="str">
        <f t="shared" si="15"/>
        <v>Normal</v>
      </c>
    </row>
    <row r="160" spans="1:35" ht="15.6">
      <c r="A160" s="35"/>
      <c r="B160" s="33" t="s">
        <v>36</v>
      </c>
      <c r="C160" s="33" t="s">
        <v>725</v>
      </c>
      <c r="D160" s="41" t="s">
        <v>37</v>
      </c>
      <c r="E160" s="42">
        <v>2</v>
      </c>
      <c r="F160" s="31" t="s">
        <v>726</v>
      </c>
      <c r="G160" s="42" t="s">
        <v>727</v>
      </c>
      <c r="H160" s="42">
        <v>3.4</v>
      </c>
      <c r="I160" s="42">
        <v>51</v>
      </c>
      <c r="J160" s="42">
        <v>1</v>
      </c>
      <c r="K160" s="42" t="s">
        <v>53</v>
      </c>
      <c r="L160" s="42" t="s">
        <v>728</v>
      </c>
      <c r="M160" s="47" t="s">
        <v>729</v>
      </c>
      <c r="N160" s="47" t="s">
        <v>650</v>
      </c>
      <c r="O160" s="43">
        <v>3</v>
      </c>
      <c r="P160" s="17">
        <v>5</v>
      </c>
      <c r="Q160" s="36">
        <v>14</v>
      </c>
      <c r="R160" s="36">
        <v>1</v>
      </c>
      <c r="S160" s="36">
        <v>25</v>
      </c>
      <c r="T160" s="39">
        <v>26</v>
      </c>
      <c r="U160" s="37">
        <v>10</v>
      </c>
      <c r="V160" s="37">
        <v>20</v>
      </c>
      <c r="W160" s="30">
        <f t="shared" si="16"/>
        <v>50</v>
      </c>
      <c r="X160" s="31">
        <v>14.7</v>
      </c>
      <c r="Y160" s="31">
        <v>96</v>
      </c>
      <c r="Z160" s="31" t="s">
        <v>221</v>
      </c>
      <c r="AA160" s="31">
        <v>50</v>
      </c>
      <c r="AB160" s="31">
        <v>19</v>
      </c>
      <c r="AC160" s="18" t="s">
        <v>53</v>
      </c>
      <c r="AD160" s="9">
        <v>-1.6732665369999999</v>
      </c>
      <c r="AE160" s="9">
        <v>0.9281518325</v>
      </c>
      <c r="AF160" s="9">
        <v>1.3512707930000001</v>
      </c>
      <c r="AG160" s="6" t="str">
        <f t="shared" si="13"/>
        <v>Normal</v>
      </c>
      <c r="AH160" s="7" t="str">
        <f t="shared" si="14"/>
        <v>BB Normal</v>
      </c>
      <c r="AI160" s="8" t="str">
        <f t="shared" si="15"/>
        <v>R.Gz.Lbh</v>
      </c>
    </row>
    <row r="161" spans="1:35" ht="15.6">
      <c r="A161" s="35"/>
      <c r="B161" s="65" t="s">
        <v>44</v>
      </c>
      <c r="C161" s="66" t="s">
        <v>730</v>
      </c>
      <c r="D161" s="67" t="s">
        <v>48</v>
      </c>
      <c r="E161" s="68">
        <v>1</v>
      </c>
      <c r="F161" s="68">
        <v>0</v>
      </c>
      <c r="G161" s="68" t="s">
        <v>731</v>
      </c>
      <c r="H161" s="68">
        <v>3</v>
      </c>
      <c r="I161" s="68">
        <v>50</v>
      </c>
      <c r="J161" s="68">
        <v>1</v>
      </c>
      <c r="K161" s="69"/>
      <c r="L161" s="68" t="s">
        <v>732</v>
      </c>
      <c r="M161" s="69">
        <v>0</v>
      </c>
      <c r="N161" s="70" t="s">
        <v>733</v>
      </c>
      <c r="O161" s="71">
        <v>3</v>
      </c>
      <c r="P161" s="68">
        <v>4</v>
      </c>
      <c r="Q161" s="72">
        <v>7</v>
      </c>
      <c r="R161" s="72">
        <v>1</v>
      </c>
      <c r="S161" s="72">
        <v>25</v>
      </c>
      <c r="T161" s="73">
        <v>16</v>
      </c>
      <c r="U161" s="73">
        <v>1</v>
      </c>
      <c r="V161" s="73">
        <v>20</v>
      </c>
      <c r="W161" s="30">
        <v>59</v>
      </c>
      <c r="X161" s="47">
        <v>18</v>
      </c>
      <c r="Y161" s="73">
        <v>106.7</v>
      </c>
      <c r="Z161" s="73" t="s">
        <v>83</v>
      </c>
      <c r="AA161" s="73">
        <v>51</v>
      </c>
      <c r="AB161" s="73">
        <v>16</v>
      </c>
      <c r="AC161" s="18" t="s">
        <v>53</v>
      </c>
      <c r="AD161" s="9">
        <v>-0.67360158810000004</v>
      </c>
      <c r="AE161" s="9">
        <v>-0.11911346909999999</v>
      </c>
      <c r="AF161" s="9">
        <v>0.41560347510000001</v>
      </c>
      <c r="AG161" s="6" t="str">
        <f t="shared" si="13"/>
        <v>Normal</v>
      </c>
      <c r="AH161" s="7" t="str">
        <f t="shared" si="14"/>
        <v>BB Normal</v>
      </c>
      <c r="AI161" s="8" t="str">
        <f t="shared" si="15"/>
        <v>Normal</v>
      </c>
    </row>
    <row r="162" spans="1:35" ht="15.6">
      <c r="A162" s="35"/>
      <c r="B162" s="67" t="s">
        <v>36</v>
      </c>
      <c r="C162" s="66" t="s">
        <v>734</v>
      </c>
      <c r="D162" s="67" t="s">
        <v>48</v>
      </c>
      <c r="E162" s="69">
        <v>1</v>
      </c>
      <c r="F162" s="69" t="s">
        <v>735</v>
      </c>
      <c r="G162" s="69" t="s">
        <v>736</v>
      </c>
      <c r="H162" s="74">
        <v>45902</v>
      </c>
      <c r="I162" s="74">
        <v>45904</v>
      </c>
      <c r="J162" s="69">
        <v>1</v>
      </c>
      <c r="K162" s="69"/>
      <c r="L162" s="69" t="s">
        <v>737</v>
      </c>
      <c r="M162" s="69" t="s">
        <v>738</v>
      </c>
      <c r="N162" s="70" t="s">
        <v>739</v>
      </c>
      <c r="O162" s="75">
        <v>3</v>
      </c>
      <c r="P162" s="69">
        <v>4</v>
      </c>
      <c r="Q162" s="76">
        <v>7</v>
      </c>
      <c r="R162" s="76">
        <v>1</v>
      </c>
      <c r="S162" s="76">
        <v>25</v>
      </c>
      <c r="T162" s="77">
        <v>11</v>
      </c>
      <c r="U162" s="77">
        <v>2</v>
      </c>
      <c r="V162" s="77">
        <v>20</v>
      </c>
      <c r="W162" s="30">
        <v>58</v>
      </c>
      <c r="X162" s="78">
        <v>14.5</v>
      </c>
      <c r="Y162" s="77">
        <v>99.1</v>
      </c>
      <c r="Z162" s="77" t="s">
        <v>83</v>
      </c>
      <c r="AA162" s="77">
        <v>48</v>
      </c>
      <c r="AB162" s="77">
        <v>15</v>
      </c>
      <c r="AC162" s="18" t="s">
        <v>53</v>
      </c>
      <c r="AD162" s="9">
        <v>-2.2311207670000002</v>
      </c>
      <c r="AE162" s="9">
        <v>-1.6732665369999999</v>
      </c>
      <c r="AF162" s="9">
        <v>-0.52223798659999998</v>
      </c>
      <c r="AG162" s="6" t="str">
        <f t="shared" si="13"/>
        <v>Pendek</v>
      </c>
      <c r="AH162" s="7" t="str">
        <f t="shared" si="14"/>
        <v>BB Normal</v>
      </c>
      <c r="AI162" s="8" t="str">
        <f t="shared" si="15"/>
        <v>Normal</v>
      </c>
    </row>
    <row r="163" spans="1:35" ht="15.6">
      <c r="A163" s="35"/>
      <c r="B163" s="67" t="s">
        <v>36</v>
      </c>
      <c r="C163" s="66" t="s">
        <v>740</v>
      </c>
      <c r="D163" s="67" t="s">
        <v>37</v>
      </c>
      <c r="E163" s="69">
        <v>2</v>
      </c>
      <c r="F163" s="69" t="s">
        <v>741</v>
      </c>
      <c r="G163" s="69" t="s">
        <v>742</v>
      </c>
      <c r="H163" s="74">
        <v>45840</v>
      </c>
      <c r="I163" s="69">
        <v>49</v>
      </c>
      <c r="J163" s="69">
        <v>1</v>
      </c>
      <c r="K163" s="69"/>
      <c r="L163" s="69" t="s">
        <v>743</v>
      </c>
      <c r="M163" s="69" t="s">
        <v>744</v>
      </c>
      <c r="N163" s="70" t="s">
        <v>739</v>
      </c>
      <c r="O163" s="75">
        <v>3</v>
      </c>
      <c r="P163" s="69">
        <v>4</v>
      </c>
      <c r="Q163" s="76">
        <v>7</v>
      </c>
      <c r="R163" s="76">
        <v>1</v>
      </c>
      <c r="S163" s="76">
        <v>25</v>
      </c>
      <c r="T163" s="77">
        <v>8</v>
      </c>
      <c r="U163" s="77">
        <v>4</v>
      </c>
      <c r="V163" s="77">
        <v>20</v>
      </c>
      <c r="W163" s="30">
        <v>56</v>
      </c>
      <c r="X163" s="78">
        <v>17.8</v>
      </c>
      <c r="Y163" s="77">
        <v>106.7</v>
      </c>
      <c r="Z163" s="77" t="s">
        <v>83</v>
      </c>
      <c r="AA163" s="77">
        <v>48</v>
      </c>
      <c r="AB163" s="77">
        <v>18</v>
      </c>
      <c r="AC163" s="18" t="s">
        <v>53</v>
      </c>
      <c r="AD163" s="9">
        <v>-0.125768508</v>
      </c>
      <c r="AE163" s="9">
        <v>4.4112128209999997E-2</v>
      </c>
      <c r="AF163" s="9">
        <v>0.27614116509999997</v>
      </c>
      <c r="AG163" s="6" t="str">
        <f t="shared" si="13"/>
        <v>Normal</v>
      </c>
      <c r="AH163" s="7" t="str">
        <f t="shared" si="14"/>
        <v>BB Normal</v>
      </c>
      <c r="AI163" s="8" t="str">
        <f t="shared" si="15"/>
        <v>Normal</v>
      </c>
    </row>
    <row r="164" spans="1:35" ht="15.6">
      <c r="A164" s="35"/>
      <c r="B164" s="67" t="s">
        <v>36</v>
      </c>
      <c r="C164" s="66" t="s">
        <v>401</v>
      </c>
      <c r="D164" s="67" t="s">
        <v>48</v>
      </c>
      <c r="E164" s="69">
        <v>1</v>
      </c>
      <c r="F164" s="69" t="s">
        <v>745</v>
      </c>
      <c r="G164" s="69" t="s">
        <v>746</v>
      </c>
      <c r="H164" s="74">
        <v>45902</v>
      </c>
      <c r="I164" s="69">
        <v>50</v>
      </c>
      <c r="J164" s="69">
        <v>1</v>
      </c>
      <c r="K164" s="69"/>
      <c r="L164" s="69" t="s">
        <v>747</v>
      </c>
      <c r="M164" s="69" t="s">
        <v>748</v>
      </c>
      <c r="N164" s="70" t="s">
        <v>739</v>
      </c>
      <c r="O164" s="75">
        <v>1</v>
      </c>
      <c r="P164" s="69">
        <v>4</v>
      </c>
      <c r="Q164" s="76">
        <v>7</v>
      </c>
      <c r="R164" s="76">
        <v>1</v>
      </c>
      <c r="S164" s="76">
        <v>25</v>
      </c>
      <c r="T164" s="77">
        <v>16</v>
      </c>
      <c r="U164" s="77">
        <v>4</v>
      </c>
      <c r="V164" s="77">
        <v>20</v>
      </c>
      <c r="W164" s="30">
        <v>56</v>
      </c>
      <c r="X164" s="78">
        <v>15.3</v>
      </c>
      <c r="Y164" s="77">
        <v>103</v>
      </c>
      <c r="Z164" s="77" t="s">
        <v>83</v>
      </c>
      <c r="AA164" s="77">
        <v>49.6</v>
      </c>
      <c r="AB164" s="77">
        <v>16</v>
      </c>
      <c r="AC164" s="18" t="s">
        <v>53</v>
      </c>
      <c r="AD164" s="9">
        <v>-1.1462648150000001</v>
      </c>
      <c r="AE164" s="9">
        <v>-1.137923856</v>
      </c>
      <c r="AF164" s="9">
        <v>-0.73091024530000004</v>
      </c>
      <c r="AG164" s="6" t="str">
        <f t="shared" si="13"/>
        <v>Normal</v>
      </c>
      <c r="AH164" s="7" t="str">
        <f t="shared" si="14"/>
        <v>BB Normal</v>
      </c>
      <c r="AI164" s="8" t="str">
        <f t="shared" si="15"/>
        <v>Normal</v>
      </c>
    </row>
    <row r="165" spans="1:35" ht="15.6">
      <c r="A165" s="35"/>
      <c r="B165" s="67" t="s">
        <v>198</v>
      </c>
      <c r="C165" s="66" t="s">
        <v>749</v>
      </c>
      <c r="D165" s="67" t="s">
        <v>48</v>
      </c>
      <c r="E165" s="69">
        <v>1</v>
      </c>
      <c r="F165" s="69" t="s">
        <v>750</v>
      </c>
      <c r="G165" s="69" t="s">
        <v>751</v>
      </c>
      <c r="H165" s="74">
        <v>45810</v>
      </c>
      <c r="I165" s="69">
        <v>45</v>
      </c>
      <c r="J165" s="69">
        <v>1</v>
      </c>
      <c r="K165" s="69"/>
      <c r="L165" s="69" t="s">
        <v>752</v>
      </c>
      <c r="M165" s="69" t="s">
        <v>753</v>
      </c>
      <c r="N165" s="70" t="s">
        <v>739</v>
      </c>
      <c r="O165" s="75">
        <v>3</v>
      </c>
      <c r="P165" s="69">
        <v>4</v>
      </c>
      <c r="Q165" s="76">
        <v>7</v>
      </c>
      <c r="R165" s="76">
        <v>1</v>
      </c>
      <c r="S165" s="76">
        <v>25</v>
      </c>
      <c r="T165" s="77">
        <v>26</v>
      </c>
      <c r="U165" s="77">
        <v>4</v>
      </c>
      <c r="V165" s="77">
        <v>20</v>
      </c>
      <c r="W165" s="30">
        <v>56</v>
      </c>
      <c r="X165" s="78">
        <v>14</v>
      </c>
      <c r="Y165" s="77">
        <v>98</v>
      </c>
      <c r="Z165" s="77" t="s">
        <v>83</v>
      </c>
      <c r="AA165" s="77">
        <v>48</v>
      </c>
      <c r="AB165" s="77">
        <v>16</v>
      </c>
      <c r="AC165" s="18" t="s">
        <v>53</v>
      </c>
      <c r="AD165" s="9">
        <v>-2.219391146</v>
      </c>
      <c r="AE165" s="9">
        <v>-1.78670653</v>
      </c>
      <c r="AF165" s="9">
        <v>-0.71974067929999996</v>
      </c>
      <c r="AG165" s="6" t="str">
        <f t="shared" si="13"/>
        <v>Pendek</v>
      </c>
      <c r="AH165" s="7" t="str">
        <f t="shared" si="14"/>
        <v>BB Normal</v>
      </c>
      <c r="AI165" s="8" t="str">
        <f t="shared" si="15"/>
        <v>Normal</v>
      </c>
    </row>
    <row r="166" spans="1:35" ht="15.6">
      <c r="A166" s="35"/>
      <c r="B166" s="67" t="s">
        <v>36</v>
      </c>
      <c r="C166" s="66" t="s">
        <v>754</v>
      </c>
      <c r="D166" s="67" t="s">
        <v>37</v>
      </c>
      <c r="E166" s="69">
        <v>2</v>
      </c>
      <c r="F166" s="69" t="s">
        <v>755</v>
      </c>
      <c r="G166" s="69" t="s">
        <v>756</v>
      </c>
      <c r="H166" s="74">
        <v>45840</v>
      </c>
      <c r="I166" s="69">
        <v>49</v>
      </c>
      <c r="J166" s="69">
        <v>1</v>
      </c>
      <c r="K166" s="69"/>
      <c r="L166" s="69" t="s">
        <v>757</v>
      </c>
      <c r="M166" s="69" t="s">
        <v>758</v>
      </c>
      <c r="N166" s="70" t="s">
        <v>739</v>
      </c>
      <c r="O166" s="75">
        <v>3</v>
      </c>
      <c r="P166" s="69">
        <v>4</v>
      </c>
      <c r="Q166" s="76">
        <v>7</v>
      </c>
      <c r="R166" s="76">
        <v>1</v>
      </c>
      <c r="S166" s="76">
        <v>25</v>
      </c>
      <c r="T166" s="77">
        <v>5</v>
      </c>
      <c r="U166" s="77">
        <v>5</v>
      </c>
      <c r="V166" s="77">
        <v>20</v>
      </c>
      <c r="W166" s="30">
        <v>56</v>
      </c>
      <c r="X166" s="78">
        <v>16.5</v>
      </c>
      <c r="Y166" s="77">
        <v>102.2</v>
      </c>
      <c r="Z166" s="77" t="s">
        <v>83</v>
      </c>
      <c r="AA166" s="77">
        <v>49</v>
      </c>
      <c r="AB166" s="77">
        <v>16</v>
      </c>
      <c r="AC166" s="18" t="s">
        <v>53</v>
      </c>
      <c r="AD166" s="9">
        <v>-1.1139591129999999</v>
      </c>
      <c r="AE166" s="9">
        <v>-0.44090164199999998</v>
      </c>
      <c r="AF166" s="9">
        <v>0.43884370109999998</v>
      </c>
      <c r="AG166" s="6" t="str">
        <f t="shared" si="13"/>
        <v>Normal</v>
      </c>
      <c r="AH166" s="7" t="str">
        <f t="shared" si="14"/>
        <v>BB Normal</v>
      </c>
      <c r="AI166" s="8" t="str">
        <f t="shared" si="15"/>
        <v>Normal</v>
      </c>
    </row>
    <row r="167" spans="1:35" ht="15.6">
      <c r="A167" s="35"/>
      <c r="B167" s="67" t="s">
        <v>198</v>
      </c>
      <c r="C167" s="66" t="s">
        <v>759</v>
      </c>
      <c r="D167" s="67" t="s">
        <v>48</v>
      </c>
      <c r="E167" s="69">
        <v>1</v>
      </c>
      <c r="F167" s="69" t="s">
        <v>760</v>
      </c>
      <c r="G167" s="69" t="s">
        <v>761</v>
      </c>
      <c r="H167" s="69">
        <v>3</v>
      </c>
      <c r="I167" s="69">
        <v>49</v>
      </c>
      <c r="J167" s="69">
        <v>1</v>
      </c>
      <c r="K167" s="69"/>
      <c r="L167" s="69" t="s">
        <v>762</v>
      </c>
      <c r="M167" s="69" t="s">
        <v>763</v>
      </c>
      <c r="N167" s="70" t="s">
        <v>739</v>
      </c>
      <c r="O167" s="75">
        <v>3</v>
      </c>
      <c r="P167" s="69">
        <v>4</v>
      </c>
      <c r="Q167" s="76">
        <v>7</v>
      </c>
      <c r="R167" s="76">
        <v>1</v>
      </c>
      <c r="S167" s="76">
        <v>25</v>
      </c>
      <c r="T167" s="77">
        <v>10</v>
      </c>
      <c r="U167" s="77">
        <v>6</v>
      </c>
      <c r="V167" s="77">
        <v>20</v>
      </c>
      <c r="W167" s="30">
        <v>54</v>
      </c>
      <c r="X167" s="78">
        <v>13.8</v>
      </c>
      <c r="Y167" s="77">
        <v>99</v>
      </c>
      <c r="Z167" s="77" t="s">
        <v>83</v>
      </c>
      <c r="AA167" s="77">
        <v>48</v>
      </c>
      <c r="AB167" s="77">
        <v>16</v>
      </c>
      <c r="AC167" s="18" t="s">
        <v>53</v>
      </c>
      <c r="AD167" s="9">
        <v>-1.843507658</v>
      </c>
      <c r="AE167" s="9">
        <v>-1.8032837690000001</v>
      </c>
      <c r="AF167" s="9">
        <v>-1.128923321</v>
      </c>
      <c r="AG167" s="6" t="str">
        <f t="shared" si="13"/>
        <v>Normal</v>
      </c>
      <c r="AH167" s="7" t="str">
        <f t="shared" si="14"/>
        <v>BB Normal</v>
      </c>
      <c r="AI167" s="8" t="str">
        <f t="shared" si="15"/>
        <v>Normal</v>
      </c>
    </row>
    <row r="168" spans="1:35" ht="15.6">
      <c r="A168" s="35"/>
      <c r="B168" s="67" t="s">
        <v>198</v>
      </c>
      <c r="C168" s="66" t="s">
        <v>764</v>
      </c>
      <c r="D168" s="67" t="s">
        <v>37</v>
      </c>
      <c r="E168" s="69">
        <v>2</v>
      </c>
      <c r="F168" s="69" t="s">
        <v>765</v>
      </c>
      <c r="G168" s="69" t="s">
        <v>766</v>
      </c>
      <c r="H168" s="74">
        <v>45902</v>
      </c>
      <c r="I168" s="69">
        <v>49</v>
      </c>
      <c r="J168" s="69">
        <v>1</v>
      </c>
      <c r="K168" s="69"/>
      <c r="L168" s="69" t="s">
        <v>767</v>
      </c>
      <c r="M168" s="69" t="s">
        <v>768</v>
      </c>
      <c r="N168" s="70" t="s">
        <v>739</v>
      </c>
      <c r="O168" s="75">
        <v>3</v>
      </c>
      <c r="P168" s="69">
        <v>4</v>
      </c>
      <c r="Q168" s="76">
        <v>7</v>
      </c>
      <c r="R168" s="76">
        <v>1</v>
      </c>
      <c r="S168" s="76">
        <v>25</v>
      </c>
      <c r="T168" s="77">
        <v>16</v>
      </c>
      <c r="U168" s="77">
        <v>8</v>
      </c>
      <c r="V168" s="77">
        <v>20</v>
      </c>
      <c r="W168" s="30">
        <v>52</v>
      </c>
      <c r="X168" s="78">
        <v>16.7</v>
      </c>
      <c r="Y168" s="77">
        <v>100.7</v>
      </c>
      <c r="Z168" s="77" t="s">
        <v>83</v>
      </c>
      <c r="AA168" s="77">
        <v>50</v>
      </c>
      <c r="AB168" s="77">
        <v>16.5</v>
      </c>
      <c r="AC168" s="18" t="s">
        <v>53</v>
      </c>
      <c r="AD168" s="9">
        <v>-1.061019723</v>
      </c>
      <c r="AE168" s="9">
        <v>-9.8573003239999998E-2</v>
      </c>
      <c r="AF168" s="9">
        <v>0.90887202879999995</v>
      </c>
      <c r="AG168" s="6" t="str">
        <f t="shared" si="13"/>
        <v>Normal</v>
      </c>
      <c r="AH168" s="7" t="str">
        <f t="shared" si="14"/>
        <v>BB Normal</v>
      </c>
      <c r="AI168" s="8" t="str">
        <f t="shared" si="15"/>
        <v>Normal</v>
      </c>
    </row>
    <row r="169" spans="1:35" ht="15.6">
      <c r="A169" s="35"/>
      <c r="B169" s="67" t="s">
        <v>198</v>
      </c>
      <c r="C169" s="66" t="s">
        <v>769</v>
      </c>
      <c r="D169" s="67" t="s">
        <v>37</v>
      </c>
      <c r="E169" s="69">
        <v>2</v>
      </c>
      <c r="F169" s="69" t="s">
        <v>770</v>
      </c>
      <c r="G169" s="69" t="s">
        <v>771</v>
      </c>
      <c r="H169" s="69">
        <v>3</v>
      </c>
      <c r="I169" s="69">
        <v>49</v>
      </c>
      <c r="J169" s="69">
        <v>1</v>
      </c>
      <c r="K169" s="69"/>
      <c r="L169" s="69" t="s">
        <v>772</v>
      </c>
      <c r="M169" s="69" t="s">
        <v>773</v>
      </c>
      <c r="N169" s="70" t="s">
        <v>739</v>
      </c>
      <c r="O169" s="75">
        <v>3</v>
      </c>
      <c r="P169" s="69">
        <v>4</v>
      </c>
      <c r="Q169" s="76">
        <v>7</v>
      </c>
      <c r="R169" s="76">
        <v>1</v>
      </c>
      <c r="S169" s="76">
        <v>25</v>
      </c>
      <c r="T169" s="77">
        <v>24</v>
      </c>
      <c r="U169" s="77">
        <v>8</v>
      </c>
      <c r="V169" s="77">
        <v>20</v>
      </c>
      <c r="W169" s="30">
        <v>52</v>
      </c>
      <c r="X169" s="78">
        <v>20.8</v>
      </c>
      <c r="Y169" s="77">
        <v>111.3</v>
      </c>
      <c r="Z169" s="77" t="s">
        <v>83</v>
      </c>
      <c r="AA169" s="77">
        <v>49</v>
      </c>
      <c r="AB169" s="77">
        <v>18.5</v>
      </c>
      <c r="AC169" s="18" t="s">
        <v>53</v>
      </c>
      <c r="AD169" s="9">
        <v>1.3370031410000001</v>
      </c>
      <c r="AE169" s="9">
        <v>1.5293114350000001</v>
      </c>
      <c r="AF169" s="9">
        <v>0.9281518325</v>
      </c>
      <c r="AG169" s="6" t="str">
        <f t="shared" si="13"/>
        <v>Normal</v>
      </c>
      <c r="AH169" s="7" t="str">
        <f t="shared" si="14"/>
        <v>Ris Lbh</v>
      </c>
      <c r="AI169" s="8" t="str">
        <f t="shared" si="15"/>
        <v>Normal</v>
      </c>
    </row>
    <row r="170" spans="1:35" ht="15.6">
      <c r="A170" s="35"/>
      <c r="B170" s="67" t="s">
        <v>44</v>
      </c>
      <c r="C170" s="66" t="s">
        <v>774</v>
      </c>
      <c r="D170" s="67" t="s">
        <v>37</v>
      </c>
      <c r="E170" s="69">
        <v>2</v>
      </c>
      <c r="F170" s="69" t="s">
        <v>775</v>
      </c>
      <c r="G170" s="69" t="s">
        <v>776</v>
      </c>
      <c r="H170" s="69">
        <v>3</v>
      </c>
      <c r="I170" s="69">
        <v>49</v>
      </c>
      <c r="J170" s="69">
        <v>1</v>
      </c>
      <c r="K170" s="69"/>
      <c r="L170" s="69" t="s">
        <v>777</v>
      </c>
      <c r="M170" s="69" t="s">
        <v>778</v>
      </c>
      <c r="N170" s="70" t="s">
        <v>739</v>
      </c>
      <c r="O170" s="75">
        <v>3</v>
      </c>
      <c r="P170" s="69">
        <v>4</v>
      </c>
      <c r="Q170" s="76">
        <v>7</v>
      </c>
      <c r="R170" s="76">
        <v>1</v>
      </c>
      <c r="S170" s="76">
        <v>25</v>
      </c>
      <c r="T170" s="77">
        <v>8</v>
      </c>
      <c r="U170" s="77">
        <v>9</v>
      </c>
      <c r="V170" s="77">
        <v>20</v>
      </c>
      <c r="W170" s="30">
        <v>51</v>
      </c>
      <c r="X170" s="78">
        <v>16.600000000000001</v>
      </c>
      <c r="Y170" s="77">
        <v>105.6</v>
      </c>
      <c r="Z170" s="77" t="s">
        <v>83</v>
      </c>
      <c r="AA170" s="77">
        <v>48</v>
      </c>
      <c r="AB170" s="77">
        <v>15</v>
      </c>
      <c r="AC170" s="18" t="s">
        <v>53</v>
      </c>
      <c r="AD170" s="9">
        <v>0.12664816779999999</v>
      </c>
      <c r="AE170" s="9">
        <v>-8.3699592049999993E-2</v>
      </c>
      <c r="AF170" s="9">
        <v>-0.25851524580000002</v>
      </c>
      <c r="AG170" s="6" t="str">
        <f t="shared" si="13"/>
        <v>Normal</v>
      </c>
      <c r="AH170" s="7" t="str">
        <f t="shared" si="14"/>
        <v>BB Normal</v>
      </c>
      <c r="AI170" s="8" t="str">
        <f t="shared" si="15"/>
        <v>Normal</v>
      </c>
    </row>
    <row r="171" spans="1:35" ht="15.6">
      <c r="A171" s="35"/>
      <c r="B171" s="67" t="s">
        <v>36</v>
      </c>
      <c r="C171" s="66" t="s">
        <v>779</v>
      </c>
      <c r="D171" s="67" t="s">
        <v>48</v>
      </c>
      <c r="E171" s="69">
        <v>1</v>
      </c>
      <c r="F171" s="69" t="s">
        <v>780</v>
      </c>
      <c r="G171" s="69" t="s">
        <v>781</v>
      </c>
      <c r="H171" s="69">
        <v>3</v>
      </c>
      <c r="I171" s="69">
        <v>50</v>
      </c>
      <c r="J171" s="69">
        <v>1</v>
      </c>
      <c r="K171" s="69"/>
      <c r="L171" s="69" t="s">
        <v>782</v>
      </c>
      <c r="M171" s="69" t="s">
        <v>783</v>
      </c>
      <c r="N171" s="70" t="s">
        <v>739</v>
      </c>
      <c r="O171" s="75">
        <v>1</v>
      </c>
      <c r="P171" s="69">
        <v>4</v>
      </c>
      <c r="Q171" s="76">
        <v>7</v>
      </c>
      <c r="R171" s="76">
        <v>1</v>
      </c>
      <c r="S171" s="76">
        <v>25</v>
      </c>
      <c r="T171" s="77">
        <v>9</v>
      </c>
      <c r="U171" s="77">
        <v>10</v>
      </c>
      <c r="V171" s="77">
        <v>20</v>
      </c>
      <c r="W171" s="30">
        <v>50</v>
      </c>
      <c r="X171" s="78">
        <v>23.5</v>
      </c>
      <c r="Y171" s="77">
        <v>107</v>
      </c>
      <c r="Z171" s="77" t="s">
        <v>83</v>
      </c>
      <c r="AA171" s="77">
        <v>51</v>
      </c>
      <c r="AB171" s="77">
        <v>20</v>
      </c>
      <c r="AC171" s="18" t="s">
        <v>53</v>
      </c>
      <c r="AD171" s="9">
        <v>0.4694069494</v>
      </c>
      <c r="AE171" s="9">
        <v>2.5700359050000001</v>
      </c>
      <c r="AF171" s="9">
        <v>3.5449271570000001</v>
      </c>
      <c r="AG171" s="6" t="str">
        <f t="shared" si="13"/>
        <v>Normal</v>
      </c>
      <c r="AH171" s="7" t="str">
        <f t="shared" si="14"/>
        <v>Ris Lbh</v>
      </c>
      <c r="AI171" s="8" t="str">
        <f t="shared" si="15"/>
        <v>Obesitas</v>
      </c>
    </row>
    <row r="172" spans="1:35" ht="15.6">
      <c r="A172" s="35"/>
      <c r="B172" s="67" t="s">
        <v>36</v>
      </c>
      <c r="C172" s="66" t="s">
        <v>784</v>
      </c>
      <c r="D172" s="67" t="s">
        <v>37</v>
      </c>
      <c r="E172" s="69">
        <v>2</v>
      </c>
      <c r="F172" s="69" t="s">
        <v>785</v>
      </c>
      <c r="G172" s="69" t="s">
        <v>786</v>
      </c>
      <c r="H172" s="74">
        <v>45902</v>
      </c>
      <c r="I172" s="69">
        <v>49</v>
      </c>
      <c r="J172" s="69">
        <v>1</v>
      </c>
      <c r="K172" s="69"/>
      <c r="L172" s="69" t="s">
        <v>787</v>
      </c>
      <c r="M172" s="69" t="s">
        <v>788</v>
      </c>
      <c r="N172" s="70" t="s">
        <v>739</v>
      </c>
      <c r="O172" s="75">
        <v>3</v>
      </c>
      <c r="P172" s="69">
        <v>4</v>
      </c>
      <c r="Q172" s="76">
        <v>7</v>
      </c>
      <c r="R172" s="76">
        <v>1</v>
      </c>
      <c r="S172" s="76">
        <v>25</v>
      </c>
      <c r="T172" s="77">
        <v>12</v>
      </c>
      <c r="U172" s="77">
        <v>12</v>
      </c>
      <c r="V172" s="77">
        <v>20</v>
      </c>
      <c r="W172" s="30">
        <v>48</v>
      </c>
      <c r="X172" s="78">
        <v>19.5</v>
      </c>
      <c r="Y172" s="77">
        <v>106.2</v>
      </c>
      <c r="Z172" s="77" t="s">
        <v>83</v>
      </c>
      <c r="AA172" s="77">
        <v>50.7</v>
      </c>
      <c r="AB172" s="77">
        <v>17</v>
      </c>
      <c r="AC172" s="18" t="s">
        <v>53</v>
      </c>
      <c r="AD172" s="9">
        <v>0.6835772994</v>
      </c>
      <c r="AE172" s="9">
        <v>1.3739840830000001</v>
      </c>
      <c r="AF172" s="9">
        <v>1.41732155</v>
      </c>
      <c r="AG172" s="6" t="str">
        <f t="shared" si="13"/>
        <v>Normal</v>
      </c>
      <c r="AH172" s="7" t="str">
        <f t="shared" si="14"/>
        <v>Ris Lbh</v>
      </c>
      <c r="AI172" s="8" t="str">
        <f t="shared" si="15"/>
        <v>R.Gz.Lbh</v>
      </c>
    </row>
    <row r="173" spans="1:35" ht="15.6">
      <c r="A173" s="35"/>
      <c r="B173" s="67" t="s">
        <v>36</v>
      </c>
      <c r="C173" s="66" t="s">
        <v>789</v>
      </c>
      <c r="D173" s="67" t="s">
        <v>37</v>
      </c>
      <c r="E173" s="69">
        <v>2</v>
      </c>
      <c r="F173" s="69">
        <v>0</v>
      </c>
      <c r="G173" s="69" t="s">
        <v>790</v>
      </c>
      <c r="H173" s="69"/>
      <c r="I173" s="69"/>
      <c r="J173" s="69"/>
      <c r="K173" s="69"/>
      <c r="L173" s="69" t="s">
        <v>791</v>
      </c>
      <c r="M173" s="69">
        <v>0</v>
      </c>
      <c r="N173" s="70" t="s">
        <v>739</v>
      </c>
      <c r="O173" s="75"/>
      <c r="P173" s="69"/>
      <c r="Q173" s="76">
        <v>7</v>
      </c>
      <c r="R173" s="76">
        <v>1</v>
      </c>
      <c r="S173" s="76">
        <v>25</v>
      </c>
      <c r="T173" s="77">
        <v>13</v>
      </c>
      <c r="U173" s="77">
        <v>7</v>
      </c>
      <c r="V173" s="77">
        <v>20</v>
      </c>
      <c r="W173" s="30">
        <v>53</v>
      </c>
      <c r="X173" s="78">
        <v>14.5</v>
      </c>
      <c r="Y173" s="77">
        <v>94.8</v>
      </c>
      <c r="Z173" s="77" t="s">
        <v>83</v>
      </c>
      <c r="AA173" s="28">
        <v>48</v>
      </c>
      <c r="AB173" s="28">
        <v>15</v>
      </c>
      <c r="AC173" s="18" t="s">
        <v>53</v>
      </c>
      <c r="AD173" s="9">
        <v>0.90887202879999995</v>
      </c>
      <c r="AE173" s="9">
        <v>-0.11911346909999999</v>
      </c>
      <c r="AF173" s="9">
        <v>-0.49680120449999998</v>
      </c>
      <c r="AG173" s="6" t="str">
        <f t="shared" si="13"/>
        <v>Normal</v>
      </c>
      <c r="AH173" s="7" t="str">
        <f t="shared" si="14"/>
        <v>BB Normal</v>
      </c>
      <c r="AI173" s="8" t="str">
        <f t="shared" si="15"/>
        <v>Normal</v>
      </c>
    </row>
    <row r="174" spans="1:35" ht="15.6">
      <c r="A174" s="35"/>
      <c r="B174" s="67" t="s">
        <v>198</v>
      </c>
      <c r="C174" s="66" t="s">
        <v>416</v>
      </c>
      <c r="D174" s="67" t="s">
        <v>48</v>
      </c>
      <c r="E174" s="69">
        <v>1</v>
      </c>
      <c r="F174" s="69">
        <v>0</v>
      </c>
      <c r="G174" s="69" t="s">
        <v>792</v>
      </c>
      <c r="H174" s="69"/>
      <c r="I174" s="69"/>
      <c r="J174" s="69"/>
      <c r="K174" s="69"/>
      <c r="L174" s="69" t="s">
        <v>793</v>
      </c>
      <c r="M174" s="69" t="s">
        <v>794</v>
      </c>
      <c r="N174" s="70" t="s">
        <v>739</v>
      </c>
      <c r="O174" s="75"/>
      <c r="P174" s="69"/>
      <c r="Q174" s="76">
        <v>7</v>
      </c>
      <c r="R174" s="76">
        <v>1</v>
      </c>
      <c r="S174" s="76">
        <v>25</v>
      </c>
      <c r="T174" s="77">
        <v>7</v>
      </c>
      <c r="U174" s="77">
        <v>12</v>
      </c>
      <c r="V174" s="77">
        <v>20</v>
      </c>
      <c r="W174" s="30">
        <v>49</v>
      </c>
      <c r="X174" s="78">
        <v>19.100000000000001</v>
      </c>
      <c r="Y174" s="69">
        <v>91.5</v>
      </c>
      <c r="Z174" s="77" t="s">
        <v>83</v>
      </c>
      <c r="AA174" s="28">
        <v>47</v>
      </c>
      <c r="AB174" s="28">
        <v>14</v>
      </c>
      <c r="AC174" s="18" t="s">
        <v>53</v>
      </c>
      <c r="AD174" s="9">
        <v>0.9281518325</v>
      </c>
      <c r="AE174" s="9">
        <v>-1.6732665369999999</v>
      </c>
      <c r="AF174" s="9">
        <v>2.7508406660000002</v>
      </c>
      <c r="AG174" s="6" t="str">
        <f t="shared" si="13"/>
        <v>Normal</v>
      </c>
      <c r="AH174" s="7" t="str">
        <f t="shared" si="14"/>
        <v>BB Normal</v>
      </c>
      <c r="AI174" s="8" t="str">
        <f t="shared" si="15"/>
        <v>Gz.Lbh</v>
      </c>
    </row>
    <row r="175" spans="1:35" ht="15.6">
      <c r="A175" s="35"/>
      <c r="B175" s="67" t="s">
        <v>36</v>
      </c>
      <c r="C175" s="66" t="s">
        <v>795</v>
      </c>
      <c r="D175" s="67" t="s">
        <v>37</v>
      </c>
      <c r="E175" s="69">
        <v>2</v>
      </c>
      <c r="F175" s="69" t="s">
        <v>796</v>
      </c>
      <c r="G175" s="69" t="s">
        <v>797</v>
      </c>
      <c r="H175" s="74">
        <v>45691</v>
      </c>
      <c r="I175" s="69">
        <v>50</v>
      </c>
      <c r="J175" s="69">
        <v>1</v>
      </c>
      <c r="K175" s="69"/>
      <c r="L175" s="69" t="s">
        <v>798</v>
      </c>
      <c r="M175" s="69" t="s">
        <v>799</v>
      </c>
      <c r="N175" s="70" t="s">
        <v>739</v>
      </c>
      <c r="O175" s="75">
        <v>1</v>
      </c>
      <c r="P175" s="69">
        <v>4</v>
      </c>
      <c r="Q175" s="76">
        <v>7</v>
      </c>
      <c r="R175" s="76">
        <v>1</v>
      </c>
      <c r="S175" s="76">
        <v>25</v>
      </c>
      <c r="T175" s="77">
        <v>22</v>
      </c>
      <c r="U175" s="77">
        <v>1</v>
      </c>
      <c r="V175" s="77">
        <v>21</v>
      </c>
      <c r="W175" s="30">
        <v>47</v>
      </c>
      <c r="X175" s="78">
        <v>13.3</v>
      </c>
      <c r="Y175" s="77">
        <v>100.3</v>
      </c>
      <c r="Z175" s="77" t="s">
        <v>83</v>
      </c>
      <c r="AA175" s="77">
        <v>48</v>
      </c>
      <c r="AB175" s="77">
        <v>16</v>
      </c>
      <c r="AC175" s="18" t="s">
        <v>53</v>
      </c>
      <c r="AD175" s="9">
        <v>-0.4982448411</v>
      </c>
      <c r="AE175" s="9">
        <v>-1.3895228989999999</v>
      </c>
      <c r="AF175" s="9">
        <v>-1.6243913160000001</v>
      </c>
      <c r="AG175" s="6" t="str">
        <f t="shared" si="13"/>
        <v>Normal</v>
      </c>
      <c r="AH175" s="7" t="str">
        <f t="shared" si="14"/>
        <v>BB Normal</v>
      </c>
      <c r="AI175" s="8" t="str">
        <f t="shared" si="15"/>
        <v>Normal</v>
      </c>
    </row>
    <row r="176" spans="1:35" ht="15.6">
      <c r="A176" s="35"/>
      <c r="B176" s="67" t="s">
        <v>44</v>
      </c>
      <c r="C176" s="66" t="s">
        <v>800</v>
      </c>
      <c r="D176" s="67" t="s">
        <v>48</v>
      </c>
      <c r="E176" s="69">
        <v>1</v>
      </c>
      <c r="F176" s="69" t="s">
        <v>801</v>
      </c>
      <c r="G176" s="69" t="s">
        <v>802</v>
      </c>
      <c r="H176" s="74">
        <v>45902</v>
      </c>
      <c r="I176" s="69">
        <v>50</v>
      </c>
      <c r="J176" s="69">
        <v>1</v>
      </c>
      <c r="K176" s="69"/>
      <c r="L176" s="69" t="s">
        <v>803</v>
      </c>
      <c r="M176" s="69" t="s">
        <v>804</v>
      </c>
      <c r="N176" s="70" t="s">
        <v>739</v>
      </c>
      <c r="O176" s="75">
        <v>2</v>
      </c>
      <c r="P176" s="69">
        <v>4</v>
      </c>
      <c r="Q176" s="76">
        <v>7</v>
      </c>
      <c r="R176" s="76">
        <v>1</v>
      </c>
      <c r="S176" s="76">
        <v>25</v>
      </c>
      <c r="T176" s="77">
        <v>13</v>
      </c>
      <c r="U176" s="77">
        <v>2</v>
      </c>
      <c r="V176" s="77">
        <v>21</v>
      </c>
      <c r="W176" s="30">
        <v>33</v>
      </c>
      <c r="X176" s="78">
        <v>17</v>
      </c>
      <c r="Y176" s="77">
        <v>104</v>
      </c>
      <c r="Z176" s="77" t="s">
        <v>83</v>
      </c>
      <c r="AA176" s="77">
        <v>51</v>
      </c>
      <c r="AB176" s="77">
        <v>17</v>
      </c>
      <c r="AC176" s="18" t="s">
        <v>53</v>
      </c>
      <c r="AD176" s="9">
        <v>26.01969059</v>
      </c>
      <c r="AE176" s="9">
        <v>0.41171199180000001</v>
      </c>
      <c r="AF176" s="9">
        <v>0.47245563410000002</v>
      </c>
      <c r="AG176" s="6" t="str">
        <f t="shared" si="13"/>
        <v>Tinggi</v>
      </c>
      <c r="AH176" s="7" t="str">
        <f t="shared" si="14"/>
        <v>BB Normal</v>
      </c>
      <c r="AI176" s="8" t="str">
        <f t="shared" si="15"/>
        <v>Normal</v>
      </c>
    </row>
    <row r="177" spans="1:35" ht="15.6">
      <c r="A177" s="35"/>
      <c r="B177" s="67" t="s">
        <v>36</v>
      </c>
      <c r="C177" s="66" t="s">
        <v>805</v>
      </c>
      <c r="D177" s="67" t="s">
        <v>37</v>
      </c>
      <c r="E177" s="69">
        <v>2</v>
      </c>
      <c r="F177" s="69" t="s">
        <v>806</v>
      </c>
      <c r="G177" s="69" t="s">
        <v>807</v>
      </c>
      <c r="H177" s="69">
        <v>3</v>
      </c>
      <c r="I177" s="69">
        <v>50</v>
      </c>
      <c r="J177" s="69">
        <v>1</v>
      </c>
      <c r="K177" s="69"/>
      <c r="L177" s="69" t="s">
        <v>808</v>
      </c>
      <c r="M177" s="69" t="s">
        <v>809</v>
      </c>
      <c r="N177" s="70" t="s">
        <v>739</v>
      </c>
      <c r="O177" s="75">
        <v>2</v>
      </c>
      <c r="P177" s="69">
        <v>4</v>
      </c>
      <c r="Q177" s="76">
        <v>7</v>
      </c>
      <c r="R177" s="76">
        <v>1</v>
      </c>
      <c r="S177" s="76">
        <v>25</v>
      </c>
      <c r="T177" s="77">
        <v>23</v>
      </c>
      <c r="U177" s="77">
        <v>2</v>
      </c>
      <c r="V177" s="77">
        <v>21</v>
      </c>
      <c r="W177" s="30">
        <v>40</v>
      </c>
      <c r="X177" s="78">
        <v>17</v>
      </c>
      <c r="Y177" s="77">
        <v>93.8</v>
      </c>
      <c r="Z177" s="77" t="s">
        <v>83</v>
      </c>
      <c r="AA177" s="77">
        <v>49</v>
      </c>
      <c r="AB177" s="77">
        <v>18</v>
      </c>
      <c r="AC177" s="18" t="s">
        <v>53</v>
      </c>
      <c r="AD177" s="9">
        <v>22.401188439999999</v>
      </c>
      <c r="AE177" s="9">
        <v>0.55964035860000005</v>
      </c>
      <c r="AF177" s="9">
        <v>2.7508406660000002</v>
      </c>
      <c r="AG177" s="6" t="str">
        <f t="shared" si="13"/>
        <v>Tinggi</v>
      </c>
      <c r="AH177" s="7" t="str">
        <f t="shared" si="14"/>
        <v>BB Normal</v>
      </c>
      <c r="AI177" s="8" t="str">
        <f t="shared" si="15"/>
        <v>Gz.Lbh</v>
      </c>
    </row>
    <row r="178" spans="1:35" ht="15.6">
      <c r="A178" s="35"/>
      <c r="B178" s="67" t="s">
        <v>36</v>
      </c>
      <c r="C178" s="66" t="s">
        <v>810</v>
      </c>
      <c r="D178" s="67" t="s">
        <v>37</v>
      </c>
      <c r="E178" s="69">
        <v>2</v>
      </c>
      <c r="F178" s="69" t="s">
        <v>811</v>
      </c>
      <c r="G178" s="69" t="s">
        <v>812</v>
      </c>
      <c r="H178" s="74">
        <v>45902</v>
      </c>
      <c r="I178" s="69">
        <v>50</v>
      </c>
      <c r="J178" s="69">
        <v>1</v>
      </c>
      <c r="K178" s="69"/>
      <c r="L178" s="69" t="s">
        <v>813</v>
      </c>
      <c r="M178" s="69" t="s">
        <v>814</v>
      </c>
      <c r="N178" s="70" t="s">
        <v>739</v>
      </c>
      <c r="O178" s="75">
        <v>1</v>
      </c>
      <c r="P178" s="69">
        <v>4</v>
      </c>
      <c r="Q178" s="76">
        <v>7</v>
      </c>
      <c r="R178" s="76">
        <v>1</v>
      </c>
      <c r="S178" s="76">
        <v>25</v>
      </c>
      <c r="T178" s="77">
        <v>16</v>
      </c>
      <c r="U178" s="77">
        <v>2</v>
      </c>
      <c r="V178" s="77">
        <v>21</v>
      </c>
      <c r="W178" s="30">
        <v>45</v>
      </c>
      <c r="X178" s="78">
        <v>15.7</v>
      </c>
      <c r="Y178" s="77">
        <v>100.2</v>
      </c>
      <c r="Z178" s="77" t="s">
        <v>83</v>
      </c>
      <c r="AA178" s="77">
        <v>49</v>
      </c>
      <c r="AB178" s="77">
        <v>17</v>
      </c>
      <c r="AC178" s="18" t="s">
        <v>53</v>
      </c>
      <c r="AD178" s="9">
        <v>24.934310539999998</v>
      </c>
      <c r="AE178" s="9">
        <v>-6.2895651809999994E-2</v>
      </c>
      <c r="AF178" s="9">
        <v>0.4414262732</v>
      </c>
      <c r="AG178" s="6" t="str">
        <f t="shared" si="13"/>
        <v>Tinggi</v>
      </c>
      <c r="AH178" s="7" t="str">
        <f t="shared" si="14"/>
        <v>BB Normal</v>
      </c>
      <c r="AI178" s="8" t="str">
        <f t="shared" si="15"/>
        <v>Normal</v>
      </c>
    </row>
    <row r="179" spans="1:35" ht="15.6">
      <c r="A179" s="35"/>
      <c r="B179" s="67" t="s">
        <v>198</v>
      </c>
      <c r="C179" s="66" t="s">
        <v>815</v>
      </c>
      <c r="D179" s="67" t="s">
        <v>48</v>
      </c>
      <c r="E179" s="69">
        <v>1</v>
      </c>
      <c r="F179" s="69" t="s">
        <v>816</v>
      </c>
      <c r="G179" s="69" t="s">
        <v>817</v>
      </c>
      <c r="H179" s="74">
        <v>45841</v>
      </c>
      <c r="I179" s="69">
        <v>54</v>
      </c>
      <c r="J179" s="69">
        <v>1</v>
      </c>
      <c r="K179" s="69"/>
      <c r="L179" s="69" t="s">
        <v>818</v>
      </c>
      <c r="M179" s="69" t="s">
        <v>819</v>
      </c>
      <c r="N179" s="70" t="s">
        <v>739</v>
      </c>
      <c r="O179" s="75">
        <v>1</v>
      </c>
      <c r="P179" s="69">
        <v>4</v>
      </c>
      <c r="Q179" s="76">
        <v>7</v>
      </c>
      <c r="R179" s="76">
        <v>1</v>
      </c>
      <c r="S179" s="76">
        <v>25</v>
      </c>
      <c r="T179" s="77">
        <v>18</v>
      </c>
      <c r="U179" s="77">
        <v>4</v>
      </c>
      <c r="V179" s="77">
        <v>21</v>
      </c>
      <c r="W179" s="30">
        <v>44</v>
      </c>
      <c r="X179" s="78">
        <v>16</v>
      </c>
      <c r="Y179" s="77">
        <v>96.6</v>
      </c>
      <c r="Z179" s="77" t="s">
        <v>83</v>
      </c>
      <c r="AA179" s="77">
        <v>50</v>
      </c>
      <c r="AB179" s="77">
        <v>18</v>
      </c>
      <c r="AC179" s="18" t="s">
        <v>53</v>
      </c>
      <c r="AD179" s="9">
        <v>-1.1876275629999999</v>
      </c>
      <c r="AE179" s="9">
        <v>0.1027800952</v>
      </c>
      <c r="AF179" s="9">
        <v>1.3015703460000001</v>
      </c>
      <c r="AG179" s="6" t="str">
        <f t="shared" si="13"/>
        <v>Normal</v>
      </c>
      <c r="AH179" s="7" t="str">
        <f t="shared" si="14"/>
        <v>BB Normal</v>
      </c>
      <c r="AI179" s="8" t="str">
        <f t="shared" si="15"/>
        <v>R.Gz.Lbh</v>
      </c>
    </row>
    <row r="180" spans="1:35" ht="15.6">
      <c r="A180" s="35"/>
      <c r="B180" s="67" t="s">
        <v>44</v>
      </c>
      <c r="C180" s="66" t="s">
        <v>820</v>
      </c>
      <c r="D180" s="67" t="s">
        <v>48</v>
      </c>
      <c r="E180" s="69">
        <v>1</v>
      </c>
      <c r="F180" s="69" t="s">
        <v>821</v>
      </c>
      <c r="G180" s="69" t="s">
        <v>822</v>
      </c>
      <c r="H180" s="69">
        <v>4</v>
      </c>
      <c r="I180" s="69">
        <v>42</v>
      </c>
      <c r="J180" s="69">
        <v>1</v>
      </c>
      <c r="K180" s="69"/>
      <c r="L180" s="69" t="s">
        <v>823</v>
      </c>
      <c r="M180" s="69" t="s">
        <v>824</v>
      </c>
      <c r="N180" s="70" t="s">
        <v>739</v>
      </c>
      <c r="O180" s="75">
        <v>2</v>
      </c>
      <c r="P180" s="69">
        <v>4</v>
      </c>
      <c r="Q180" s="76">
        <v>7</v>
      </c>
      <c r="R180" s="76">
        <v>1</v>
      </c>
      <c r="S180" s="76">
        <v>25</v>
      </c>
      <c r="T180" s="77">
        <v>21</v>
      </c>
      <c r="U180" s="77">
        <v>7</v>
      </c>
      <c r="V180" s="77">
        <v>21</v>
      </c>
      <c r="W180" s="30">
        <v>41</v>
      </c>
      <c r="X180" s="78">
        <v>16</v>
      </c>
      <c r="Y180" s="77">
        <v>96.1</v>
      </c>
      <c r="Z180" s="77" t="s">
        <v>83</v>
      </c>
      <c r="AA180" s="77">
        <v>50</v>
      </c>
      <c r="AB180" s="77">
        <v>16</v>
      </c>
      <c r="AC180" s="18" t="s">
        <v>53</v>
      </c>
      <c r="AD180" s="9">
        <v>-0.88739636440000003</v>
      </c>
      <c r="AE180" s="9">
        <v>0.37503071230000001</v>
      </c>
      <c r="AF180" s="9">
        <v>1.4133892240000001</v>
      </c>
      <c r="AG180" s="6" t="str">
        <f t="shared" si="13"/>
        <v>Normal</v>
      </c>
      <c r="AH180" s="7" t="str">
        <f t="shared" si="14"/>
        <v>BB Normal</v>
      </c>
      <c r="AI180" s="8" t="str">
        <f t="shared" si="15"/>
        <v>R.Gz.Lbh</v>
      </c>
    </row>
    <row r="181" spans="1:35" ht="15.6">
      <c r="A181" s="35"/>
      <c r="B181" s="67" t="s">
        <v>44</v>
      </c>
      <c r="C181" s="66" t="s">
        <v>825</v>
      </c>
      <c r="D181" s="67" t="s">
        <v>48</v>
      </c>
      <c r="E181" s="69">
        <v>1</v>
      </c>
      <c r="F181" s="69" t="s">
        <v>826</v>
      </c>
      <c r="G181" s="69" t="s">
        <v>827</v>
      </c>
      <c r="H181" s="74">
        <v>45840</v>
      </c>
      <c r="I181" s="69">
        <v>50</v>
      </c>
      <c r="J181" s="69">
        <v>1</v>
      </c>
      <c r="K181" s="69"/>
      <c r="L181" s="69" t="s">
        <v>828</v>
      </c>
      <c r="M181" s="69" t="s">
        <v>829</v>
      </c>
      <c r="N181" s="70" t="s">
        <v>739</v>
      </c>
      <c r="O181" s="75">
        <v>2</v>
      </c>
      <c r="P181" s="69">
        <v>4</v>
      </c>
      <c r="Q181" s="76">
        <v>7</v>
      </c>
      <c r="R181" s="76">
        <v>1</v>
      </c>
      <c r="S181" s="76">
        <v>25</v>
      </c>
      <c r="T181" s="77">
        <v>18</v>
      </c>
      <c r="U181" s="77">
        <v>8</v>
      </c>
      <c r="V181" s="77">
        <v>21</v>
      </c>
      <c r="W181" s="30">
        <v>40</v>
      </c>
      <c r="X181" s="78">
        <v>14.5</v>
      </c>
      <c r="Y181" s="77">
        <v>96</v>
      </c>
      <c r="Z181" s="77" t="s">
        <v>83</v>
      </c>
      <c r="AA181" s="77">
        <v>49.3</v>
      </c>
      <c r="AB181" s="77">
        <v>15</v>
      </c>
      <c r="AC181" s="18" t="s">
        <v>53</v>
      </c>
      <c r="AD181" s="9">
        <v>-0.77830970040000003</v>
      </c>
      <c r="AE181" s="9">
        <v>-0.34468336719999998</v>
      </c>
      <c r="AF181" s="9">
        <v>0.1749311181</v>
      </c>
      <c r="AG181" s="6" t="str">
        <f t="shared" si="13"/>
        <v>Normal</v>
      </c>
      <c r="AH181" s="7" t="str">
        <f t="shared" si="14"/>
        <v>BB Normal</v>
      </c>
      <c r="AI181" s="8" t="str">
        <f t="shared" si="15"/>
        <v>Normal</v>
      </c>
    </row>
    <row r="182" spans="1:35" ht="15.6">
      <c r="A182" s="35"/>
      <c r="B182" s="67" t="s">
        <v>36</v>
      </c>
      <c r="C182" s="66" t="s">
        <v>830</v>
      </c>
      <c r="D182" s="67" t="s">
        <v>37</v>
      </c>
      <c r="E182" s="69">
        <v>2</v>
      </c>
      <c r="F182" s="69" t="s">
        <v>831</v>
      </c>
      <c r="G182" s="69" t="s">
        <v>832</v>
      </c>
      <c r="H182" s="74">
        <v>45719</v>
      </c>
      <c r="I182" s="69">
        <v>50</v>
      </c>
      <c r="J182" s="69">
        <v>1</v>
      </c>
      <c r="K182" s="69"/>
      <c r="L182" s="69" t="s">
        <v>833</v>
      </c>
      <c r="M182" s="69" t="s">
        <v>834</v>
      </c>
      <c r="N182" s="70" t="s">
        <v>739</v>
      </c>
      <c r="O182" s="75">
        <v>1</v>
      </c>
      <c r="P182" s="69">
        <v>4</v>
      </c>
      <c r="Q182" s="76">
        <v>7</v>
      </c>
      <c r="R182" s="76">
        <v>1</v>
      </c>
      <c r="S182" s="76">
        <v>25</v>
      </c>
      <c r="T182" s="77">
        <v>15</v>
      </c>
      <c r="U182" s="77">
        <v>8</v>
      </c>
      <c r="V182" s="77">
        <v>21</v>
      </c>
      <c r="W182" s="30">
        <v>40</v>
      </c>
      <c r="X182" s="78">
        <v>19.100000000000001</v>
      </c>
      <c r="Y182" s="77">
        <v>96.2</v>
      </c>
      <c r="Z182" s="77" t="s">
        <v>83</v>
      </c>
      <c r="AA182" s="77">
        <v>48</v>
      </c>
      <c r="AB182" s="77">
        <v>19.5</v>
      </c>
      <c r="AC182" s="18" t="s">
        <v>53</v>
      </c>
      <c r="AD182" s="9">
        <v>-0.51112935869999998</v>
      </c>
      <c r="AE182" s="9">
        <v>2.0270086059999999</v>
      </c>
      <c r="AF182" s="9">
        <v>3.4273716099999998</v>
      </c>
      <c r="AG182" s="6" t="str">
        <f t="shared" si="13"/>
        <v>Normal</v>
      </c>
      <c r="AH182" s="7" t="str">
        <f t="shared" si="14"/>
        <v>Ris Lbh</v>
      </c>
      <c r="AI182" s="8" t="str">
        <f t="shared" si="15"/>
        <v>Obesitas</v>
      </c>
    </row>
    <row r="183" spans="1:35" ht="15.6">
      <c r="A183" s="35"/>
      <c r="B183" s="67" t="s">
        <v>198</v>
      </c>
      <c r="C183" s="66" t="s">
        <v>835</v>
      </c>
      <c r="D183" s="67" t="s">
        <v>37</v>
      </c>
      <c r="E183" s="69">
        <v>2</v>
      </c>
      <c r="F183" s="69" t="s">
        <v>836</v>
      </c>
      <c r="G183" s="69" t="s">
        <v>837</v>
      </c>
      <c r="H183" s="74">
        <v>45871</v>
      </c>
      <c r="I183" s="69">
        <v>48</v>
      </c>
      <c r="J183" s="69">
        <v>1</v>
      </c>
      <c r="K183" s="69"/>
      <c r="L183" s="69" t="s">
        <v>838</v>
      </c>
      <c r="M183" s="69" t="s">
        <v>839</v>
      </c>
      <c r="N183" s="70" t="s">
        <v>739</v>
      </c>
      <c r="O183" s="75">
        <v>2</v>
      </c>
      <c r="P183" s="69">
        <v>4</v>
      </c>
      <c r="Q183" s="76">
        <v>7</v>
      </c>
      <c r="R183" s="76">
        <v>1</v>
      </c>
      <c r="S183" s="76">
        <v>25</v>
      </c>
      <c r="T183" s="77">
        <v>1</v>
      </c>
      <c r="U183" s="77">
        <v>9</v>
      </c>
      <c r="V183" s="77">
        <v>21</v>
      </c>
      <c r="W183" s="30">
        <v>40</v>
      </c>
      <c r="X183" s="78">
        <v>14.4</v>
      </c>
      <c r="Y183" s="77">
        <v>90</v>
      </c>
      <c r="Z183" s="77" t="s">
        <v>83</v>
      </c>
      <c r="AA183" s="77">
        <v>46</v>
      </c>
      <c r="AB183" s="77">
        <v>16</v>
      </c>
      <c r="AC183" s="18" t="s">
        <v>53</v>
      </c>
      <c r="AD183" s="9">
        <v>-1.976654873</v>
      </c>
      <c r="AE183" s="9">
        <v>-0.13101260870000001</v>
      </c>
      <c r="AF183" s="9">
        <v>1.5206172250000001</v>
      </c>
      <c r="AG183" s="6" t="str">
        <f t="shared" si="13"/>
        <v>Normal</v>
      </c>
      <c r="AH183" s="7" t="str">
        <f t="shared" si="14"/>
        <v>BB Normal</v>
      </c>
      <c r="AI183" s="8" t="str">
        <f t="shared" si="15"/>
        <v>R.Gz.Lbh</v>
      </c>
    </row>
    <row r="184" spans="1:35" ht="15.6">
      <c r="A184" s="35"/>
      <c r="B184" s="67" t="s">
        <v>36</v>
      </c>
      <c r="C184" s="66" t="s">
        <v>840</v>
      </c>
      <c r="D184" s="67" t="s">
        <v>37</v>
      </c>
      <c r="E184" s="69">
        <v>2</v>
      </c>
      <c r="F184" s="69" t="s">
        <v>841</v>
      </c>
      <c r="G184" s="69" t="s">
        <v>842</v>
      </c>
      <c r="H184" s="74">
        <v>45871</v>
      </c>
      <c r="I184" s="69">
        <v>50</v>
      </c>
      <c r="J184" s="69">
        <v>1</v>
      </c>
      <c r="K184" s="69"/>
      <c r="L184" s="69" t="s">
        <v>843</v>
      </c>
      <c r="M184" s="69" t="s">
        <v>844</v>
      </c>
      <c r="N184" s="70" t="s">
        <v>739</v>
      </c>
      <c r="O184" s="75">
        <v>1</v>
      </c>
      <c r="P184" s="69">
        <v>4</v>
      </c>
      <c r="Q184" s="76">
        <v>7</v>
      </c>
      <c r="R184" s="76">
        <v>1</v>
      </c>
      <c r="S184" s="76">
        <v>25</v>
      </c>
      <c r="T184" s="77">
        <v>16</v>
      </c>
      <c r="U184" s="77">
        <v>9</v>
      </c>
      <c r="V184" s="77">
        <v>21</v>
      </c>
      <c r="W184" s="30">
        <v>39</v>
      </c>
      <c r="X184" s="75">
        <v>12.2</v>
      </c>
      <c r="Y184" s="69">
        <v>88.1</v>
      </c>
      <c r="Z184" s="77" t="s">
        <v>83</v>
      </c>
      <c r="AA184" s="77">
        <v>47</v>
      </c>
      <c r="AB184" s="69">
        <v>17</v>
      </c>
      <c r="AC184" s="18" t="s">
        <v>53</v>
      </c>
      <c r="AD184" s="9">
        <v>-2.3840822350000002</v>
      </c>
      <c r="AE184" s="9">
        <v>-1.4042355339999999</v>
      </c>
      <c r="AF184" s="9">
        <v>2.6176747779999999E-2</v>
      </c>
      <c r="AG184" s="6" t="str">
        <f t="shared" si="13"/>
        <v>Pendek</v>
      </c>
      <c r="AH184" s="7" t="str">
        <f t="shared" si="14"/>
        <v>BB Normal</v>
      </c>
      <c r="AI184" s="8" t="str">
        <f t="shared" si="15"/>
        <v>Normal</v>
      </c>
    </row>
    <row r="185" spans="1:35" ht="15.6">
      <c r="A185" s="35"/>
      <c r="B185" s="67" t="s">
        <v>44</v>
      </c>
      <c r="C185" s="66" t="s">
        <v>845</v>
      </c>
      <c r="D185" s="67" t="s">
        <v>37</v>
      </c>
      <c r="E185" s="69">
        <v>2</v>
      </c>
      <c r="F185" s="69" t="s">
        <v>846</v>
      </c>
      <c r="G185" s="69" t="s">
        <v>847</v>
      </c>
      <c r="H185" s="74">
        <v>45719</v>
      </c>
      <c r="I185" s="69">
        <v>50</v>
      </c>
      <c r="J185" s="69">
        <v>1</v>
      </c>
      <c r="K185" s="69"/>
      <c r="L185" s="69" t="s">
        <v>848</v>
      </c>
      <c r="M185" s="69" t="s">
        <v>849</v>
      </c>
      <c r="N185" s="70" t="s">
        <v>739</v>
      </c>
      <c r="O185" s="75">
        <v>1</v>
      </c>
      <c r="P185" s="69">
        <v>4</v>
      </c>
      <c r="Q185" s="76">
        <v>7</v>
      </c>
      <c r="R185" s="76">
        <v>1</v>
      </c>
      <c r="S185" s="76">
        <v>25</v>
      </c>
      <c r="T185" s="77">
        <v>27</v>
      </c>
      <c r="U185" s="77">
        <v>10</v>
      </c>
      <c r="V185" s="77">
        <v>21</v>
      </c>
      <c r="W185" s="30">
        <v>38</v>
      </c>
      <c r="X185" s="78">
        <v>19.8</v>
      </c>
      <c r="Y185" s="77">
        <v>99</v>
      </c>
      <c r="Z185" s="77" t="s">
        <v>83</v>
      </c>
      <c r="AA185" s="77">
        <v>50</v>
      </c>
      <c r="AB185" s="77">
        <v>18</v>
      </c>
      <c r="AC185" s="18" t="s">
        <v>53</v>
      </c>
      <c r="AD185" s="9">
        <v>0.59627610900000005</v>
      </c>
      <c r="AE185" s="9">
        <v>2.5983934949999998</v>
      </c>
      <c r="AF185" s="9">
        <v>3.228372764</v>
      </c>
      <c r="AG185" s="6" t="str">
        <f t="shared" si="13"/>
        <v>Normal</v>
      </c>
      <c r="AH185" s="7" t="str">
        <f t="shared" si="14"/>
        <v>Ris Lbh</v>
      </c>
      <c r="AI185" s="8" t="str">
        <f t="shared" si="15"/>
        <v>Obesitas</v>
      </c>
    </row>
    <row r="186" spans="1:35" ht="15.6">
      <c r="A186" s="35"/>
      <c r="B186" s="67" t="s">
        <v>36</v>
      </c>
      <c r="C186" s="66" t="s">
        <v>850</v>
      </c>
      <c r="D186" s="67" t="s">
        <v>48</v>
      </c>
      <c r="E186" s="69">
        <v>1</v>
      </c>
      <c r="F186" s="69" t="s">
        <v>851</v>
      </c>
      <c r="G186" s="69" t="s">
        <v>852</v>
      </c>
      <c r="H186" s="69">
        <v>3</v>
      </c>
      <c r="I186" s="69">
        <v>49</v>
      </c>
      <c r="J186" s="69">
        <v>1</v>
      </c>
      <c r="K186" s="69"/>
      <c r="L186" s="69" t="s">
        <v>853</v>
      </c>
      <c r="M186" s="69" t="s">
        <v>854</v>
      </c>
      <c r="N186" s="70" t="s">
        <v>739</v>
      </c>
      <c r="O186" s="75">
        <v>3</v>
      </c>
      <c r="P186" s="69">
        <v>4</v>
      </c>
      <c r="Q186" s="76">
        <v>7</v>
      </c>
      <c r="R186" s="76">
        <v>1</v>
      </c>
      <c r="S186" s="76">
        <v>25</v>
      </c>
      <c r="T186" s="77">
        <v>5</v>
      </c>
      <c r="U186" s="77">
        <v>11</v>
      </c>
      <c r="V186" s="77">
        <v>21</v>
      </c>
      <c r="W186" s="30">
        <v>38</v>
      </c>
      <c r="X186" s="78">
        <v>14.3</v>
      </c>
      <c r="Y186" s="77">
        <v>94.8</v>
      </c>
      <c r="Z186" s="77" t="s">
        <v>83</v>
      </c>
      <c r="AA186" s="77">
        <v>49</v>
      </c>
      <c r="AB186" s="77">
        <v>15.2</v>
      </c>
      <c r="AC186" s="18" t="s">
        <v>53</v>
      </c>
      <c r="AD186" s="9">
        <v>-0.69028083490000003</v>
      </c>
      <c r="AE186" s="9">
        <v>-0.22348204390000001</v>
      </c>
      <c r="AF186" s="9">
        <v>0.26177682720000001</v>
      </c>
      <c r="AG186" s="6" t="str">
        <f t="shared" si="13"/>
        <v>Normal</v>
      </c>
      <c r="AH186" s="7" t="str">
        <f t="shared" si="14"/>
        <v>BB Normal</v>
      </c>
      <c r="AI186" s="8" t="str">
        <f t="shared" si="15"/>
        <v>Normal</v>
      </c>
    </row>
    <row r="187" spans="1:35" ht="15.6">
      <c r="A187" s="35"/>
      <c r="B187" s="67" t="s">
        <v>198</v>
      </c>
      <c r="C187" s="66" t="s">
        <v>855</v>
      </c>
      <c r="D187" s="67" t="s">
        <v>37</v>
      </c>
      <c r="E187" s="69">
        <v>2</v>
      </c>
      <c r="F187" s="69" t="s">
        <v>856</v>
      </c>
      <c r="G187" s="69" t="s">
        <v>857</v>
      </c>
      <c r="H187" s="74">
        <v>45660</v>
      </c>
      <c r="I187" s="69">
        <v>50</v>
      </c>
      <c r="J187" s="69">
        <v>1</v>
      </c>
      <c r="K187" s="69"/>
      <c r="L187" s="69" t="s">
        <v>858</v>
      </c>
      <c r="M187" s="69" t="s">
        <v>859</v>
      </c>
      <c r="N187" s="70" t="s">
        <v>739</v>
      </c>
      <c r="O187" s="75">
        <v>3</v>
      </c>
      <c r="P187" s="69">
        <v>4</v>
      </c>
      <c r="Q187" s="76">
        <v>7</v>
      </c>
      <c r="R187" s="76">
        <v>1</v>
      </c>
      <c r="S187" s="76">
        <v>25</v>
      </c>
      <c r="T187" s="77">
        <v>6</v>
      </c>
      <c r="U187" s="77">
        <v>12</v>
      </c>
      <c r="V187" s="77">
        <v>21</v>
      </c>
      <c r="W187" s="30">
        <v>37</v>
      </c>
      <c r="X187" s="75">
        <v>11</v>
      </c>
      <c r="Y187" s="69">
        <v>91.5</v>
      </c>
      <c r="Z187" s="77" t="s">
        <v>83</v>
      </c>
      <c r="AA187" s="77">
        <v>46.5</v>
      </c>
      <c r="AB187" s="69">
        <v>15</v>
      </c>
      <c r="AC187" s="18" t="s">
        <v>53</v>
      </c>
      <c r="AD187" s="9">
        <v>-1.1101762749999999</v>
      </c>
      <c r="AE187" s="9">
        <v>-1.9882001659999999</v>
      </c>
      <c r="AF187" s="9">
        <v>-1.97729029</v>
      </c>
      <c r="AG187" s="6" t="str">
        <f t="shared" si="13"/>
        <v>Normal</v>
      </c>
      <c r="AH187" s="7" t="str">
        <f t="shared" si="14"/>
        <v>BB Normal</v>
      </c>
      <c r="AI187" s="8" t="str">
        <f t="shared" si="15"/>
        <v>Normal</v>
      </c>
    </row>
    <row r="188" spans="1:35" ht="15.6">
      <c r="A188" s="35"/>
      <c r="B188" s="67" t="s">
        <v>198</v>
      </c>
      <c r="C188" s="66" t="s">
        <v>860</v>
      </c>
      <c r="D188" s="67" t="s">
        <v>37</v>
      </c>
      <c r="E188" s="69">
        <v>2</v>
      </c>
      <c r="F188" s="69" t="s">
        <v>861</v>
      </c>
      <c r="G188" s="69" t="s">
        <v>862</v>
      </c>
      <c r="H188" s="74">
        <v>45840</v>
      </c>
      <c r="I188" s="69">
        <v>47</v>
      </c>
      <c r="J188" s="69">
        <v>1</v>
      </c>
      <c r="K188" s="69"/>
      <c r="L188" s="69" t="s">
        <v>863</v>
      </c>
      <c r="M188" s="69" t="s">
        <v>864</v>
      </c>
      <c r="N188" s="70" t="s">
        <v>739</v>
      </c>
      <c r="O188" s="75">
        <v>1</v>
      </c>
      <c r="P188" s="69">
        <v>4</v>
      </c>
      <c r="Q188" s="76">
        <v>7</v>
      </c>
      <c r="R188" s="76">
        <v>1</v>
      </c>
      <c r="S188" s="76">
        <v>25</v>
      </c>
      <c r="T188" s="77">
        <v>4</v>
      </c>
      <c r="U188" s="77">
        <v>5</v>
      </c>
      <c r="V188" s="77">
        <v>21</v>
      </c>
      <c r="W188" s="30">
        <v>44</v>
      </c>
      <c r="X188" s="78">
        <v>15.4</v>
      </c>
      <c r="Y188" s="77">
        <v>99.1</v>
      </c>
      <c r="Z188" s="77" t="s">
        <v>83</v>
      </c>
      <c r="AA188" s="77">
        <v>47.7</v>
      </c>
      <c r="AB188" s="77">
        <v>16.3</v>
      </c>
      <c r="AC188" s="18" t="s">
        <v>53</v>
      </c>
      <c r="AD188" s="9">
        <v>-0.3133050946</v>
      </c>
      <c r="AE188" s="9">
        <v>1.528914103E-2</v>
      </c>
      <c r="AF188" s="9">
        <v>0.32543580290000002</v>
      </c>
      <c r="AG188" s="6" t="str">
        <f t="shared" si="13"/>
        <v>Normal</v>
      </c>
      <c r="AH188" s="7" t="str">
        <f t="shared" si="14"/>
        <v>BB Normal</v>
      </c>
      <c r="AI188" s="8" t="str">
        <f t="shared" si="15"/>
        <v>Normal</v>
      </c>
    </row>
    <row r="189" spans="1:35" ht="15.6">
      <c r="A189" s="35"/>
      <c r="B189" s="67" t="s">
        <v>44</v>
      </c>
      <c r="C189" s="66" t="s">
        <v>865</v>
      </c>
      <c r="D189" s="67" t="s">
        <v>48</v>
      </c>
      <c r="E189" s="69">
        <v>1</v>
      </c>
      <c r="F189" s="69" t="s">
        <v>866</v>
      </c>
      <c r="G189" s="69" t="s">
        <v>867</v>
      </c>
      <c r="H189" s="74">
        <v>45840</v>
      </c>
      <c r="I189" s="69">
        <v>49</v>
      </c>
      <c r="J189" s="69">
        <v>1</v>
      </c>
      <c r="K189" s="69"/>
      <c r="L189" s="69" t="s">
        <v>868</v>
      </c>
      <c r="M189" s="69" t="s">
        <v>869</v>
      </c>
      <c r="N189" s="70" t="s">
        <v>739</v>
      </c>
      <c r="O189" s="75">
        <v>2</v>
      </c>
      <c r="P189" s="69">
        <v>4</v>
      </c>
      <c r="Q189" s="76">
        <v>7</v>
      </c>
      <c r="R189" s="76">
        <v>1</v>
      </c>
      <c r="S189" s="76">
        <v>25</v>
      </c>
      <c r="T189" s="77">
        <v>11</v>
      </c>
      <c r="U189" s="77">
        <v>5</v>
      </c>
      <c r="V189" s="77">
        <v>21</v>
      </c>
      <c r="W189" s="30">
        <v>43</v>
      </c>
      <c r="X189" s="78">
        <v>14.5</v>
      </c>
      <c r="Y189" s="77">
        <v>99.2</v>
      </c>
      <c r="Z189" s="77" t="s">
        <v>83</v>
      </c>
      <c r="AA189" s="77">
        <v>47</v>
      </c>
      <c r="AB189" s="77">
        <v>17</v>
      </c>
      <c r="AC189" s="18" t="s">
        <v>53</v>
      </c>
      <c r="AD189" s="9">
        <v>-0.44386636089999998</v>
      </c>
      <c r="AE189" s="9">
        <v>-0.62439422590000004</v>
      </c>
      <c r="AF189" s="9">
        <v>-0.54481594249999998</v>
      </c>
      <c r="AG189" s="6" t="str">
        <f t="shared" si="13"/>
        <v>Normal</v>
      </c>
      <c r="AH189" s="7" t="str">
        <f t="shared" si="14"/>
        <v>BB Normal</v>
      </c>
      <c r="AI189" s="8" t="str">
        <f t="shared" si="15"/>
        <v>Normal</v>
      </c>
    </row>
    <row r="190" spans="1:35" ht="15.6">
      <c r="A190" s="35"/>
      <c r="B190" s="67" t="s">
        <v>198</v>
      </c>
      <c r="C190" s="66" t="s">
        <v>870</v>
      </c>
      <c r="D190" s="67" t="s">
        <v>48</v>
      </c>
      <c r="E190" s="69">
        <v>1</v>
      </c>
      <c r="F190" s="69" t="s">
        <v>871</v>
      </c>
      <c r="G190" s="69" t="s">
        <v>872</v>
      </c>
      <c r="H190" s="69">
        <v>3</v>
      </c>
      <c r="I190" s="69">
        <v>50</v>
      </c>
      <c r="J190" s="69">
        <v>1</v>
      </c>
      <c r="K190" s="69"/>
      <c r="L190" s="69" t="s">
        <v>873</v>
      </c>
      <c r="M190" s="69" t="s">
        <v>874</v>
      </c>
      <c r="N190" s="70" t="s">
        <v>739</v>
      </c>
      <c r="O190" s="75">
        <v>2</v>
      </c>
      <c r="P190" s="69">
        <v>4</v>
      </c>
      <c r="Q190" s="76">
        <v>7</v>
      </c>
      <c r="R190" s="76">
        <v>1</v>
      </c>
      <c r="S190" s="76">
        <v>25</v>
      </c>
      <c r="T190" s="77">
        <v>12</v>
      </c>
      <c r="U190" s="77">
        <v>5</v>
      </c>
      <c r="V190" s="77">
        <v>21</v>
      </c>
      <c r="W190" s="30">
        <v>43</v>
      </c>
      <c r="X190" s="78">
        <v>13.3</v>
      </c>
      <c r="Y190" s="77">
        <v>99.2</v>
      </c>
      <c r="Z190" s="77" t="s">
        <v>83</v>
      </c>
      <c r="AA190" s="77">
        <v>47</v>
      </c>
      <c r="AB190" s="77">
        <v>16</v>
      </c>
      <c r="AC190" s="18" t="s">
        <v>53</v>
      </c>
      <c r="AD190" s="9">
        <v>-0.43918188689999998</v>
      </c>
      <c r="AE190" s="9">
        <v>-1.3171745909999999</v>
      </c>
      <c r="AF190" s="9">
        <v>-1.642726482</v>
      </c>
      <c r="AG190" s="6" t="str">
        <f t="shared" si="13"/>
        <v>Normal</v>
      </c>
      <c r="AH190" s="7" t="str">
        <f t="shared" si="14"/>
        <v>BB Normal</v>
      </c>
      <c r="AI190" s="8" t="str">
        <f t="shared" si="15"/>
        <v>Normal</v>
      </c>
    </row>
    <row r="191" spans="1:35" ht="15.6">
      <c r="A191" s="35"/>
      <c r="B191" s="67" t="s">
        <v>198</v>
      </c>
      <c r="C191" s="66" t="s">
        <v>875</v>
      </c>
      <c r="D191" s="67" t="s">
        <v>37</v>
      </c>
      <c r="E191" s="69">
        <v>2</v>
      </c>
      <c r="F191" s="69" t="s">
        <v>876</v>
      </c>
      <c r="G191" s="69" t="s">
        <v>877</v>
      </c>
      <c r="H191" s="74">
        <v>45871</v>
      </c>
      <c r="I191" s="69">
        <v>49</v>
      </c>
      <c r="J191" s="69">
        <v>1</v>
      </c>
      <c r="K191" s="69"/>
      <c r="L191" s="69" t="s">
        <v>878</v>
      </c>
      <c r="M191" s="69" t="s">
        <v>879</v>
      </c>
      <c r="N191" s="70" t="s">
        <v>739</v>
      </c>
      <c r="O191" s="75">
        <v>2</v>
      </c>
      <c r="P191" s="69">
        <v>4</v>
      </c>
      <c r="Q191" s="76">
        <v>7</v>
      </c>
      <c r="R191" s="76">
        <v>1</v>
      </c>
      <c r="S191" s="76">
        <v>25</v>
      </c>
      <c r="T191" s="77">
        <v>26</v>
      </c>
      <c r="U191" s="77">
        <v>5</v>
      </c>
      <c r="V191" s="77">
        <v>21</v>
      </c>
      <c r="W191" s="30">
        <v>44</v>
      </c>
      <c r="X191" s="78">
        <v>14.2</v>
      </c>
      <c r="Y191" s="77">
        <v>97</v>
      </c>
      <c r="Z191" s="77" t="s">
        <v>83</v>
      </c>
      <c r="AA191" s="77">
        <v>50</v>
      </c>
      <c r="AB191" s="77">
        <v>15</v>
      </c>
      <c r="AC191" s="18" t="s">
        <v>53</v>
      </c>
      <c r="AD191" s="9">
        <v>24.162095220000001</v>
      </c>
      <c r="AE191" s="9">
        <v>-0.54484065140000004</v>
      </c>
      <c r="AF191" s="9">
        <v>-1.955509267E-2</v>
      </c>
      <c r="AG191" s="6" t="str">
        <f t="shared" si="13"/>
        <v>Tinggi</v>
      </c>
      <c r="AH191" s="7" t="str">
        <f t="shared" si="14"/>
        <v>BB Normal</v>
      </c>
      <c r="AI191" s="8" t="str">
        <f t="shared" si="15"/>
        <v>Normal</v>
      </c>
    </row>
    <row r="192" spans="1:35" ht="15.6">
      <c r="A192" s="35"/>
      <c r="B192" s="67" t="s">
        <v>44</v>
      </c>
      <c r="C192" s="66" t="s">
        <v>880</v>
      </c>
      <c r="D192" s="67" t="s">
        <v>37</v>
      </c>
      <c r="E192" s="69">
        <v>2</v>
      </c>
      <c r="F192" s="69" t="s">
        <v>881</v>
      </c>
      <c r="G192" s="69" t="s">
        <v>882</v>
      </c>
      <c r="H192" s="74">
        <v>45902</v>
      </c>
      <c r="I192" s="69">
        <v>49</v>
      </c>
      <c r="J192" s="69">
        <v>1</v>
      </c>
      <c r="K192" s="69"/>
      <c r="L192" s="69" t="s">
        <v>79</v>
      </c>
      <c r="M192" s="69" t="s">
        <v>883</v>
      </c>
      <c r="N192" s="70" t="s">
        <v>739</v>
      </c>
      <c r="O192" s="75">
        <v>1</v>
      </c>
      <c r="P192" s="69">
        <v>4</v>
      </c>
      <c r="Q192" s="76">
        <v>7</v>
      </c>
      <c r="R192" s="76">
        <v>1</v>
      </c>
      <c r="S192" s="76">
        <v>25</v>
      </c>
      <c r="T192" s="77">
        <v>10</v>
      </c>
      <c r="U192" s="77">
        <v>1</v>
      </c>
      <c r="V192" s="79">
        <v>22</v>
      </c>
      <c r="W192" s="30">
        <v>42</v>
      </c>
      <c r="X192" s="78">
        <v>11.5</v>
      </c>
      <c r="Y192" s="77">
        <v>93</v>
      </c>
      <c r="Z192" s="77" t="s">
        <v>83</v>
      </c>
      <c r="AA192" s="77">
        <v>46</v>
      </c>
      <c r="AB192" s="77">
        <v>15</v>
      </c>
      <c r="AC192" s="18" t="s">
        <v>53</v>
      </c>
      <c r="AD192" s="9">
        <v>20.42641995</v>
      </c>
      <c r="AE192" s="9">
        <v>-1.519655771</v>
      </c>
      <c r="AF192" s="9">
        <v>-1.632755814</v>
      </c>
      <c r="AG192" s="6" t="str">
        <f t="shared" si="13"/>
        <v>Tinggi</v>
      </c>
      <c r="AH192" s="7" t="str">
        <f t="shared" si="14"/>
        <v>BB Normal</v>
      </c>
      <c r="AI192" s="8" t="str">
        <f t="shared" si="15"/>
        <v>Normal</v>
      </c>
    </row>
    <row r="193" spans="1:35" ht="15.6">
      <c r="A193" s="35"/>
      <c r="B193" s="67" t="s">
        <v>36</v>
      </c>
      <c r="C193" s="66" t="s">
        <v>884</v>
      </c>
      <c r="D193" s="67" t="s">
        <v>37</v>
      </c>
      <c r="E193" s="69">
        <v>2</v>
      </c>
      <c r="F193" s="69" t="s">
        <v>885</v>
      </c>
      <c r="G193" s="69" t="s">
        <v>886</v>
      </c>
      <c r="H193" s="69">
        <v>3</v>
      </c>
      <c r="I193" s="69">
        <v>49</v>
      </c>
      <c r="J193" s="69">
        <v>1</v>
      </c>
      <c r="K193" s="69"/>
      <c r="L193" s="69" t="s">
        <v>887</v>
      </c>
      <c r="M193" s="69" t="s">
        <v>888</v>
      </c>
      <c r="N193" s="70" t="s">
        <v>739</v>
      </c>
      <c r="O193" s="75">
        <v>1</v>
      </c>
      <c r="P193" s="69">
        <v>4</v>
      </c>
      <c r="Q193" s="76">
        <v>7</v>
      </c>
      <c r="R193" s="76">
        <v>1</v>
      </c>
      <c r="S193" s="76">
        <v>25</v>
      </c>
      <c r="T193" s="77">
        <v>19</v>
      </c>
      <c r="U193" s="77">
        <v>1</v>
      </c>
      <c r="V193" s="79">
        <v>22</v>
      </c>
      <c r="W193" s="30">
        <v>42</v>
      </c>
      <c r="X193" s="78">
        <v>11.5</v>
      </c>
      <c r="Y193" s="77">
        <v>87</v>
      </c>
      <c r="Z193" s="77" t="s">
        <v>83</v>
      </c>
      <c r="AA193" s="77">
        <v>45</v>
      </c>
      <c r="AB193" s="77">
        <v>15</v>
      </c>
      <c r="AC193" s="18" t="s">
        <v>53</v>
      </c>
      <c r="AD193" s="9">
        <v>18.310755539999999</v>
      </c>
      <c r="AE193" s="9">
        <v>-1.489707004</v>
      </c>
      <c r="AF193" s="9">
        <v>-0.22259590439999999</v>
      </c>
      <c r="AG193" s="6" t="str">
        <f t="shared" si="13"/>
        <v>Tinggi</v>
      </c>
      <c r="AH193" s="7" t="str">
        <f t="shared" si="14"/>
        <v>BB Normal</v>
      </c>
      <c r="AI193" s="8" t="str">
        <f t="shared" si="15"/>
        <v>Normal</v>
      </c>
    </row>
    <row r="194" spans="1:35" ht="15.6">
      <c r="A194" s="35"/>
      <c r="B194" s="67" t="s">
        <v>198</v>
      </c>
      <c r="C194" s="66" t="s">
        <v>889</v>
      </c>
      <c r="D194" s="67" t="s">
        <v>48</v>
      </c>
      <c r="E194" s="69">
        <v>1</v>
      </c>
      <c r="F194" s="69" t="s">
        <v>890</v>
      </c>
      <c r="G194" s="69" t="s">
        <v>891</v>
      </c>
      <c r="H194" s="74">
        <v>45780</v>
      </c>
      <c r="I194" s="69">
        <v>50</v>
      </c>
      <c r="J194" s="69">
        <v>1</v>
      </c>
      <c r="K194" s="69"/>
      <c r="L194" s="69" t="s">
        <v>892</v>
      </c>
      <c r="M194" s="69" t="s">
        <v>893</v>
      </c>
      <c r="N194" s="70" t="s">
        <v>739</v>
      </c>
      <c r="O194" s="75">
        <v>2</v>
      </c>
      <c r="P194" s="69">
        <v>4</v>
      </c>
      <c r="Q194" s="76">
        <v>7</v>
      </c>
      <c r="R194" s="76">
        <v>1</v>
      </c>
      <c r="S194" s="76">
        <v>25</v>
      </c>
      <c r="T194" s="77">
        <v>23</v>
      </c>
      <c r="U194" s="77">
        <v>3</v>
      </c>
      <c r="V194" s="79">
        <v>22</v>
      </c>
      <c r="W194" s="30">
        <v>44</v>
      </c>
      <c r="X194" s="78">
        <v>14.2</v>
      </c>
      <c r="Y194" s="77">
        <v>94.8</v>
      </c>
      <c r="Z194" s="77" t="s">
        <v>83</v>
      </c>
      <c r="AA194" s="77">
        <v>49</v>
      </c>
      <c r="AB194" s="77">
        <v>16</v>
      </c>
      <c r="AC194" s="18" t="s">
        <v>53</v>
      </c>
      <c r="AD194" s="9">
        <v>22.01848541</v>
      </c>
      <c r="AE194" s="9">
        <v>0.165581902</v>
      </c>
      <c r="AF194" s="9">
        <v>0.3257154182</v>
      </c>
      <c r="AG194" s="6" t="str">
        <f t="shared" si="13"/>
        <v>Tinggi</v>
      </c>
      <c r="AH194" s="7" t="str">
        <f t="shared" si="14"/>
        <v>BB Normal</v>
      </c>
      <c r="AI194" s="8" t="str">
        <f t="shared" si="15"/>
        <v>Normal</v>
      </c>
    </row>
    <row r="195" spans="1:35" ht="15.6">
      <c r="A195" s="35"/>
      <c r="B195" s="67" t="s">
        <v>36</v>
      </c>
      <c r="C195" s="66" t="s">
        <v>894</v>
      </c>
      <c r="D195" s="67" t="s">
        <v>37</v>
      </c>
      <c r="E195" s="69">
        <v>2</v>
      </c>
      <c r="F195" s="69" t="s">
        <v>895</v>
      </c>
      <c r="G195" s="69" t="s">
        <v>896</v>
      </c>
      <c r="H195" s="74">
        <v>45871</v>
      </c>
      <c r="I195" s="69">
        <v>49</v>
      </c>
      <c r="J195" s="69">
        <v>1</v>
      </c>
      <c r="K195" s="69"/>
      <c r="L195" s="69" t="s">
        <v>897</v>
      </c>
      <c r="M195" s="69" t="s">
        <v>898</v>
      </c>
      <c r="N195" s="70" t="s">
        <v>739</v>
      </c>
      <c r="O195" s="75">
        <v>1</v>
      </c>
      <c r="P195" s="69">
        <v>4</v>
      </c>
      <c r="Q195" s="76">
        <v>7</v>
      </c>
      <c r="R195" s="76">
        <v>1</v>
      </c>
      <c r="S195" s="76">
        <v>25</v>
      </c>
      <c r="T195" s="77">
        <v>23</v>
      </c>
      <c r="U195" s="77">
        <v>5</v>
      </c>
      <c r="V195" s="79">
        <v>22</v>
      </c>
      <c r="W195" s="30">
        <v>31</v>
      </c>
      <c r="X195" s="78">
        <v>11.3</v>
      </c>
      <c r="Y195" s="77">
        <v>85.5</v>
      </c>
      <c r="Z195" s="77" t="s">
        <v>83</v>
      </c>
      <c r="AA195" s="77">
        <v>45.5</v>
      </c>
      <c r="AB195" s="77">
        <v>16</v>
      </c>
      <c r="AC195" s="18" t="s">
        <v>53</v>
      </c>
      <c r="AD195" s="9">
        <v>-1.760458281</v>
      </c>
      <c r="AE195" s="9">
        <v>-1.165531624</v>
      </c>
      <c r="AF195" s="9">
        <v>-0.22496985890000001</v>
      </c>
      <c r="AG195" s="6" t="str">
        <f t="shared" si="13"/>
        <v>Normal</v>
      </c>
      <c r="AH195" s="7" t="str">
        <f t="shared" si="14"/>
        <v>BB Normal</v>
      </c>
      <c r="AI195" s="8" t="str">
        <f t="shared" si="15"/>
        <v>Normal</v>
      </c>
    </row>
    <row r="196" spans="1:35" ht="15.6">
      <c r="A196" s="35"/>
      <c r="B196" s="67" t="s">
        <v>36</v>
      </c>
      <c r="C196" s="66" t="s">
        <v>899</v>
      </c>
      <c r="D196" s="67" t="s">
        <v>48</v>
      </c>
      <c r="E196" s="69">
        <v>1</v>
      </c>
      <c r="F196" s="69" t="s">
        <v>900</v>
      </c>
      <c r="G196" s="69" t="s">
        <v>901</v>
      </c>
      <c r="H196" s="74">
        <v>45780</v>
      </c>
      <c r="I196" s="69">
        <v>49</v>
      </c>
      <c r="J196" s="69">
        <v>1</v>
      </c>
      <c r="K196" s="69"/>
      <c r="L196" s="69" t="s">
        <v>902</v>
      </c>
      <c r="M196" s="69" t="s">
        <v>903</v>
      </c>
      <c r="N196" s="70" t="s">
        <v>739</v>
      </c>
      <c r="O196" s="75">
        <v>1</v>
      </c>
      <c r="P196" s="69">
        <v>4</v>
      </c>
      <c r="Q196" s="76">
        <v>7</v>
      </c>
      <c r="R196" s="76">
        <v>1</v>
      </c>
      <c r="S196" s="76">
        <v>25</v>
      </c>
      <c r="T196" s="77">
        <v>3</v>
      </c>
      <c r="U196" s="77">
        <v>6</v>
      </c>
      <c r="V196" s="79">
        <v>22</v>
      </c>
      <c r="W196" s="30">
        <v>31</v>
      </c>
      <c r="X196" s="78">
        <v>11.3</v>
      </c>
      <c r="Y196" s="77">
        <v>85.7</v>
      </c>
      <c r="Z196" s="77" t="s">
        <v>83</v>
      </c>
      <c r="AA196" s="77">
        <v>50</v>
      </c>
      <c r="AB196" s="77">
        <v>16</v>
      </c>
      <c r="AC196" s="18" t="s">
        <v>53</v>
      </c>
      <c r="AD196" s="9">
        <v>-2.0438018160000002</v>
      </c>
      <c r="AE196" s="9">
        <v>-1.508860485</v>
      </c>
      <c r="AF196" s="9">
        <v>-0.59883880850000004</v>
      </c>
      <c r="AG196" s="6" t="str">
        <f t="shared" ref="AG196:AG259" si="17">IF(Y196&gt;0,IF(AD196&lt;-3,"S.Pendek",IF(AD196&lt;-2,"Pendek",IF(AD196&lt;=3,"Normal","Tinggi")))," ")</f>
        <v>Pendek</v>
      </c>
      <c r="AH196" s="7" t="str">
        <f t="shared" ref="AH196:AH259" si="18">IF(X196&gt;0,IF(AE196&lt;-3,"BB S.Krg",IF(AE196&lt;-2,"BB Krg",IF(AE196&lt;=1,"BB Normal","Ris Lbh")))," ")</f>
        <v>BB Normal</v>
      </c>
      <c r="AI196" s="8" t="str">
        <f t="shared" ref="AI196:AI259" si="19">IF(X196&gt;0,IF(Y196&gt;0,IF(AF196&lt;-3,"Gz.Brk",IF(AF196&lt;-2,"Gz.Krg",IF(AF196&lt;=1,"Normal",IF(AF196&lt;=2,"R.Gz.Lbh",IF(AF196&lt;=3,"Gz.Lbh","Obesitas")))))," "),"")</f>
        <v>Normal</v>
      </c>
    </row>
    <row r="197" spans="1:35" ht="15.6">
      <c r="A197" s="35"/>
      <c r="B197" s="67" t="s">
        <v>292</v>
      </c>
      <c r="C197" s="66" t="s">
        <v>904</v>
      </c>
      <c r="D197" s="67" t="s">
        <v>48</v>
      </c>
      <c r="E197" s="69">
        <v>1</v>
      </c>
      <c r="F197" s="69" t="s">
        <v>801</v>
      </c>
      <c r="G197" s="69" t="s">
        <v>905</v>
      </c>
      <c r="H197" s="74">
        <v>45871</v>
      </c>
      <c r="I197" s="69">
        <v>50</v>
      </c>
      <c r="J197" s="69">
        <v>1</v>
      </c>
      <c r="K197" s="69"/>
      <c r="L197" s="69" t="s">
        <v>803</v>
      </c>
      <c r="M197" s="69" t="s">
        <v>804</v>
      </c>
      <c r="N197" s="70" t="s">
        <v>739</v>
      </c>
      <c r="O197" s="75">
        <v>2</v>
      </c>
      <c r="P197" s="69">
        <v>4</v>
      </c>
      <c r="Q197" s="76">
        <v>7</v>
      </c>
      <c r="R197" s="76">
        <v>1</v>
      </c>
      <c r="S197" s="76">
        <v>25</v>
      </c>
      <c r="T197" s="77">
        <v>25</v>
      </c>
      <c r="U197" s="77">
        <v>9</v>
      </c>
      <c r="V197" s="79">
        <v>22</v>
      </c>
      <c r="W197" s="30">
        <v>27</v>
      </c>
      <c r="X197" s="78">
        <v>12.7</v>
      </c>
      <c r="Y197" s="77">
        <v>89.3</v>
      </c>
      <c r="Z197" s="77" t="s">
        <v>83</v>
      </c>
      <c r="AA197" s="77">
        <v>50</v>
      </c>
      <c r="AB197" s="77">
        <v>16</v>
      </c>
      <c r="AC197" s="18" t="s">
        <v>53</v>
      </c>
      <c r="AD197" s="9">
        <v>-0.20231924970000001</v>
      </c>
      <c r="AE197" s="9">
        <v>-8.2293688449999999E-2</v>
      </c>
      <c r="AF197" s="9">
        <v>-2.107683871E-2</v>
      </c>
      <c r="AG197" s="6" t="str">
        <f t="shared" si="17"/>
        <v>Normal</v>
      </c>
      <c r="AH197" s="7" t="str">
        <f t="shared" si="18"/>
        <v>BB Normal</v>
      </c>
      <c r="AI197" s="8" t="str">
        <f t="shared" si="19"/>
        <v>Normal</v>
      </c>
    </row>
    <row r="198" spans="1:35" ht="15.6">
      <c r="A198" s="35"/>
      <c r="B198" s="67" t="s">
        <v>292</v>
      </c>
      <c r="C198" s="66" t="s">
        <v>906</v>
      </c>
      <c r="D198" s="67" t="s">
        <v>37</v>
      </c>
      <c r="E198" s="69">
        <v>2</v>
      </c>
      <c r="F198" s="69" t="s">
        <v>907</v>
      </c>
      <c r="G198" s="69" t="s">
        <v>908</v>
      </c>
      <c r="H198" s="74">
        <v>45719</v>
      </c>
      <c r="I198" s="69">
        <v>49</v>
      </c>
      <c r="J198" s="69">
        <v>1</v>
      </c>
      <c r="K198" s="69"/>
      <c r="L198" s="69" t="s">
        <v>909</v>
      </c>
      <c r="M198" s="69" t="s">
        <v>910</v>
      </c>
      <c r="N198" s="70" t="s">
        <v>739</v>
      </c>
      <c r="O198" s="75">
        <v>4</v>
      </c>
      <c r="P198" s="69">
        <v>4</v>
      </c>
      <c r="Q198" s="76">
        <v>7</v>
      </c>
      <c r="R198" s="76">
        <v>1</v>
      </c>
      <c r="S198" s="76">
        <v>25</v>
      </c>
      <c r="T198" s="77">
        <v>30</v>
      </c>
      <c r="U198" s="77">
        <v>11</v>
      </c>
      <c r="V198" s="79">
        <v>22</v>
      </c>
      <c r="W198" s="30">
        <v>25</v>
      </c>
      <c r="X198" s="47">
        <v>17</v>
      </c>
      <c r="Y198" s="47">
        <v>112.6</v>
      </c>
      <c r="Z198" s="47" t="s">
        <v>1240</v>
      </c>
      <c r="AA198" s="47">
        <v>49.5</v>
      </c>
      <c r="AB198" s="47">
        <v>16</v>
      </c>
      <c r="AC198" s="18" t="s">
        <v>53</v>
      </c>
      <c r="AD198" s="9">
        <v>22.01848541</v>
      </c>
      <c r="AE198" s="9">
        <v>0.165581902</v>
      </c>
      <c r="AF198" s="9">
        <v>-0.49680120449999998</v>
      </c>
      <c r="AG198" s="6" t="str">
        <f t="shared" si="17"/>
        <v>Tinggi</v>
      </c>
      <c r="AH198" s="7" t="str">
        <f t="shared" si="18"/>
        <v>BB Normal</v>
      </c>
      <c r="AI198" s="8" t="str">
        <f t="shared" si="19"/>
        <v>Normal</v>
      </c>
    </row>
    <row r="199" spans="1:35" ht="15.6">
      <c r="A199" s="35"/>
      <c r="B199" s="67" t="s">
        <v>36</v>
      </c>
      <c r="C199" s="66" t="s">
        <v>521</v>
      </c>
      <c r="D199" s="67" t="s">
        <v>37</v>
      </c>
      <c r="E199" s="69">
        <v>2</v>
      </c>
      <c r="F199" s="69" t="s">
        <v>911</v>
      </c>
      <c r="G199" s="69" t="s">
        <v>912</v>
      </c>
      <c r="H199" s="74">
        <v>45871</v>
      </c>
      <c r="I199" s="69">
        <v>50</v>
      </c>
      <c r="J199" s="69">
        <v>1</v>
      </c>
      <c r="K199" s="69"/>
      <c r="L199" s="69" t="s">
        <v>913</v>
      </c>
      <c r="M199" s="69" t="s">
        <v>914</v>
      </c>
      <c r="N199" s="70" t="s">
        <v>739</v>
      </c>
      <c r="O199" s="75">
        <v>3</v>
      </c>
      <c r="P199" s="69">
        <v>4</v>
      </c>
      <c r="Q199" s="76">
        <v>7</v>
      </c>
      <c r="R199" s="76">
        <v>1</v>
      </c>
      <c r="S199" s="76">
        <v>25</v>
      </c>
      <c r="T199" s="77">
        <v>10</v>
      </c>
      <c r="U199" s="77">
        <v>11</v>
      </c>
      <c r="V199" s="79">
        <v>22</v>
      </c>
      <c r="W199" s="30">
        <v>25</v>
      </c>
      <c r="X199" s="78">
        <v>11.8</v>
      </c>
      <c r="Y199" s="77">
        <v>86</v>
      </c>
      <c r="Z199" s="77" t="s">
        <v>83</v>
      </c>
      <c r="AA199" s="77">
        <v>48</v>
      </c>
      <c r="AB199" s="77">
        <v>17</v>
      </c>
      <c r="AC199" s="18" t="s">
        <v>53</v>
      </c>
      <c r="AD199" s="9">
        <v>-0.41446511489999999</v>
      </c>
      <c r="AE199" s="9">
        <v>-5.4923197700000002E-2</v>
      </c>
      <c r="AF199" s="9">
        <v>0.15576029769999999</v>
      </c>
      <c r="AG199" s="6" t="str">
        <f t="shared" si="17"/>
        <v>Normal</v>
      </c>
      <c r="AH199" s="7" t="str">
        <f t="shared" si="18"/>
        <v>BB Normal</v>
      </c>
      <c r="AI199" s="8" t="str">
        <f t="shared" si="19"/>
        <v>Normal</v>
      </c>
    </row>
    <row r="200" spans="1:35" ht="15.6">
      <c r="A200" s="35"/>
      <c r="B200" s="67" t="s">
        <v>198</v>
      </c>
      <c r="C200" s="66" t="s">
        <v>915</v>
      </c>
      <c r="D200" s="67" t="s">
        <v>37</v>
      </c>
      <c r="E200" s="69">
        <v>2</v>
      </c>
      <c r="F200" s="69" t="s">
        <v>916</v>
      </c>
      <c r="G200" s="69" t="s">
        <v>917</v>
      </c>
      <c r="H200" s="69">
        <v>3.1</v>
      </c>
      <c r="I200" s="69">
        <v>50</v>
      </c>
      <c r="J200" s="69">
        <v>1</v>
      </c>
      <c r="K200" s="69"/>
      <c r="L200" s="69" t="s">
        <v>918</v>
      </c>
      <c r="M200" s="69" t="s">
        <v>919</v>
      </c>
      <c r="N200" s="70" t="s">
        <v>739</v>
      </c>
      <c r="O200" s="75">
        <v>3</v>
      </c>
      <c r="P200" s="69">
        <v>4</v>
      </c>
      <c r="Q200" s="76">
        <v>7</v>
      </c>
      <c r="R200" s="76">
        <v>1</v>
      </c>
      <c r="S200" s="76">
        <v>25</v>
      </c>
      <c r="T200" s="77">
        <v>28</v>
      </c>
      <c r="U200" s="77">
        <v>11</v>
      </c>
      <c r="V200" s="79">
        <v>22</v>
      </c>
      <c r="W200" s="30">
        <v>25</v>
      </c>
      <c r="X200" s="78">
        <v>14.2</v>
      </c>
      <c r="Y200" s="77">
        <v>86.1</v>
      </c>
      <c r="Z200" s="77" t="s">
        <v>83</v>
      </c>
      <c r="AA200" s="77">
        <v>47.6</v>
      </c>
      <c r="AB200" s="77">
        <v>17</v>
      </c>
      <c r="AC200" s="18" t="s">
        <v>53</v>
      </c>
      <c r="AD200" s="9">
        <v>-0.23378554970000001</v>
      </c>
      <c r="AE200" s="9">
        <v>1.5879124600000001</v>
      </c>
      <c r="AF200" s="9">
        <v>2.2947979250000001</v>
      </c>
      <c r="AG200" s="6" t="str">
        <f t="shared" si="17"/>
        <v>Normal</v>
      </c>
      <c r="AH200" s="7" t="str">
        <f t="shared" si="18"/>
        <v>Ris Lbh</v>
      </c>
      <c r="AI200" s="8" t="str">
        <f t="shared" si="19"/>
        <v>Gz.Lbh</v>
      </c>
    </row>
    <row r="201" spans="1:35" ht="15.6">
      <c r="A201" s="35"/>
      <c r="B201" s="67" t="s">
        <v>36</v>
      </c>
      <c r="C201" s="66" t="s">
        <v>920</v>
      </c>
      <c r="D201" s="67" t="s">
        <v>37</v>
      </c>
      <c r="E201" s="69">
        <v>2</v>
      </c>
      <c r="F201" s="69" t="s">
        <v>921</v>
      </c>
      <c r="G201" s="69" t="s">
        <v>922</v>
      </c>
      <c r="H201" s="74">
        <v>45810</v>
      </c>
      <c r="I201" s="69">
        <v>49</v>
      </c>
      <c r="J201" s="69">
        <v>1</v>
      </c>
      <c r="K201" s="69"/>
      <c r="L201" s="69" t="s">
        <v>923</v>
      </c>
      <c r="M201" s="69" t="s">
        <v>924</v>
      </c>
      <c r="N201" s="70" t="s">
        <v>739</v>
      </c>
      <c r="O201" s="75">
        <v>3</v>
      </c>
      <c r="P201" s="69">
        <v>4</v>
      </c>
      <c r="Q201" s="76">
        <v>7</v>
      </c>
      <c r="R201" s="76">
        <v>1</v>
      </c>
      <c r="S201" s="76">
        <v>25</v>
      </c>
      <c r="T201" s="77">
        <v>11</v>
      </c>
      <c r="U201" s="77">
        <v>1</v>
      </c>
      <c r="V201" s="79">
        <v>23</v>
      </c>
      <c r="W201" s="30">
        <v>23</v>
      </c>
      <c r="X201" s="78">
        <v>14</v>
      </c>
      <c r="Y201" s="77">
        <v>79.099999999999994</v>
      </c>
      <c r="Z201" s="77" t="s">
        <v>131</v>
      </c>
      <c r="AA201" s="77">
        <v>46.6</v>
      </c>
      <c r="AB201" s="77">
        <v>16</v>
      </c>
      <c r="AC201" s="18" t="s">
        <v>53</v>
      </c>
      <c r="AD201" s="9">
        <v>-2.0472580169999999</v>
      </c>
      <c r="AE201" s="9">
        <v>1.6699735490000001</v>
      </c>
      <c r="AF201" s="9">
        <v>3.999668802</v>
      </c>
      <c r="AG201" s="6" t="str">
        <f t="shared" si="17"/>
        <v>Pendek</v>
      </c>
      <c r="AH201" s="7" t="str">
        <f t="shared" si="18"/>
        <v>Ris Lbh</v>
      </c>
      <c r="AI201" s="8" t="str">
        <f t="shared" si="19"/>
        <v>Obesitas</v>
      </c>
    </row>
    <row r="202" spans="1:35" ht="15.6">
      <c r="A202" s="35"/>
      <c r="B202" s="67" t="s">
        <v>198</v>
      </c>
      <c r="C202" s="66" t="s">
        <v>925</v>
      </c>
      <c r="D202" s="67" t="s">
        <v>48</v>
      </c>
      <c r="E202" s="69">
        <v>1</v>
      </c>
      <c r="F202" s="69" t="s">
        <v>926</v>
      </c>
      <c r="G202" s="69" t="s">
        <v>927</v>
      </c>
      <c r="H202" s="69">
        <v>4.3</v>
      </c>
      <c r="I202" s="69">
        <v>53</v>
      </c>
      <c r="J202" s="69">
        <v>1</v>
      </c>
      <c r="K202" s="69"/>
      <c r="L202" s="69" t="s">
        <v>928</v>
      </c>
      <c r="M202" s="69" t="s">
        <v>929</v>
      </c>
      <c r="N202" s="70" t="s">
        <v>739</v>
      </c>
      <c r="O202" s="75">
        <v>2</v>
      </c>
      <c r="P202" s="69">
        <v>4</v>
      </c>
      <c r="Q202" s="76">
        <v>7</v>
      </c>
      <c r="R202" s="76">
        <v>1</v>
      </c>
      <c r="S202" s="76">
        <v>25</v>
      </c>
      <c r="T202" s="77">
        <v>31</v>
      </c>
      <c r="U202" s="77">
        <v>3</v>
      </c>
      <c r="V202" s="79">
        <v>23</v>
      </c>
      <c r="W202" s="30">
        <v>21</v>
      </c>
      <c r="X202" s="78">
        <v>12</v>
      </c>
      <c r="Y202" s="77">
        <v>84</v>
      </c>
      <c r="Z202" s="77" t="s">
        <v>131</v>
      </c>
      <c r="AA202" s="77">
        <v>46.3</v>
      </c>
      <c r="AB202" s="77">
        <v>15</v>
      </c>
      <c r="AC202" s="18" t="s">
        <v>53</v>
      </c>
      <c r="AD202" s="9">
        <v>-0.48256738030000002</v>
      </c>
      <c r="AE202" s="9">
        <v>0.29569798590000002</v>
      </c>
      <c r="AF202" s="9">
        <v>0.79555058160000003</v>
      </c>
      <c r="AG202" s="6" t="str">
        <f t="shared" si="17"/>
        <v>Normal</v>
      </c>
      <c r="AH202" s="7" t="str">
        <f t="shared" si="18"/>
        <v>BB Normal</v>
      </c>
      <c r="AI202" s="8" t="str">
        <f t="shared" si="19"/>
        <v>Normal</v>
      </c>
    </row>
    <row r="203" spans="1:35" ht="15.6">
      <c r="A203" s="35"/>
      <c r="B203" s="67" t="s">
        <v>36</v>
      </c>
      <c r="C203" s="66" t="s">
        <v>930</v>
      </c>
      <c r="D203" s="67" t="s">
        <v>37</v>
      </c>
      <c r="E203" s="69">
        <v>2</v>
      </c>
      <c r="F203" s="69" t="s">
        <v>931</v>
      </c>
      <c r="G203" s="69" t="s">
        <v>932</v>
      </c>
      <c r="H203" s="69">
        <v>3.2</v>
      </c>
      <c r="I203" s="69">
        <v>51</v>
      </c>
      <c r="J203" s="69">
        <v>1</v>
      </c>
      <c r="K203" s="69"/>
      <c r="L203" s="69" t="s">
        <v>743</v>
      </c>
      <c r="M203" s="69" t="s">
        <v>744</v>
      </c>
      <c r="N203" s="70" t="s">
        <v>739</v>
      </c>
      <c r="O203" s="75">
        <v>3</v>
      </c>
      <c r="P203" s="69">
        <v>4</v>
      </c>
      <c r="Q203" s="76">
        <v>7</v>
      </c>
      <c r="R203" s="76">
        <v>1</v>
      </c>
      <c r="S203" s="76">
        <v>25</v>
      </c>
      <c r="T203" s="77">
        <v>10</v>
      </c>
      <c r="U203" s="77">
        <v>4</v>
      </c>
      <c r="V203" s="79">
        <v>23</v>
      </c>
      <c r="W203" s="30">
        <v>20</v>
      </c>
      <c r="X203" s="78">
        <v>10.3</v>
      </c>
      <c r="Y203" s="77">
        <v>78.2</v>
      </c>
      <c r="Z203" s="77" t="s">
        <v>131</v>
      </c>
      <c r="AA203" s="77">
        <v>44</v>
      </c>
      <c r="AB203" s="77">
        <v>15</v>
      </c>
      <c r="AC203" s="18" t="s">
        <v>53</v>
      </c>
      <c r="AD203" s="9">
        <v>-1.7706991249999999</v>
      </c>
      <c r="AE203" s="9">
        <v>-0.43353940629999999</v>
      </c>
      <c r="AF203" s="9">
        <v>0.6524374651</v>
      </c>
      <c r="AG203" s="6" t="str">
        <f t="shared" si="17"/>
        <v>Normal</v>
      </c>
      <c r="AH203" s="7" t="str">
        <f t="shared" si="18"/>
        <v>BB Normal</v>
      </c>
      <c r="AI203" s="8" t="str">
        <f t="shared" si="19"/>
        <v>Normal</v>
      </c>
    </row>
    <row r="204" spans="1:35" ht="15.6">
      <c r="A204" s="35"/>
      <c r="B204" s="67" t="s">
        <v>44</v>
      </c>
      <c r="C204" s="66" t="s">
        <v>340</v>
      </c>
      <c r="D204" s="67" t="s">
        <v>48</v>
      </c>
      <c r="E204" s="69">
        <v>1</v>
      </c>
      <c r="F204" s="69" t="s">
        <v>933</v>
      </c>
      <c r="G204" s="69" t="s">
        <v>934</v>
      </c>
      <c r="H204" s="69">
        <v>2.8</v>
      </c>
      <c r="I204" s="69">
        <v>49</v>
      </c>
      <c r="J204" s="69">
        <v>1</v>
      </c>
      <c r="K204" s="69"/>
      <c r="L204" s="69" t="s">
        <v>935</v>
      </c>
      <c r="M204" s="69" t="s">
        <v>936</v>
      </c>
      <c r="N204" s="70" t="s">
        <v>739</v>
      </c>
      <c r="O204" s="75">
        <v>2</v>
      </c>
      <c r="P204" s="69">
        <v>4</v>
      </c>
      <c r="Q204" s="76">
        <v>7</v>
      </c>
      <c r="R204" s="76">
        <v>1</v>
      </c>
      <c r="S204" s="76">
        <v>25</v>
      </c>
      <c r="T204" s="77">
        <v>14</v>
      </c>
      <c r="U204" s="77">
        <v>4</v>
      </c>
      <c r="V204" s="79">
        <v>23</v>
      </c>
      <c r="W204" s="30">
        <v>20</v>
      </c>
      <c r="X204" s="78">
        <v>11.3</v>
      </c>
      <c r="Y204" s="77">
        <v>83.5</v>
      </c>
      <c r="Z204" s="77" t="s">
        <v>131</v>
      </c>
      <c r="AA204" s="77">
        <v>44.7</v>
      </c>
      <c r="AB204" s="77">
        <v>15.5</v>
      </c>
      <c r="AC204" s="18" t="s">
        <v>53</v>
      </c>
      <c r="AD204" s="9">
        <v>-0.51422616040000002</v>
      </c>
      <c r="AE204" s="9">
        <v>-0.1664974874</v>
      </c>
      <c r="AF204" s="9">
        <v>0.16638338450000001</v>
      </c>
      <c r="AG204" s="6" t="str">
        <f t="shared" si="17"/>
        <v>Normal</v>
      </c>
      <c r="AH204" s="7" t="str">
        <f t="shared" si="18"/>
        <v>BB Normal</v>
      </c>
      <c r="AI204" s="8" t="str">
        <f t="shared" si="19"/>
        <v>Normal</v>
      </c>
    </row>
    <row r="205" spans="1:35" ht="15.6">
      <c r="A205" s="35"/>
      <c r="B205" s="67" t="s">
        <v>198</v>
      </c>
      <c r="C205" s="66" t="s">
        <v>937</v>
      </c>
      <c r="D205" s="67" t="s">
        <v>37</v>
      </c>
      <c r="E205" s="69">
        <v>2</v>
      </c>
      <c r="F205" s="69" t="s">
        <v>938</v>
      </c>
      <c r="G205" s="69" t="s">
        <v>939</v>
      </c>
      <c r="H205" s="69">
        <v>3.7</v>
      </c>
      <c r="I205" s="69">
        <v>47</v>
      </c>
      <c r="J205" s="69">
        <v>1</v>
      </c>
      <c r="K205" s="69"/>
      <c r="L205" s="69" t="s">
        <v>940</v>
      </c>
      <c r="M205" s="69" t="s">
        <v>941</v>
      </c>
      <c r="N205" s="70" t="s">
        <v>739</v>
      </c>
      <c r="O205" s="75">
        <v>3</v>
      </c>
      <c r="P205" s="69">
        <v>4</v>
      </c>
      <c r="Q205" s="76">
        <v>7</v>
      </c>
      <c r="R205" s="76">
        <v>1</v>
      </c>
      <c r="S205" s="76">
        <v>25</v>
      </c>
      <c r="T205" s="77">
        <v>6</v>
      </c>
      <c r="U205" s="77">
        <v>2</v>
      </c>
      <c r="V205" s="79">
        <v>23</v>
      </c>
      <c r="W205" s="30">
        <v>23</v>
      </c>
      <c r="X205" s="78">
        <v>10</v>
      </c>
      <c r="Y205" s="77">
        <v>83.5</v>
      </c>
      <c r="Z205" s="77" t="s">
        <v>131</v>
      </c>
      <c r="AA205" s="77">
        <v>44</v>
      </c>
      <c r="AB205" s="77">
        <v>14</v>
      </c>
      <c r="AC205" s="18" t="s">
        <v>53</v>
      </c>
      <c r="AD205" s="9">
        <v>-0.63809569300000002</v>
      </c>
      <c r="AE205" s="9">
        <v>-1.0100177100000001</v>
      </c>
      <c r="AF205" s="9">
        <v>-0.96701742229999998</v>
      </c>
      <c r="AG205" s="6" t="str">
        <f t="shared" si="17"/>
        <v>Normal</v>
      </c>
      <c r="AH205" s="7" t="str">
        <f t="shared" si="18"/>
        <v>BB Normal</v>
      </c>
      <c r="AI205" s="8" t="str">
        <f t="shared" si="19"/>
        <v>Normal</v>
      </c>
    </row>
    <row r="206" spans="1:35" ht="15.6">
      <c r="A206" s="35"/>
      <c r="B206" s="67" t="s">
        <v>198</v>
      </c>
      <c r="C206" s="66" t="s">
        <v>942</v>
      </c>
      <c r="D206" s="67" t="s">
        <v>37</v>
      </c>
      <c r="E206" s="69">
        <v>2</v>
      </c>
      <c r="F206" s="69" t="s">
        <v>943</v>
      </c>
      <c r="G206" s="69" t="s">
        <v>944</v>
      </c>
      <c r="H206" s="69">
        <v>2.7</v>
      </c>
      <c r="I206" s="69">
        <v>49</v>
      </c>
      <c r="J206" s="69">
        <v>1</v>
      </c>
      <c r="K206" s="69"/>
      <c r="L206" s="69" t="s">
        <v>945</v>
      </c>
      <c r="M206" s="69" t="s">
        <v>946</v>
      </c>
      <c r="N206" s="70" t="s">
        <v>739</v>
      </c>
      <c r="O206" s="75">
        <v>3</v>
      </c>
      <c r="P206" s="69">
        <v>4</v>
      </c>
      <c r="Q206" s="76">
        <v>7</v>
      </c>
      <c r="R206" s="76">
        <v>1</v>
      </c>
      <c r="S206" s="76">
        <v>25</v>
      </c>
      <c r="T206" s="77">
        <v>17</v>
      </c>
      <c r="U206" s="77">
        <v>5</v>
      </c>
      <c r="V206" s="79">
        <v>23</v>
      </c>
      <c r="W206" s="30">
        <v>19</v>
      </c>
      <c r="X206" s="78">
        <v>11.7</v>
      </c>
      <c r="Y206" s="77">
        <v>81.8</v>
      </c>
      <c r="Z206" s="77" t="s">
        <v>131</v>
      </c>
      <c r="AA206" s="77">
        <v>45.6</v>
      </c>
      <c r="AB206" s="77">
        <v>15.5</v>
      </c>
      <c r="AC206" s="18" t="s">
        <v>53</v>
      </c>
      <c r="AD206" s="9">
        <v>-0.2165070029</v>
      </c>
      <c r="AE206" s="9">
        <v>0.82031681919999999</v>
      </c>
      <c r="AF206" s="9">
        <v>1.296314591</v>
      </c>
      <c r="AG206" s="6" t="str">
        <f t="shared" si="17"/>
        <v>Normal</v>
      </c>
      <c r="AH206" s="7" t="str">
        <f t="shared" si="18"/>
        <v>BB Normal</v>
      </c>
      <c r="AI206" s="8" t="str">
        <f t="shared" si="19"/>
        <v>R.Gz.Lbh</v>
      </c>
    </row>
    <row r="207" spans="1:35" ht="15.6">
      <c r="A207" s="35"/>
      <c r="B207" s="67" t="s">
        <v>44</v>
      </c>
      <c r="C207" s="66" t="s">
        <v>947</v>
      </c>
      <c r="D207" s="67" t="s">
        <v>48</v>
      </c>
      <c r="E207" s="69">
        <v>1</v>
      </c>
      <c r="F207" s="69" t="s">
        <v>948</v>
      </c>
      <c r="G207" s="69" t="s">
        <v>949</v>
      </c>
      <c r="H207" s="69">
        <v>3.5</v>
      </c>
      <c r="I207" s="69">
        <v>52</v>
      </c>
      <c r="J207" s="69">
        <v>1</v>
      </c>
      <c r="K207" s="69"/>
      <c r="L207" s="69" t="s">
        <v>950</v>
      </c>
      <c r="M207" s="69" t="s">
        <v>951</v>
      </c>
      <c r="N207" s="70" t="s">
        <v>739</v>
      </c>
      <c r="O207" s="75">
        <v>1</v>
      </c>
      <c r="P207" s="69">
        <v>4</v>
      </c>
      <c r="Q207" s="76">
        <v>7</v>
      </c>
      <c r="R207" s="76">
        <v>1</v>
      </c>
      <c r="S207" s="76">
        <v>25</v>
      </c>
      <c r="T207" s="77">
        <v>25</v>
      </c>
      <c r="U207" s="77">
        <v>5</v>
      </c>
      <c r="V207" s="79">
        <v>23</v>
      </c>
      <c r="W207" s="30">
        <v>19</v>
      </c>
      <c r="X207" s="78">
        <v>12.2</v>
      </c>
      <c r="Y207" s="77">
        <v>83.5</v>
      </c>
      <c r="Z207" s="77" t="s">
        <v>131</v>
      </c>
      <c r="AA207" s="77">
        <v>46.3</v>
      </c>
      <c r="AB207" s="77">
        <v>17</v>
      </c>
      <c r="AC207" s="18" t="s">
        <v>53</v>
      </c>
      <c r="AD207" s="9">
        <v>-7.1479191299999995E-2</v>
      </c>
      <c r="AE207" s="9">
        <v>0.73156299400000002</v>
      </c>
      <c r="AF207" s="9">
        <v>1.1293633940000001</v>
      </c>
      <c r="AG207" s="6" t="str">
        <f t="shared" si="17"/>
        <v>Normal</v>
      </c>
      <c r="AH207" s="7" t="str">
        <f t="shared" si="18"/>
        <v>BB Normal</v>
      </c>
      <c r="AI207" s="8" t="str">
        <f t="shared" si="19"/>
        <v>R.Gz.Lbh</v>
      </c>
    </row>
    <row r="208" spans="1:35" ht="15.6">
      <c r="A208" s="35"/>
      <c r="B208" s="67" t="s">
        <v>44</v>
      </c>
      <c r="C208" s="66" t="s">
        <v>952</v>
      </c>
      <c r="D208" s="67" t="s">
        <v>37</v>
      </c>
      <c r="E208" s="69">
        <v>2</v>
      </c>
      <c r="F208" s="69" t="s">
        <v>953</v>
      </c>
      <c r="G208" s="69" t="s">
        <v>954</v>
      </c>
      <c r="H208" s="69">
        <v>3.1</v>
      </c>
      <c r="I208" s="69">
        <v>51</v>
      </c>
      <c r="J208" s="69">
        <v>1</v>
      </c>
      <c r="K208" s="69"/>
      <c r="L208" s="69" t="s">
        <v>863</v>
      </c>
      <c r="M208" s="69" t="s">
        <v>864</v>
      </c>
      <c r="N208" s="70" t="s">
        <v>739</v>
      </c>
      <c r="O208" s="75">
        <v>1</v>
      </c>
      <c r="P208" s="69">
        <v>4</v>
      </c>
      <c r="Q208" s="76">
        <v>7</v>
      </c>
      <c r="R208" s="76">
        <v>1</v>
      </c>
      <c r="S208" s="76">
        <v>25</v>
      </c>
      <c r="T208" s="77">
        <v>5</v>
      </c>
      <c r="U208" s="77">
        <v>7</v>
      </c>
      <c r="V208" s="79">
        <v>23</v>
      </c>
      <c r="W208" s="30">
        <v>18</v>
      </c>
      <c r="X208" s="78">
        <v>10.5</v>
      </c>
      <c r="Y208" s="77">
        <v>80.7</v>
      </c>
      <c r="Z208" s="77" t="s">
        <v>131</v>
      </c>
      <c r="AA208" s="77">
        <v>46</v>
      </c>
      <c r="AB208" s="77">
        <v>16</v>
      </c>
      <c r="AC208" s="18" t="s">
        <v>53</v>
      </c>
      <c r="AD208" s="9">
        <v>-4.8998490569999997E-2</v>
      </c>
      <c r="AE208" s="9">
        <v>0.19009242570000001</v>
      </c>
      <c r="AF208" s="9">
        <v>0.30025812079999997</v>
      </c>
      <c r="AG208" s="6" t="str">
        <f t="shared" si="17"/>
        <v>Normal</v>
      </c>
      <c r="AH208" s="7" t="str">
        <f t="shared" si="18"/>
        <v>BB Normal</v>
      </c>
      <c r="AI208" s="8" t="str">
        <f t="shared" si="19"/>
        <v>Normal</v>
      </c>
    </row>
    <row r="209" spans="1:35" ht="15.6">
      <c r="A209" s="35"/>
      <c r="B209" s="67" t="s">
        <v>198</v>
      </c>
      <c r="C209" s="66" t="s">
        <v>955</v>
      </c>
      <c r="D209" s="67" t="s">
        <v>48</v>
      </c>
      <c r="E209" s="69">
        <v>1</v>
      </c>
      <c r="F209" s="69" t="s">
        <v>956</v>
      </c>
      <c r="G209" s="69" t="s">
        <v>957</v>
      </c>
      <c r="H209" s="69">
        <v>2.8</v>
      </c>
      <c r="I209" s="69">
        <v>49</v>
      </c>
      <c r="J209" s="69">
        <v>1</v>
      </c>
      <c r="K209" s="69"/>
      <c r="L209" s="69" t="s">
        <v>958</v>
      </c>
      <c r="M209" s="69" t="s">
        <v>959</v>
      </c>
      <c r="N209" s="70" t="s">
        <v>739</v>
      </c>
      <c r="O209" s="75">
        <v>1</v>
      </c>
      <c r="P209" s="69">
        <v>4</v>
      </c>
      <c r="Q209" s="76">
        <v>7</v>
      </c>
      <c r="R209" s="76">
        <v>1</v>
      </c>
      <c r="S209" s="76">
        <v>25</v>
      </c>
      <c r="T209" s="77">
        <v>22</v>
      </c>
      <c r="U209" s="77">
        <v>7</v>
      </c>
      <c r="V209" s="79">
        <v>23</v>
      </c>
      <c r="W209" s="30">
        <v>17</v>
      </c>
      <c r="X209" s="78">
        <v>12</v>
      </c>
      <c r="Y209" s="77">
        <v>85.7</v>
      </c>
      <c r="Z209" s="77" t="s">
        <v>131</v>
      </c>
      <c r="AA209" s="77">
        <v>47</v>
      </c>
      <c r="AB209" s="77">
        <v>16</v>
      </c>
      <c r="AC209" s="18" t="s">
        <v>53</v>
      </c>
      <c r="AD209" s="9">
        <v>1.449226288</v>
      </c>
      <c r="AE209" s="9">
        <v>0.90715708500000003</v>
      </c>
      <c r="AF209" s="9">
        <v>0.35314548140000002</v>
      </c>
      <c r="AG209" s="6" t="str">
        <f t="shared" si="17"/>
        <v>Normal</v>
      </c>
      <c r="AH209" s="7" t="str">
        <f t="shared" si="18"/>
        <v>BB Normal</v>
      </c>
      <c r="AI209" s="8" t="str">
        <f t="shared" si="19"/>
        <v>Normal</v>
      </c>
    </row>
    <row r="210" spans="1:35" ht="15.6">
      <c r="A210" s="35"/>
      <c r="B210" s="67" t="s">
        <v>44</v>
      </c>
      <c r="C210" s="66" t="s">
        <v>955</v>
      </c>
      <c r="D210" s="67" t="s">
        <v>37</v>
      </c>
      <c r="E210" s="69">
        <v>2</v>
      </c>
      <c r="F210" s="69" t="s">
        <v>960</v>
      </c>
      <c r="G210" s="69" t="s">
        <v>961</v>
      </c>
      <c r="H210" s="69">
        <v>3.65</v>
      </c>
      <c r="I210" s="69">
        <v>51</v>
      </c>
      <c r="J210" s="69">
        <v>1</v>
      </c>
      <c r="K210" s="69"/>
      <c r="L210" s="69" t="s">
        <v>962</v>
      </c>
      <c r="M210" s="69" t="s">
        <v>963</v>
      </c>
      <c r="N210" s="70" t="s">
        <v>739</v>
      </c>
      <c r="O210" s="75">
        <v>3</v>
      </c>
      <c r="P210" s="69">
        <v>4</v>
      </c>
      <c r="Q210" s="76">
        <v>7</v>
      </c>
      <c r="R210" s="76">
        <v>1</v>
      </c>
      <c r="S210" s="76">
        <v>25</v>
      </c>
      <c r="T210" s="77">
        <v>22</v>
      </c>
      <c r="U210" s="77">
        <v>7</v>
      </c>
      <c r="V210" s="79">
        <v>23</v>
      </c>
      <c r="W210" s="30">
        <v>17</v>
      </c>
      <c r="X210" s="78">
        <v>9.5</v>
      </c>
      <c r="Y210" s="77">
        <v>78.5</v>
      </c>
      <c r="Z210" s="77" t="s">
        <v>131</v>
      </c>
      <c r="AA210" s="77">
        <v>46</v>
      </c>
      <c r="AB210" s="77">
        <v>15</v>
      </c>
      <c r="AC210" s="18" t="s">
        <v>53</v>
      </c>
      <c r="AD210" s="9">
        <v>-0.61257111799999997</v>
      </c>
      <c r="AE210" s="9">
        <v>-0.54007168579999998</v>
      </c>
      <c r="AF210" s="9">
        <v>-0.35766447080000002</v>
      </c>
      <c r="AG210" s="6" t="str">
        <f t="shared" si="17"/>
        <v>Normal</v>
      </c>
      <c r="AH210" s="7" t="str">
        <f t="shared" si="18"/>
        <v>BB Normal</v>
      </c>
      <c r="AI210" s="8" t="str">
        <f t="shared" si="19"/>
        <v>Normal</v>
      </c>
    </row>
    <row r="211" spans="1:35" ht="15.6">
      <c r="A211" s="35"/>
      <c r="B211" s="67" t="s">
        <v>198</v>
      </c>
      <c r="C211" s="66" t="s">
        <v>964</v>
      </c>
      <c r="D211" s="67" t="s">
        <v>48</v>
      </c>
      <c r="E211" s="69">
        <v>1</v>
      </c>
      <c r="F211" s="69" t="s">
        <v>965</v>
      </c>
      <c r="G211" s="69" t="s">
        <v>966</v>
      </c>
      <c r="H211" s="69">
        <v>2.8</v>
      </c>
      <c r="I211" s="69">
        <v>49</v>
      </c>
      <c r="J211" s="69">
        <v>1</v>
      </c>
      <c r="K211" s="69"/>
      <c r="L211" s="69" t="s">
        <v>967</v>
      </c>
      <c r="M211" s="69" t="s">
        <v>968</v>
      </c>
      <c r="N211" s="70" t="s">
        <v>739</v>
      </c>
      <c r="O211" s="75">
        <v>2</v>
      </c>
      <c r="P211" s="69">
        <v>4</v>
      </c>
      <c r="Q211" s="76">
        <v>7</v>
      </c>
      <c r="R211" s="76">
        <v>1</v>
      </c>
      <c r="S211" s="76">
        <v>25</v>
      </c>
      <c r="T211" s="77">
        <v>20</v>
      </c>
      <c r="U211" s="77">
        <v>8</v>
      </c>
      <c r="V211" s="79">
        <v>23</v>
      </c>
      <c r="W211" s="30">
        <v>16</v>
      </c>
      <c r="X211" s="78">
        <v>8.5</v>
      </c>
      <c r="Y211" s="77">
        <v>75</v>
      </c>
      <c r="Z211" s="77" t="s">
        <v>131</v>
      </c>
      <c r="AA211" s="77">
        <v>45</v>
      </c>
      <c r="AB211" s="77">
        <v>15</v>
      </c>
      <c r="AC211" s="18" t="s">
        <v>53</v>
      </c>
      <c r="AD211" s="9">
        <v>-2.2349008700000002</v>
      </c>
      <c r="AE211" s="9">
        <v>-2.0395403179999998</v>
      </c>
      <c r="AF211" s="9">
        <v>-1.395528372</v>
      </c>
      <c r="AG211" s="6" t="str">
        <f t="shared" si="17"/>
        <v>Pendek</v>
      </c>
      <c r="AH211" s="7" t="str">
        <f t="shared" si="18"/>
        <v>BB Krg</v>
      </c>
      <c r="AI211" s="8" t="str">
        <f t="shared" si="19"/>
        <v>Normal</v>
      </c>
    </row>
    <row r="212" spans="1:35" ht="15.6">
      <c r="A212" s="35"/>
      <c r="B212" s="67" t="s">
        <v>36</v>
      </c>
      <c r="C212" s="66" t="s">
        <v>969</v>
      </c>
      <c r="D212" s="67" t="s">
        <v>48</v>
      </c>
      <c r="E212" s="69">
        <v>1</v>
      </c>
      <c r="F212" s="69" t="s">
        <v>970</v>
      </c>
      <c r="G212" s="69" t="s">
        <v>971</v>
      </c>
      <c r="H212" s="69">
        <v>3.9</v>
      </c>
      <c r="I212" s="69">
        <v>51</v>
      </c>
      <c r="J212" s="69">
        <v>1</v>
      </c>
      <c r="K212" s="69"/>
      <c r="L212" s="69" t="s">
        <v>793</v>
      </c>
      <c r="M212" s="69" t="s">
        <v>794</v>
      </c>
      <c r="N212" s="70" t="s">
        <v>739</v>
      </c>
      <c r="O212" s="75">
        <v>3</v>
      </c>
      <c r="P212" s="69">
        <v>4</v>
      </c>
      <c r="Q212" s="76">
        <v>7</v>
      </c>
      <c r="R212" s="76">
        <v>1</v>
      </c>
      <c r="S212" s="76">
        <v>25</v>
      </c>
      <c r="T212" s="77">
        <v>20</v>
      </c>
      <c r="U212" s="77">
        <v>3</v>
      </c>
      <c r="V212" s="79">
        <v>23</v>
      </c>
      <c r="W212" s="30">
        <v>21</v>
      </c>
      <c r="X212" s="78">
        <v>11.27</v>
      </c>
      <c r="Y212" s="77">
        <v>83</v>
      </c>
      <c r="Z212" s="77" t="s">
        <v>131</v>
      </c>
      <c r="AA212" s="77">
        <v>45</v>
      </c>
      <c r="AB212" s="77">
        <v>14.5</v>
      </c>
      <c r="AC212" s="18" t="s">
        <v>53</v>
      </c>
      <c r="AD212" s="9">
        <v>-0.93537593600000002</v>
      </c>
      <c r="AE212" s="9">
        <v>-0.31585767450000002</v>
      </c>
      <c r="AF212" s="9">
        <v>0.25749549919999998</v>
      </c>
      <c r="AG212" s="6" t="str">
        <f t="shared" si="17"/>
        <v>Normal</v>
      </c>
      <c r="AH212" s="7" t="str">
        <f t="shared" si="18"/>
        <v>BB Normal</v>
      </c>
      <c r="AI212" s="8" t="str">
        <f t="shared" si="19"/>
        <v>Normal</v>
      </c>
    </row>
    <row r="213" spans="1:35" ht="15.6">
      <c r="A213" s="35"/>
      <c r="B213" s="67" t="s">
        <v>44</v>
      </c>
      <c r="C213" s="66" t="s">
        <v>972</v>
      </c>
      <c r="D213" s="67" t="s">
        <v>48</v>
      </c>
      <c r="E213" s="69">
        <v>1</v>
      </c>
      <c r="F213" s="69" t="s">
        <v>973</v>
      </c>
      <c r="G213" s="69" t="s">
        <v>974</v>
      </c>
      <c r="H213" s="69"/>
      <c r="I213" s="69"/>
      <c r="J213" s="69">
        <v>1</v>
      </c>
      <c r="K213" s="69"/>
      <c r="L213" s="69" t="s">
        <v>975</v>
      </c>
      <c r="M213" s="69" t="s">
        <v>976</v>
      </c>
      <c r="N213" s="70" t="s">
        <v>739</v>
      </c>
      <c r="O213" s="75">
        <v>1</v>
      </c>
      <c r="P213" s="69">
        <v>4</v>
      </c>
      <c r="Q213" s="76">
        <v>7</v>
      </c>
      <c r="R213" s="76">
        <v>1</v>
      </c>
      <c r="S213" s="76">
        <v>25</v>
      </c>
      <c r="T213" s="77">
        <v>10</v>
      </c>
      <c r="U213" s="77">
        <v>10</v>
      </c>
      <c r="V213" s="79">
        <v>23</v>
      </c>
      <c r="W213" s="30">
        <v>14</v>
      </c>
      <c r="X213" s="78">
        <v>10</v>
      </c>
      <c r="Y213" s="77">
        <v>77</v>
      </c>
      <c r="Z213" s="77" t="s">
        <v>131</v>
      </c>
      <c r="AA213" s="77">
        <v>46</v>
      </c>
      <c r="AB213" s="77">
        <v>14</v>
      </c>
      <c r="AC213" s="18" t="s">
        <v>53</v>
      </c>
      <c r="AD213" s="9">
        <v>-0.82626249829999998</v>
      </c>
      <c r="AE213" s="9">
        <v>-0.26600147190000001</v>
      </c>
      <c r="AF213" s="9">
        <v>0.130034065</v>
      </c>
      <c r="AG213" s="6" t="str">
        <f t="shared" si="17"/>
        <v>Normal</v>
      </c>
      <c r="AH213" s="7" t="str">
        <f t="shared" si="18"/>
        <v>BB Normal</v>
      </c>
      <c r="AI213" s="8" t="str">
        <f t="shared" si="19"/>
        <v>Normal</v>
      </c>
    </row>
    <row r="214" spans="1:35" ht="15.6">
      <c r="A214" s="35"/>
      <c r="B214" s="67" t="s">
        <v>198</v>
      </c>
      <c r="C214" s="66" t="s">
        <v>977</v>
      </c>
      <c r="D214" s="67" t="s">
        <v>48</v>
      </c>
      <c r="E214" s="69">
        <v>1</v>
      </c>
      <c r="F214" s="69">
        <v>0</v>
      </c>
      <c r="G214" s="69" t="s">
        <v>978</v>
      </c>
      <c r="H214" s="69">
        <v>2.9</v>
      </c>
      <c r="I214" s="69">
        <v>50</v>
      </c>
      <c r="J214" s="69">
        <v>1</v>
      </c>
      <c r="K214" s="69"/>
      <c r="L214" s="69" t="s">
        <v>979</v>
      </c>
      <c r="M214" s="69">
        <v>0</v>
      </c>
      <c r="N214" s="70" t="s">
        <v>739</v>
      </c>
      <c r="O214" s="75">
        <v>3</v>
      </c>
      <c r="P214" s="69">
        <v>4</v>
      </c>
      <c r="Q214" s="76">
        <v>7</v>
      </c>
      <c r="R214" s="76">
        <v>1</v>
      </c>
      <c r="S214" s="76">
        <v>25</v>
      </c>
      <c r="T214" s="77">
        <v>11</v>
      </c>
      <c r="U214" s="77">
        <v>2</v>
      </c>
      <c r="V214" s="79">
        <v>24</v>
      </c>
      <c r="W214" s="30">
        <v>10</v>
      </c>
      <c r="X214" s="78">
        <v>10.48</v>
      </c>
      <c r="Y214" s="77">
        <v>74.5</v>
      </c>
      <c r="Z214" s="77" t="s">
        <v>131</v>
      </c>
      <c r="AA214" s="77">
        <v>45</v>
      </c>
      <c r="AB214" s="77">
        <v>15.5</v>
      </c>
      <c r="AC214" s="18" t="s">
        <v>53</v>
      </c>
      <c r="AD214" s="9">
        <v>5.2242879409999998E-2</v>
      </c>
      <c r="AE214" s="9">
        <v>1.0156607790000001</v>
      </c>
      <c r="AF214" s="9">
        <v>1.3572596139999999</v>
      </c>
      <c r="AG214" s="6" t="str">
        <f t="shared" si="17"/>
        <v>Normal</v>
      </c>
      <c r="AH214" s="7" t="str">
        <f t="shared" si="18"/>
        <v>Ris Lbh</v>
      </c>
      <c r="AI214" s="8" t="str">
        <f t="shared" si="19"/>
        <v>R.Gz.Lbh</v>
      </c>
    </row>
    <row r="215" spans="1:35" ht="15.6">
      <c r="A215" s="35"/>
      <c r="B215" s="67" t="s">
        <v>44</v>
      </c>
      <c r="C215" s="66" t="s">
        <v>980</v>
      </c>
      <c r="D215" s="67" t="s">
        <v>48</v>
      </c>
      <c r="E215" s="69">
        <v>1</v>
      </c>
      <c r="F215" s="69" t="s">
        <v>981</v>
      </c>
      <c r="G215" s="69" t="s">
        <v>982</v>
      </c>
      <c r="H215" s="69">
        <v>2.1</v>
      </c>
      <c r="I215" s="69">
        <v>47</v>
      </c>
      <c r="J215" s="69">
        <v>1</v>
      </c>
      <c r="K215" s="69"/>
      <c r="L215" s="69" t="s">
        <v>983</v>
      </c>
      <c r="M215" s="69" t="s">
        <v>984</v>
      </c>
      <c r="N215" s="70" t="s">
        <v>739</v>
      </c>
      <c r="O215" s="75">
        <v>3</v>
      </c>
      <c r="P215" s="69">
        <v>4</v>
      </c>
      <c r="Q215" s="76">
        <v>7</v>
      </c>
      <c r="R215" s="76">
        <v>1</v>
      </c>
      <c r="S215" s="76">
        <v>25</v>
      </c>
      <c r="T215" s="77">
        <v>7</v>
      </c>
      <c r="U215" s="77">
        <v>2</v>
      </c>
      <c r="V215" s="79">
        <v>24</v>
      </c>
      <c r="W215" s="30">
        <v>11</v>
      </c>
      <c r="X215" s="78">
        <v>8.4</v>
      </c>
      <c r="Y215" s="77">
        <v>70.5</v>
      </c>
      <c r="Z215" s="77" t="s">
        <v>131</v>
      </c>
      <c r="AA215" s="77">
        <v>45</v>
      </c>
      <c r="AB215" s="77">
        <v>13.7</v>
      </c>
      <c r="AC215" s="18" t="s">
        <v>53</v>
      </c>
      <c r="AD215" s="9">
        <v>-1.7368095429999999</v>
      </c>
      <c r="AE215" s="9">
        <v>-1.0444861320000001</v>
      </c>
      <c r="AF215" s="9">
        <v>-0.20178498759999999</v>
      </c>
      <c r="AG215" s="6" t="str">
        <f t="shared" si="17"/>
        <v>Normal</v>
      </c>
      <c r="AH215" s="7" t="str">
        <f t="shared" si="18"/>
        <v>BB Normal</v>
      </c>
      <c r="AI215" s="8" t="str">
        <f t="shared" si="19"/>
        <v>Normal</v>
      </c>
    </row>
    <row r="216" spans="1:35" ht="15.6">
      <c r="A216" s="35"/>
      <c r="B216" s="67" t="s">
        <v>44</v>
      </c>
      <c r="C216" s="66" t="s">
        <v>985</v>
      </c>
      <c r="D216" s="67" t="s">
        <v>48</v>
      </c>
      <c r="E216" s="69">
        <v>1</v>
      </c>
      <c r="F216" s="69" t="s">
        <v>986</v>
      </c>
      <c r="G216" s="69" t="s">
        <v>987</v>
      </c>
      <c r="H216" s="69">
        <v>3.9</v>
      </c>
      <c r="I216" s="69">
        <v>48</v>
      </c>
      <c r="J216" s="69">
        <v>1</v>
      </c>
      <c r="K216" s="69"/>
      <c r="L216" s="69" t="s">
        <v>988</v>
      </c>
      <c r="M216" s="69" t="s">
        <v>989</v>
      </c>
      <c r="N216" s="70" t="s">
        <v>739</v>
      </c>
      <c r="O216" s="75">
        <v>3</v>
      </c>
      <c r="P216" s="69">
        <v>4</v>
      </c>
      <c r="Q216" s="76">
        <v>7</v>
      </c>
      <c r="R216" s="76">
        <v>1</v>
      </c>
      <c r="S216" s="76">
        <v>25</v>
      </c>
      <c r="T216" s="77">
        <v>13</v>
      </c>
      <c r="U216" s="77">
        <v>2</v>
      </c>
      <c r="V216" s="79">
        <v>24</v>
      </c>
      <c r="W216" s="30">
        <v>10</v>
      </c>
      <c r="X216" s="78">
        <v>8.3000000000000007</v>
      </c>
      <c r="Y216" s="77">
        <v>68</v>
      </c>
      <c r="Z216" s="77" t="s">
        <v>131</v>
      </c>
      <c r="AA216" s="77">
        <v>41.3</v>
      </c>
      <c r="AB216" s="77">
        <v>13</v>
      </c>
      <c r="AC216" s="18" t="s">
        <v>53</v>
      </c>
      <c r="AD216" s="9">
        <v>-2.7124677770000001</v>
      </c>
      <c r="AE216" s="9">
        <v>-1.10514954</v>
      </c>
      <c r="AF216" s="9">
        <v>0.52042895850000004</v>
      </c>
      <c r="AG216" s="6" t="str">
        <f t="shared" si="17"/>
        <v>Pendek</v>
      </c>
      <c r="AH216" s="7" t="str">
        <f t="shared" si="18"/>
        <v>BB Normal</v>
      </c>
      <c r="AI216" s="8" t="str">
        <f t="shared" si="19"/>
        <v>Normal</v>
      </c>
    </row>
    <row r="217" spans="1:35" ht="15.6">
      <c r="A217" s="35"/>
      <c r="B217" s="67" t="s">
        <v>36</v>
      </c>
      <c r="C217" s="66" t="s">
        <v>990</v>
      </c>
      <c r="D217" s="67" t="s">
        <v>48</v>
      </c>
      <c r="E217" s="69">
        <v>1</v>
      </c>
      <c r="F217" s="69" t="s">
        <v>991</v>
      </c>
      <c r="G217" s="69" t="s">
        <v>992</v>
      </c>
      <c r="H217" s="69">
        <v>2.9</v>
      </c>
      <c r="I217" s="69">
        <v>48</v>
      </c>
      <c r="J217" s="69">
        <v>1</v>
      </c>
      <c r="K217" s="69"/>
      <c r="L217" s="69" t="s">
        <v>993</v>
      </c>
      <c r="M217" s="69" t="s">
        <v>994</v>
      </c>
      <c r="N217" s="70" t="s">
        <v>739</v>
      </c>
      <c r="O217" s="75">
        <v>3</v>
      </c>
      <c r="P217" s="69">
        <v>4</v>
      </c>
      <c r="Q217" s="76">
        <v>7</v>
      </c>
      <c r="R217" s="76">
        <v>1</v>
      </c>
      <c r="S217" s="76">
        <v>25</v>
      </c>
      <c r="T217" s="77">
        <v>27</v>
      </c>
      <c r="U217" s="77">
        <v>2</v>
      </c>
      <c r="V217" s="79">
        <v>24</v>
      </c>
      <c r="W217" s="30">
        <v>10</v>
      </c>
      <c r="X217" s="78">
        <v>9.5</v>
      </c>
      <c r="Y217" s="77">
        <v>72.2</v>
      </c>
      <c r="Z217" s="77" t="s">
        <v>131</v>
      </c>
      <c r="AA217" s="77">
        <v>44</v>
      </c>
      <c r="AB217" s="77">
        <v>16</v>
      </c>
      <c r="AC217" s="18" t="s">
        <v>53</v>
      </c>
      <c r="AD217" s="9">
        <v>-0.65850604430000004</v>
      </c>
      <c r="AE217" s="9">
        <v>0.24312673330000001</v>
      </c>
      <c r="AF217" s="9">
        <v>0.79868652230000003</v>
      </c>
      <c r="AG217" s="6" t="str">
        <f t="shared" si="17"/>
        <v>Normal</v>
      </c>
      <c r="AH217" s="7" t="str">
        <f t="shared" si="18"/>
        <v>BB Normal</v>
      </c>
      <c r="AI217" s="8" t="str">
        <f t="shared" si="19"/>
        <v>Normal</v>
      </c>
    </row>
    <row r="218" spans="1:35" ht="15.6">
      <c r="A218" s="35"/>
      <c r="B218" s="67" t="s">
        <v>36</v>
      </c>
      <c r="C218" s="66" t="s">
        <v>995</v>
      </c>
      <c r="D218" s="67" t="s">
        <v>37</v>
      </c>
      <c r="E218" s="69">
        <v>2</v>
      </c>
      <c r="F218" s="69" t="s">
        <v>996</v>
      </c>
      <c r="G218" s="69" t="s">
        <v>997</v>
      </c>
      <c r="H218" s="69">
        <v>2.8</v>
      </c>
      <c r="I218" s="69">
        <v>51</v>
      </c>
      <c r="J218" s="69">
        <v>1</v>
      </c>
      <c r="K218" s="69"/>
      <c r="L218" s="69" t="s">
        <v>998</v>
      </c>
      <c r="M218" s="69" t="s">
        <v>999</v>
      </c>
      <c r="N218" s="70" t="s">
        <v>739</v>
      </c>
      <c r="O218" s="75">
        <v>1</v>
      </c>
      <c r="P218" s="69">
        <v>4</v>
      </c>
      <c r="Q218" s="76">
        <v>7</v>
      </c>
      <c r="R218" s="76">
        <v>1</v>
      </c>
      <c r="S218" s="76">
        <v>25</v>
      </c>
      <c r="T218" s="77">
        <v>10</v>
      </c>
      <c r="U218" s="77">
        <v>3</v>
      </c>
      <c r="V218" s="79">
        <v>24</v>
      </c>
      <c r="W218" s="30">
        <v>9</v>
      </c>
      <c r="X218" s="78">
        <v>7.3</v>
      </c>
      <c r="Y218" s="77">
        <v>69.5</v>
      </c>
      <c r="Z218" s="77" t="s">
        <v>131</v>
      </c>
      <c r="AA218" s="77">
        <v>41</v>
      </c>
      <c r="AB218" s="77">
        <v>12</v>
      </c>
      <c r="AC218" s="18" t="s">
        <v>53</v>
      </c>
      <c r="AD218" s="9">
        <v>-0.77889607670000005</v>
      </c>
      <c r="AE218" s="9">
        <v>-1.228119384</v>
      </c>
      <c r="AF218" s="9">
        <v>-1.1423716429999999</v>
      </c>
      <c r="AG218" s="6" t="str">
        <f t="shared" si="17"/>
        <v>Normal</v>
      </c>
      <c r="AH218" s="7" t="str">
        <f t="shared" si="18"/>
        <v>BB Normal</v>
      </c>
      <c r="AI218" s="8" t="str">
        <f t="shared" si="19"/>
        <v>Normal</v>
      </c>
    </row>
    <row r="219" spans="1:35" ht="15.6">
      <c r="A219" s="35"/>
      <c r="B219" s="67"/>
      <c r="C219" s="66" t="s">
        <v>1000</v>
      </c>
      <c r="D219" s="67" t="s">
        <v>37</v>
      </c>
      <c r="E219" s="69">
        <v>2</v>
      </c>
      <c r="F219" s="69">
        <v>0</v>
      </c>
      <c r="G219" s="69" t="s">
        <v>1001</v>
      </c>
      <c r="H219" s="69">
        <v>3.1</v>
      </c>
      <c r="I219" s="69">
        <v>50</v>
      </c>
      <c r="J219" s="69">
        <v>1</v>
      </c>
      <c r="K219" s="69"/>
      <c r="L219" s="69" t="s">
        <v>1002</v>
      </c>
      <c r="M219" s="69">
        <v>0</v>
      </c>
      <c r="N219" s="70" t="s">
        <v>739</v>
      </c>
      <c r="O219" s="75">
        <v>4</v>
      </c>
      <c r="P219" s="69">
        <v>4</v>
      </c>
      <c r="Q219" s="76">
        <v>7</v>
      </c>
      <c r="R219" s="76">
        <v>1</v>
      </c>
      <c r="S219" s="76">
        <v>25</v>
      </c>
      <c r="T219" s="77">
        <v>9</v>
      </c>
      <c r="U219" s="77">
        <v>5</v>
      </c>
      <c r="V219" s="79">
        <v>23</v>
      </c>
      <c r="W219" s="30">
        <v>19</v>
      </c>
      <c r="X219" s="78">
        <v>12.5</v>
      </c>
      <c r="Y219" s="77">
        <v>81.7</v>
      </c>
      <c r="Z219" s="77" t="s">
        <v>131</v>
      </c>
      <c r="AA219" s="77">
        <v>45</v>
      </c>
      <c r="AB219" s="77">
        <v>16</v>
      </c>
      <c r="AC219" s="18" t="s">
        <v>53</v>
      </c>
      <c r="AD219" s="9">
        <v>-8.8378090099999994E-3</v>
      </c>
      <c r="AE219" s="9">
        <v>1.313803584</v>
      </c>
      <c r="AF219" s="9">
        <v>2.090029565</v>
      </c>
      <c r="AG219" s="6" t="str">
        <f t="shared" si="17"/>
        <v>Normal</v>
      </c>
      <c r="AH219" s="7" t="str">
        <f t="shared" si="18"/>
        <v>Ris Lbh</v>
      </c>
      <c r="AI219" s="8" t="str">
        <f t="shared" si="19"/>
        <v>Gz.Lbh</v>
      </c>
    </row>
    <row r="220" spans="1:35" ht="15.6">
      <c r="A220" s="35"/>
      <c r="B220" s="67" t="s">
        <v>44</v>
      </c>
      <c r="C220" s="66" t="s">
        <v>1003</v>
      </c>
      <c r="D220" s="67" t="s">
        <v>37</v>
      </c>
      <c r="E220" s="69">
        <v>2</v>
      </c>
      <c r="F220" s="69" t="s">
        <v>1004</v>
      </c>
      <c r="G220" s="69" t="s">
        <v>1005</v>
      </c>
      <c r="H220" s="69">
        <v>2.5</v>
      </c>
      <c r="I220" s="69">
        <v>48</v>
      </c>
      <c r="J220" s="69">
        <v>1</v>
      </c>
      <c r="K220" s="69"/>
      <c r="L220" s="69" t="s">
        <v>1006</v>
      </c>
      <c r="M220" s="69" t="s">
        <v>1007</v>
      </c>
      <c r="N220" s="70" t="s">
        <v>739</v>
      </c>
      <c r="O220" s="75">
        <v>1</v>
      </c>
      <c r="P220" s="69">
        <v>4</v>
      </c>
      <c r="Q220" s="76">
        <v>7</v>
      </c>
      <c r="R220" s="76">
        <v>1</v>
      </c>
      <c r="S220" s="76">
        <v>25</v>
      </c>
      <c r="T220" s="77">
        <v>2</v>
      </c>
      <c r="U220" s="77">
        <v>2</v>
      </c>
      <c r="V220" s="79">
        <v>24</v>
      </c>
      <c r="W220" s="30">
        <v>11</v>
      </c>
      <c r="X220" s="78">
        <v>8.1999999999999993</v>
      </c>
      <c r="Y220" s="77">
        <v>71.2</v>
      </c>
      <c r="Z220" s="77" t="s">
        <v>131</v>
      </c>
      <c r="AA220" s="77">
        <v>42</v>
      </c>
      <c r="AB220" s="77">
        <v>12.2</v>
      </c>
      <c r="AC220" s="18" t="s">
        <v>53</v>
      </c>
      <c r="AD220" s="9">
        <v>-0.70331954159999999</v>
      </c>
      <c r="AE220" s="9">
        <v>-0.55143322250000004</v>
      </c>
      <c r="AF220" s="9">
        <v>-0.28775326870000001</v>
      </c>
      <c r="AG220" s="6" t="str">
        <f t="shared" si="17"/>
        <v>Normal</v>
      </c>
      <c r="AH220" s="7" t="str">
        <f t="shared" si="18"/>
        <v>BB Normal</v>
      </c>
      <c r="AI220" s="8" t="str">
        <f t="shared" si="19"/>
        <v>Normal</v>
      </c>
    </row>
    <row r="221" spans="1:35" ht="15.6">
      <c r="A221" s="35"/>
      <c r="B221" s="33" t="s">
        <v>36</v>
      </c>
      <c r="C221" s="33" t="s">
        <v>1008</v>
      </c>
      <c r="D221" s="34" t="s">
        <v>37</v>
      </c>
      <c r="E221" s="31">
        <v>2</v>
      </c>
      <c r="F221" s="31" t="s">
        <v>1009</v>
      </c>
      <c r="G221" s="31" t="s">
        <v>1010</v>
      </c>
      <c r="H221" s="31">
        <v>3</v>
      </c>
      <c r="I221" s="31">
        <v>49</v>
      </c>
      <c r="J221" s="31">
        <v>1</v>
      </c>
      <c r="K221" s="31" t="s">
        <v>40</v>
      </c>
      <c r="L221" s="31" t="s">
        <v>1011</v>
      </c>
      <c r="M221" s="58" t="s">
        <v>1012</v>
      </c>
      <c r="N221" s="47" t="s">
        <v>1013</v>
      </c>
      <c r="O221" s="31">
        <v>3</v>
      </c>
      <c r="P221" s="31">
        <v>2</v>
      </c>
      <c r="Q221" s="36">
        <v>15</v>
      </c>
      <c r="R221" s="36">
        <v>1</v>
      </c>
      <c r="S221" s="36">
        <v>25</v>
      </c>
      <c r="T221" s="37">
        <v>5</v>
      </c>
      <c r="U221" s="37">
        <v>1</v>
      </c>
      <c r="V221" s="37">
        <v>20</v>
      </c>
      <c r="W221" s="30">
        <v>60</v>
      </c>
      <c r="X221" s="31">
        <v>15.5</v>
      </c>
      <c r="Y221" s="31">
        <v>100</v>
      </c>
      <c r="Z221" s="31" t="s">
        <v>43</v>
      </c>
      <c r="AA221" s="31">
        <v>51</v>
      </c>
      <c r="AB221" s="31">
        <v>18</v>
      </c>
      <c r="AC221" s="18" t="s">
        <v>53</v>
      </c>
      <c r="AD221" s="9">
        <v>-1.981087096</v>
      </c>
      <c r="AE221" s="9">
        <v>-1.1578707930000001</v>
      </c>
      <c r="AF221" s="9">
        <v>0.2064668794</v>
      </c>
      <c r="AG221" s="6" t="str">
        <f t="shared" si="17"/>
        <v>Normal</v>
      </c>
      <c r="AH221" s="7" t="str">
        <f t="shared" si="18"/>
        <v>BB Normal</v>
      </c>
      <c r="AI221" s="8" t="str">
        <f t="shared" si="19"/>
        <v>Normal</v>
      </c>
    </row>
    <row r="222" spans="1:35" ht="15.6">
      <c r="A222" s="35"/>
      <c r="B222" s="33" t="s">
        <v>292</v>
      </c>
      <c r="C222" s="33" t="s">
        <v>1014</v>
      </c>
      <c r="D222" s="34" t="s">
        <v>37</v>
      </c>
      <c r="E222" s="31">
        <v>2</v>
      </c>
      <c r="F222" s="31" t="s">
        <v>1015</v>
      </c>
      <c r="G222" s="31" t="s">
        <v>1016</v>
      </c>
      <c r="H222" s="31">
        <v>2.9</v>
      </c>
      <c r="I222" s="31">
        <v>48</v>
      </c>
      <c r="J222" s="31">
        <v>1</v>
      </c>
      <c r="K222" s="31" t="s">
        <v>40</v>
      </c>
      <c r="L222" s="31" t="s">
        <v>1017</v>
      </c>
      <c r="M222" s="58" t="s">
        <v>1018</v>
      </c>
      <c r="N222" s="47" t="s">
        <v>1013</v>
      </c>
      <c r="O222" s="15">
        <v>1</v>
      </c>
      <c r="P222" s="38">
        <v>2</v>
      </c>
      <c r="Q222" s="36">
        <v>15</v>
      </c>
      <c r="R222" s="36">
        <v>1</v>
      </c>
      <c r="S222" s="36">
        <v>25</v>
      </c>
      <c r="T222" s="39">
        <v>1</v>
      </c>
      <c r="U222" s="37">
        <v>2</v>
      </c>
      <c r="V222" s="40">
        <v>20</v>
      </c>
      <c r="W222" s="30">
        <v>59</v>
      </c>
      <c r="X222" s="31">
        <v>12.3</v>
      </c>
      <c r="Y222" s="31">
        <v>96</v>
      </c>
      <c r="Z222" s="31" t="s">
        <v>43</v>
      </c>
      <c r="AA222" s="31">
        <v>48</v>
      </c>
      <c r="AB222" s="31">
        <v>15</v>
      </c>
      <c r="AC222" s="18" t="s">
        <v>53</v>
      </c>
      <c r="AD222" s="9">
        <v>-2.7740864969999999</v>
      </c>
      <c r="AE222" s="9">
        <v>-2.7990643689999999</v>
      </c>
      <c r="AF222" s="9">
        <v>-1.6308219180000001</v>
      </c>
      <c r="AG222" s="6" t="str">
        <f t="shared" si="17"/>
        <v>Pendek</v>
      </c>
      <c r="AH222" s="7" t="str">
        <f t="shared" si="18"/>
        <v>BB Krg</v>
      </c>
      <c r="AI222" s="8" t="str">
        <f t="shared" si="19"/>
        <v>Normal</v>
      </c>
    </row>
    <row r="223" spans="1:35" ht="15.6">
      <c r="A223" s="35"/>
      <c r="B223" s="47">
        <v>1</v>
      </c>
      <c r="C223" s="33" t="s">
        <v>1019</v>
      </c>
      <c r="D223" s="41" t="s">
        <v>48</v>
      </c>
      <c r="E223" s="47">
        <v>1</v>
      </c>
      <c r="F223" s="53" t="s">
        <v>1020</v>
      </c>
      <c r="G223" s="47" t="s">
        <v>1021</v>
      </c>
      <c r="H223" s="47">
        <v>3.1</v>
      </c>
      <c r="I223" s="47">
        <v>49</v>
      </c>
      <c r="J223" s="31">
        <v>1</v>
      </c>
      <c r="K223" s="31" t="s">
        <v>40</v>
      </c>
      <c r="L223" s="31" t="s">
        <v>1022</v>
      </c>
      <c r="M223" s="80" t="s">
        <v>1023</v>
      </c>
      <c r="N223" s="47" t="s">
        <v>1013</v>
      </c>
      <c r="O223" s="47">
        <v>3</v>
      </c>
      <c r="P223" s="38">
        <v>2</v>
      </c>
      <c r="Q223" s="36">
        <v>15</v>
      </c>
      <c r="R223" s="36">
        <v>1</v>
      </c>
      <c r="S223" s="36">
        <v>25</v>
      </c>
      <c r="T223" s="39">
        <v>19</v>
      </c>
      <c r="U223" s="37">
        <v>3</v>
      </c>
      <c r="V223" s="40">
        <v>20</v>
      </c>
      <c r="W223" s="30">
        <v>57</v>
      </c>
      <c r="X223" s="31">
        <v>15.9</v>
      </c>
      <c r="Y223" s="31">
        <v>105</v>
      </c>
      <c r="Z223" s="31" t="s">
        <v>43</v>
      </c>
      <c r="AA223" s="31">
        <v>50</v>
      </c>
      <c r="AB223" s="31">
        <v>16</v>
      </c>
      <c r="AC223" s="18" t="s">
        <v>53</v>
      </c>
      <c r="AD223" s="9">
        <v>-0.83921695129999996</v>
      </c>
      <c r="AE223" s="9">
        <v>-0.92533703170000003</v>
      </c>
      <c r="AF223" s="9">
        <v>-0.70941452989999998</v>
      </c>
      <c r="AG223" s="6" t="str">
        <f t="shared" si="17"/>
        <v>Normal</v>
      </c>
      <c r="AH223" s="7" t="str">
        <f t="shared" si="18"/>
        <v>BB Normal</v>
      </c>
      <c r="AI223" s="8" t="str">
        <f t="shared" si="19"/>
        <v>Normal</v>
      </c>
    </row>
    <row r="224" spans="1:35" ht="15.6">
      <c r="A224" s="35"/>
      <c r="B224" s="47">
        <v>3</v>
      </c>
      <c r="C224" s="33" t="s">
        <v>1024</v>
      </c>
      <c r="D224" s="44" t="s">
        <v>48</v>
      </c>
      <c r="E224" s="47">
        <v>1</v>
      </c>
      <c r="F224" s="53" t="s">
        <v>1025</v>
      </c>
      <c r="G224" s="47" t="s">
        <v>1026</v>
      </c>
      <c r="H224" s="47">
        <v>3</v>
      </c>
      <c r="I224" s="47">
        <v>49</v>
      </c>
      <c r="J224" s="31">
        <v>1</v>
      </c>
      <c r="K224" s="31" t="s">
        <v>40</v>
      </c>
      <c r="L224" s="31" t="s">
        <v>1027</v>
      </c>
      <c r="M224" s="81" t="s">
        <v>1028</v>
      </c>
      <c r="N224" s="47" t="s">
        <v>1013</v>
      </c>
      <c r="O224" s="47">
        <v>2</v>
      </c>
      <c r="P224" s="38">
        <v>2</v>
      </c>
      <c r="Q224" s="36">
        <v>15</v>
      </c>
      <c r="R224" s="36">
        <v>1</v>
      </c>
      <c r="S224" s="36">
        <v>25</v>
      </c>
      <c r="T224" s="46">
        <v>27</v>
      </c>
      <c r="U224" s="46">
        <v>3</v>
      </c>
      <c r="V224" s="46">
        <v>20</v>
      </c>
      <c r="W224" s="30">
        <v>57</v>
      </c>
      <c r="X224" s="31">
        <v>16.5</v>
      </c>
      <c r="Y224" s="31">
        <v>102</v>
      </c>
      <c r="Z224" s="31" t="s">
        <v>43</v>
      </c>
      <c r="AA224" s="31">
        <v>50</v>
      </c>
      <c r="AB224" s="31">
        <v>17</v>
      </c>
      <c r="AC224" s="18" t="s">
        <v>53</v>
      </c>
      <c r="AD224" s="9">
        <v>-1.468647139</v>
      </c>
      <c r="AE224" s="9">
        <v>-0.63079078150000001</v>
      </c>
      <c r="AF224" s="9">
        <v>0.43657713520000002</v>
      </c>
      <c r="AG224" s="6" t="str">
        <f t="shared" si="17"/>
        <v>Normal</v>
      </c>
      <c r="AH224" s="7" t="str">
        <f t="shared" si="18"/>
        <v>BB Normal</v>
      </c>
      <c r="AI224" s="8" t="str">
        <f t="shared" si="19"/>
        <v>Normal</v>
      </c>
    </row>
    <row r="225" spans="1:35" ht="15.6">
      <c r="A225" s="35"/>
      <c r="B225" s="47">
        <v>2</v>
      </c>
      <c r="C225" s="33" t="s">
        <v>1029</v>
      </c>
      <c r="D225" s="44" t="s">
        <v>48</v>
      </c>
      <c r="E225" s="47">
        <v>1</v>
      </c>
      <c r="F225" s="53"/>
      <c r="G225" s="47" t="s">
        <v>1030</v>
      </c>
      <c r="H225" s="47">
        <v>2.9</v>
      </c>
      <c r="I225" s="47">
        <v>48</v>
      </c>
      <c r="J225" s="31">
        <v>1</v>
      </c>
      <c r="K225" s="31" t="s">
        <v>40</v>
      </c>
      <c r="L225" s="31" t="s">
        <v>1031</v>
      </c>
      <c r="M225" s="81" t="s">
        <v>1032</v>
      </c>
      <c r="N225" s="47" t="s">
        <v>1013</v>
      </c>
      <c r="O225" s="47">
        <v>1</v>
      </c>
      <c r="P225" s="38">
        <v>2</v>
      </c>
      <c r="Q225" s="36">
        <v>15</v>
      </c>
      <c r="R225" s="36">
        <v>1</v>
      </c>
      <c r="S225" s="36">
        <v>25</v>
      </c>
      <c r="T225" s="46">
        <v>18</v>
      </c>
      <c r="U225" s="46">
        <v>5</v>
      </c>
      <c r="V225" s="46">
        <v>20</v>
      </c>
      <c r="W225" s="30">
        <v>55</v>
      </c>
      <c r="X225" s="31">
        <v>14.6</v>
      </c>
      <c r="Y225" s="31">
        <v>101</v>
      </c>
      <c r="Z225" s="31" t="s">
        <v>43</v>
      </c>
      <c r="AA225" s="31">
        <v>50</v>
      </c>
      <c r="AB225" s="31">
        <v>17</v>
      </c>
      <c r="AC225" s="18" t="s">
        <v>53</v>
      </c>
      <c r="AD225" s="9">
        <v>-1.50271311</v>
      </c>
      <c r="AE225" s="9">
        <v>-1.440790784</v>
      </c>
      <c r="AF225" s="9">
        <v>-0.8653769174</v>
      </c>
      <c r="AG225" s="6" t="str">
        <f t="shared" si="17"/>
        <v>Normal</v>
      </c>
      <c r="AH225" s="7" t="str">
        <f t="shared" si="18"/>
        <v>BB Normal</v>
      </c>
      <c r="AI225" s="8" t="str">
        <f t="shared" si="19"/>
        <v>Normal</v>
      </c>
    </row>
    <row r="226" spans="1:35" ht="15.6">
      <c r="A226" s="35"/>
      <c r="B226" s="47">
        <v>3</v>
      </c>
      <c r="C226" s="33" t="s">
        <v>1033</v>
      </c>
      <c r="D226" s="41" t="s">
        <v>48</v>
      </c>
      <c r="E226" s="47">
        <v>1</v>
      </c>
      <c r="F226" s="53" t="s">
        <v>1034</v>
      </c>
      <c r="G226" s="47" t="s">
        <v>1035</v>
      </c>
      <c r="H226" s="47">
        <v>3.1</v>
      </c>
      <c r="I226" s="47">
        <v>49</v>
      </c>
      <c r="J226" s="31">
        <v>1</v>
      </c>
      <c r="K226" s="31" t="s">
        <v>40</v>
      </c>
      <c r="L226" s="31" t="s">
        <v>1036</v>
      </c>
      <c r="M226" s="80" t="s">
        <v>1037</v>
      </c>
      <c r="N226" s="47" t="s">
        <v>1013</v>
      </c>
      <c r="O226" s="47">
        <v>3</v>
      </c>
      <c r="P226" s="38">
        <v>2</v>
      </c>
      <c r="Q226" s="36">
        <v>15</v>
      </c>
      <c r="R226" s="36">
        <v>1</v>
      </c>
      <c r="S226" s="36">
        <v>25</v>
      </c>
      <c r="T226" s="39">
        <v>5</v>
      </c>
      <c r="U226" s="37">
        <v>6</v>
      </c>
      <c r="V226" s="37">
        <v>20</v>
      </c>
      <c r="W226" s="30">
        <v>55</v>
      </c>
      <c r="X226" s="31">
        <v>18.8</v>
      </c>
      <c r="Y226" s="31">
        <v>103</v>
      </c>
      <c r="Z226" s="31" t="s">
        <v>43</v>
      </c>
      <c r="AA226" s="31">
        <v>50</v>
      </c>
      <c r="AB226" s="31">
        <v>18</v>
      </c>
      <c r="AC226" s="18" t="s">
        <v>53</v>
      </c>
      <c r="AD226" s="9">
        <v>-0.9889826156</v>
      </c>
      <c r="AE226" s="9">
        <v>0.5114756036</v>
      </c>
      <c r="AF226" s="9">
        <v>1.8147029699999999</v>
      </c>
      <c r="AG226" s="6" t="str">
        <f t="shared" si="17"/>
        <v>Normal</v>
      </c>
      <c r="AH226" s="7" t="str">
        <f t="shared" si="18"/>
        <v>BB Normal</v>
      </c>
      <c r="AI226" s="8" t="str">
        <f t="shared" si="19"/>
        <v>R.Gz.Lbh</v>
      </c>
    </row>
    <row r="227" spans="1:35" ht="15.6">
      <c r="A227" s="35"/>
      <c r="B227" s="47">
        <v>2</v>
      </c>
      <c r="C227" s="33" t="s">
        <v>1038</v>
      </c>
      <c r="D227" s="41" t="s">
        <v>37</v>
      </c>
      <c r="E227" s="47">
        <v>2</v>
      </c>
      <c r="F227" s="53" t="s">
        <v>1039</v>
      </c>
      <c r="G227" s="47" t="s">
        <v>1040</v>
      </c>
      <c r="H227" s="47">
        <v>3</v>
      </c>
      <c r="I227" s="47">
        <v>48</v>
      </c>
      <c r="J227" s="31">
        <v>1</v>
      </c>
      <c r="K227" s="31" t="s">
        <v>40</v>
      </c>
      <c r="L227" s="31" t="s">
        <v>1041</v>
      </c>
      <c r="M227" s="80" t="s">
        <v>1042</v>
      </c>
      <c r="N227" s="47" t="s">
        <v>1013</v>
      </c>
      <c r="O227" s="47">
        <v>3</v>
      </c>
      <c r="P227" s="38">
        <v>2</v>
      </c>
      <c r="Q227" s="36">
        <v>15</v>
      </c>
      <c r="R227" s="36">
        <v>1</v>
      </c>
      <c r="S227" s="36">
        <v>25</v>
      </c>
      <c r="T227" s="39">
        <v>28</v>
      </c>
      <c r="U227" s="37">
        <v>6</v>
      </c>
      <c r="V227" s="37">
        <v>20</v>
      </c>
      <c r="W227" s="30">
        <v>54</v>
      </c>
      <c r="X227" s="31">
        <v>14.7</v>
      </c>
      <c r="Y227" s="31">
        <v>100</v>
      </c>
      <c r="Z227" s="31" t="s">
        <v>43</v>
      </c>
      <c r="AA227" s="31">
        <v>50</v>
      </c>
      <c r="AB227" s="31">
        <v>17</v>
      </c>
      <c r="AC227" s="18" t="s">
        <v>53</v>
      </c>
      <c r="AD227" s="9">
        <v>-1.427821507</v>
      </c>
      <c r="AE227" s="9">
        <v>-1.1738622919999999</v>
      </c>
      <c r="AF227" s="9">
        <v>-0.40424679629999999</v>
      </c>
      <c r="AG227" s="6" t="str">
        <f t="shared" si="17"/>
        <v>Normal</v>
      </c>
      <c r="AH227" s="7" t="str">
        <f t="shared" si="18"/>
        <v>BB Normal</v>
      </c>
      <c r="AI227" s="8" t="str">
        <f t="shared" si="19"/>
        <v>Normal</v>
      </c>
    </row>
    <row r="228" spans="1:35" ht="15.6">
      <c r="A228" s="35"/>
      <c r="B228" s="47">
        <v>2</v>
      </c>
      <c r="C228" s="33" t="s">
        <v>1043</v>
      </c>
      <c r="D228" s="41" t="s">
        <v>48</v>
      </c>
      <c r="E228" s="47">
        <v>1</v>
      </c>
      <c r="F228" s="53" t="s">
        <v>1044</v>
      </c>
      <c r="G228" s="47" t="s">
        <v>1045</v>
      </c>
      <c r="H228" s="47">
        <v>3.1</v>
      </c>
      <c r="I228" s="47">
        <v>50</v>
      </c>
      <c r="J228" s="31">
        <v>1</v>
      </c>
      <c r="K228" s="31" t="s">
        <v>40</v>
      </c>
      <c r="L228" s="31" t="s">
        <v>1046</v>
      </c>
      <c r="M228" s="80" t="s">
        <v>1047</v>
      </c>
      <c r="N228" s="47" t="s">
        <v>1013</v>
      </c>
      <c r="O228" s="47">
        <v>1</v>
      </c>
      <c r="P228" s="38">
        <v>2</v>
      </c>
      <c r="Q228" s="36">
        <v>15</v>
      </c>
      <c r="R228" s="36">
        <v>1</v>
      </c>
      <c r="S228" s="36">
        <v>25</v>
      </c>
      <c r="T228" s="39">
        <v>9</v>
      </c>
      <c r="U228" s="37">
        <v>6</v>
      </c>
      <c r="V228" s="37">
        <v>20</v>
      </c>
      <c r="W228" s="30">
        <v>55</v>
      </c>
      <c r="X228" s="78">
        <v>6.92</v>
      </c>
      <c r="Y228" s="77">
        <v>68.5</v>
      </c>
      <c r="Z228" s="77" t="s">
        <v>131</v>
      </c>
      <c r="AA228" s="32">
        <v>50</v>
      </c>
      <c r="AB228" s="32">
        <v>17</v>
      </c>
      <c r="AC228" s="18" t="s">
        <v>53</v>
      </c>
      <c r="AD228" s="9">
        <v>-0.94270517399999998</v>
      </c>
      <c r="AE228" s="9">
        <v>-1.4114402239999999</v>
      </c>
      <c r="AF228" s="9">
        <v>-0.49680120449999998</v>
      </c>
      <c r="AG228" s="6" t="str">
        <f t="shared" si="17"/>
        <v>Normal</v>
      </c>
      <c r="AH228" s="7" t="str">
        <f t="shared" si="18"/>
        <v>BB Normal</v>
      </c>
      <c r="AI228" s="8" t="str">
        <f t="shared" si="19"/>
        <v>Normal</v>
      </c>
    </row>
    <row r="229" spans="1:35" ht="15.6">
      <c r="A229" s="35"/>
      <c r="B229" s="47">
        <v>2</v>
      </c>
      <c r="C229" s="33" t="s">
        <v>1048</v>
      </c>
      <c r="D229" s="41" t="s">
        <v>48</v>
      </c>
      <c r="E229" s="47">
        <v>1</v>
      </c>
      <c r="F229" s="53" t="s">
        <v>1049</v>
      </c>
      <c r="G229" s="47" t="s">
        <v>1050</v>
      </c>
      <c r="H229" s="47">
        <v>2.8</v>
      </c>
      <c r="I229" s="47">
        <v>49</v>
      </c>
      <c r="J229" s="31">
        <v>1</v>
      </c>
      <c r="K229" s="31" t="s">
        <v>40</v>
      </c>
      <c r="L229" s="31" t="s">
        <v>1051</v>
      </c>
      <c r="M229" s="80" t="s">
        <v>1052</v>
      </c>
      <c r="N229" s="47" t="s">
        <v>1013</v>
      </c>
      <c r="O229" s="47">
        <v>3</v>
      </c>
      <c r="P229" s="38">
        <v>2</v>
      </c>
      <c r="Q229" s="36">
        <v>15</v>
      </c>
      <c r="R229" s="36">
        <v>1</v>
      </c>
      <c r="S229" s="36">
        <v>25</v>
      </c>
      <c r="T229" s="39">
        <v>1</v>
      </c>
      <c r="U229" s="37">
        <v>7</v>
      </c>
      <c r="V229" s="37">
        <v>20</v>
      </c>
      <c r="W229" s="30">
        <v>54</v>
      </c>
      <c r="X229" s="31">
        <v>15.4</v>
      </c>
      <c r="Y229" s="31">
        <v>100</v>
      </c>
      <c r="Z229" s="31" t="s">
        <v>43</v>
      </c>
      <c r="AA229" s="31">
        <v>51</v>
      </c>
      <c r="AB229" s="31">
        <v>16</v>
      </c>
      <c r="AC229" s="18" t="s">
        <v>53</v>
      </c>
      <c r="AD229" s="9">
        <v>-1.601291587</v>
      </c>
      <c r="AE229" s="9">
        <v>-0.94071980369999997</v>
      </c>
      <c r="AF229" s="9">
        <v>3.4721789570000001E-2</v>
      </c>
      <c r="AG229" s="6" t="str">
        <f t="shared" si="17"/>
        <v>Normal</v>
      </c>
      <c r="AH229" s="7" t="str">
        <f t="shared" si="18"/>
        <v>BB Normal</v>
      </c>
      <c r="AI229" s="8" t="str">
        <f t="shared" si="19"/>
        <v>Normal</v>
      </c>
    </row>
    <row r="230" spans="1:35" ht="15.6">
      <c r="A230" s="35"/>
      <c r="B230" s="47">
        <v>3</v>
      </c>
      <c r="C230" s="33" t="s">
        <v>1053</v>
      </c>
      <c r="D230" s="41" t="s">
        <v>48</v>
      </c>
      <c r="E230" s="47">
        <v>1</v>
      </c>
      <c r="F230" s="53" t="s">
        <v>1054</v>
      </c>
      <c r="G230" s="47" t="s">
        <v>1055</v>
      </c>
      <c r="H230" s="47">
        <v>2.8</v>
      </c>
      <c r="I230" s="47">
        <v>49</v>
      </c>
      <c r="J230" s="31">
        <v>1</v>
      </c>
      <c r="K230" s="31" t="s">
        <v>40</v>
      </c>
      <c r="L230" s="31" t="s">
        <v>1051</v>
      </c>
      <c r="M230" s="80" t="s">
        <v>1052</v>
      </c>
      <c r="N230" s="47" t="s">
        <v>1013</v>
      </c>
      <c r="O230" s="47">
        <v>3</v>
      </c>
      <c r="P230" s="38">
        <v>2</v>
      </c>
      <c r="Q230" s="36">
        <v>15</v>
      </c>
      <c r="R230" s="36">
        <v>1</v>
      </c>
      <c r="S230" s="36">
        <v>25</v>
      </c>
      <c r="T230" s="39">
        <v>1</v>
      </c>
      <c r="U230" s="37">
        <v>7</v>
      </c>
      <c r="V230" s="37">
        <v>20</v>
      </c>
      <c r="W230" s="30">
        <v>54</v>
      </c>
      <c r="X230" s="31">
        <v>15.5</v>
      </c>
      <c r="Y230" s="31">
        <v>100</v>
      </c>
      <c r="Z230" s="31" t="s">
        <v>43</v>
      </c>
      <c r="AA230" s="31">
        <v>50</v>
      </c>
      <c r="AB230" s="31">
        <v>16</v>
      </c>
      <c r="AC230" s="18" t="s">
        <v>53</v>
      </c>
      <c r="AD230" s="9">
        <v>-1.601291587</v>
      </c>
      <c r="AE230" s="9">
        <v>-0.89147665089999995</v>
      </c>
      <c r="AF230" s="9">
        <v>0.1162224043</v>
      </c>
      <c r="AG230" s="6" t="str">
        <f t="shared" si="17"/>
        <v>Normal</v>
      </c>
      <c r="AH230" s="7" t="str">
        <f t="shared" si="18"/>
        <v>BB Normal</v>
      </c>
      <c r="AI230" s="8" t="str">
        <f t="shared" si="19"/>
        <v>Normal</v>
      </c>
    </row>
    <row r="231" spans="1:35" ht="15.6">
      <c r="A231" s="35"/>
      <c r="B231" s="47">
        <v>3</v>
      </c>
      <c r="C231" s="33" t="s">
        <v>1056</v>
      </c>
      <c r="D231" s="41" t="s">
        <v>37</v>
      </c>
      <c r="E231" s="47">
        <v>2</v>
      </c>
      <c r="F231" s="53" t="s">
        <v>1057</v>
      </c>
      <c r="G231" s="47" t="s">
        <v>1058</v>
      </c>
      <c r="H231" s="47">
        <v>2.9</v>
      </c>
      <c r="I231" s="47">
        <v>48</v>
      </c>
      <c r="J231" s="31">
        <v>1</v>
      </c>
      <c r="K231" s="31" t="s">
        <v>40</v>
      </c>
      <c r="L231" s="31" t="s">
        <v>1059</v>
      </c>
      <c r="M231" s="80" t="s">
        <v>1060</v>
      </c>
      <c r="N231" s="47" t="s">
        <v>1013</v>
      </c>
      <c r="O231" s="47">
        <v>3</v>
      </c>
      <c r="P231" s="38">
        <v>2</v>
      </c>
      <c r="Q231" s="36">
        <v>15</v>
      </c>
      <c r="R231" s="36">
        <v>1</v>
      </c>
      <c r="S231" s="36">
        <v>25</v>
      </c>
      <c r="T231" s="39">
        <v>1</v>
      </c>
      <c r="U231" s="37">
        <v>8</v>
      </c>
      <c r="V231" s="37">
        <v>20</v>
      </c>
      <c r="W231" s="30">
        <v>53</v>
      </c>
      <c r="X231" s="78">
        <v>6.92</v>
      </c>
      <c r="Y231" s="77">
        <v>68.5</v>
      </c>
      <c r="Z231" s="77" t="s">
        <v>131</v>
      </c>
      <c r="AA231" s="31">
        <v>48</v>
      </c>
      <c r="AB231" s="31">
        <v>16</v>
      </c>
      <c r="AC231" s="18" t="s">
        <v>53</v>
      </c>
      <c r="AD231" s="9">
        <v>-7.873088282E-2</v>
      </c>
      <c r="AE231" s="9">
        <v>-3.3499935379999998E-2</v>
      </c>
      <c r="AF231" s="9">
        <v>-0.49680120449999998</v>
      </c>
      <c r="AG231" s="6" t="str">
        <f t="shared" si="17"/>
        <v>Normal</v>
      </c>
      <c r="AH231" s="7" t="str">
        <f t="shared" si="18"/>
        <v>BB Normal</v>
      </c>
      <c r="AI231" s="8" t="str">
        <f t="shared" si="19"/>
        <v>Normal</v>
      </c>
    </row>
    <row r="232" spans="1:35" ht="15.6">
      <c r="A232" s="35"/>
      <c r="B232" s="47">
        <v>1</v>
      </c>
      <c r="C232" s="33" t="s">
        <v>769</v>
      </c>
      <c r="D232" s="41" t="s">
        <v>37</v>
      </c>
      <c r="E232" s="47">
        <v>2</v>
      </c>
      <c r="F232" s="53" t="s">
        <v>1061</v>
      </c>
      <c r="G232" s="47" t="s">
        <v>1062</v>
      </c>
      <c r="H232" s="47">
        <v>3</v>
      </c>
      <c r="I232" s="47">
        <v>48</v>
      </c>
      <c r="J232" s="31">
        <v>1</v>
      </c>
      <c r="K232" s="31" t="s">
        <v>40</v>
      </c>
      <c r="L232" s="31" t="s">
        <v>1063</v>
      </c>
      <c r="M232" s="80" t="s">
        <v>1064</v>
      </c>
      <c r="N232" s="47" t="s">
        <v>1013</v>
      </c>
      <c r="O232" s="47">
        <v>1</v>
      </c>
      <c r="P232" s="38">
        <v>2</v>
      </c>
      <c r="Q232" s="36">
        <v>15</v>
      </c>
      <c r="R232" s="36">
        <v>1</v>
      </c>
      <c r="S232" s="36">
        <v>25</v>
      </c>
      <c r="T232" s="39">
        <v>24</v>
      </c>
      <c r="U232" s="37">
        <v>8</v>
      </c>
      <c r="V232" s="37">
        <v>20</v>
      </c>
      <c r="W232" s="30">
        <v>52</v>
      </c>
      <c r="X232" s="31">
        <v>15</v>
      </c>
      <c r="Y232" s="31">
        <v>103</v>
      </c>
      <c r="Z232" s="31" t="s">
        <v>43</v>
      </c>
      <c r="AA232" s="31">
        <v>51</v>
      </c>
      <c r="AB232" s="31">
        <v>18</v>
      </c>
      <c r="AC232" s="18" t="s">
        <v>53</v>
      </c>
      <c r="AD232" s="9">
        <v>-0.5485329525</v>
      </c>
      <c r="AE232" s="9">
        <v>-0.88798517180000003</v>
      </c>
      <c r="AF232" s="9">
        <v>-0.8266818668</v>
      </c>
      <c r="AG232" s="6" t="str">
        <f t="shared" si="17"/>
        <v>Normal</v>
      </c>
      <c r="AH232" s="7" t="str">
        <f t="shared" si="18"/>
        <v>BB Normal</v>
      </c>
      <c r="AI232" s="8" t="str">
        <f t="shared" si="19"/>
        <v>Normal</v>
      </c>
    </row>
    <row r="233" spans="1:35" ht="15.6">
      <c r="A233" s="35"/>
      <c r="B233" s="47">
        <v>1</v>
      </c>
      <c r="C233" s="33" t="s">
        <v>1065</v>
      </c>
      <c r="D233" s="41" t="s">
        <v>48</v>
      </c>
      <c r="E233" s="47">
        <v>1</v>
      </c>
      <c r="F233" s="53" t="s">
        <v>1066</v>
      </c>
      <c r="G233" s="47" t="s">
        <v>1067</v>
      </c>
      <c r="H233" s="47">
        <v>3.2</v>
      </c>
      <c r="I233" s="47">
        <v>49</v>
      </c>
      <c r="J233" s="31">
        <v>1</v>
      </c>
      <c r="K233" s="31" t="s">
        <v>40</v>
      </c>
      <c r="L233" s="31" t="s">
        <v>1068</v>
      </c>
      <c r="M233" s="80" t="s">
        <v>1069</v>
      </c>
      <c r="N233" s="47" t="s">
        <v>1013</v>
      </c>
      <c r="O233" s="47">
        <v>2</v>
      </c>
      <c r="P233" s="38">
        <v>2</v>
      </c>
      <c r="Q233" s="36">
        <v>15</v>
      </c>
      <c r="R233" s="36">
        <v>1</v>
      </c>
      <c r="S233" s="36">
        <v>25</v>
      </c>
      <c r="T233" s="39">
        <v>5</v>
      </c>
      <c r="U233" s="37">
        <v>9</v>
      </c>
      <c r="V233" s="37">
        <v>20</v>
      </c>
      <c r="W233" s="30">
        <v>52</v>
      </c>
      <c r="X233" s="31">
        <v>16.2</v>
      </c>
      <c r="Y233" s="31">
        <v>100</v>
      </c>
      <c r="Z233" s="31" t="s">
        <v>43</v>
      </c>
      <c r="AA233" s="31">
        <v>50</v>
      </c>
      <c r="AB233" s="31">
        <v>16</v>
      </c>
      <c r="AC233" s="18" t="s">
        <v>53</v>
      </c>
      <c r="AD233" s="9">
        <v>-1.319545003</v>
      </c>
      <c r="AE233" s="9">
        <v>-0.40114448800000002</v>
      </c>
      <c r="AF233" s="9">
        <v>0.67192197740000004</v>
      </c>
      <c r="AG233" s="6" t="str">
        <f t="shared" si="17"/>
        <v>Normal</v>
      </c>
      <c r="AH233" s="7" t="str">
        <f t="shared" si="18"/>
        <v>BB Normal</v>
      </c>
      <c r="AI233" s="8" t="str">
        <f t="shared" si="19"/>
        <v>Normal</v>
      </c>
    </row>
    <row r="234" spans="1:35" ht="15.6">
      <c r="A234" s="35"/>
      <c r="B234" s="47">
        <v>2</v>
      </c>
      <c r="C234" s="33" t="s">
        <v>247</v>
      </c>
      <c r="D234" s="41" t="s">
        <v>37</v>
      </c>
      <c r="E234" s="47">
        <v>2</v>
      </c>
      <c r="F234" s="53" t="s">
        <v>1070</v>
      </c>
      <c r="G234" s="47" t="s">
        <v>1071</v>
      </c>
      <c r="H234" s="47">
        <v>3.2</v>
      </c>
      <c r="I234" s="47">
        <v>50</v>
      </c>
      <c r="J234" s="31">
        <v>1</v>
      </c>
      <c r="K234" s="31" t="s">
        <v>40</v>
      </c>
      <c r="L234" s="31" t="s">
        <v>1072</v>
      </c>
      <c r="M234" s="80" t="s">
        <v>1073</v>
      </c>
      <c r="N234" s="47" t="s">
        <v>1013</v>
      </c>
      <c r="O234" s="47">
        <v>3</v>
      </c>
      <c r="P234" s="38">
        <v>2</v>
      </c>
      <c r="Q234" s="36">
        <v>15</v>
      </c>
      <c r="R234" s="36">
        <v>1</v>
      </c>
      <c r="S234" s="36">
        <v>25</v>
      </c>
      <c r="T234" s="39">
        <v>11</v>
      </c>
      <c r="U234" s="37">
        <v>9</v>
      </c>
      <c r="V234" s="37">
        <v>20</v>
      </c>
      <c r="W234" s="30">
        <v>52</v>
      </c>
      <c r="X234" s="31">
        <v>16</v>
      </c>
      <c r="Y234" s="31">
        <v>100</v>
      </c>
      <c r="Z234" s="31" t="s">
        <v>43</v>
      </c>
      <c r="AA234" s="31">
        <v>50</v>
      </c>
      <c r="AB234" s="31">
        <v>17</v>
      </c>
      <c r="AC234" s="18" t="s">
        <v>53</v>
      </c>
      <c r="AD234" s="9">
        <v>-1.148276517</v>
      </c>
      <c r="AE234" s="9">
        <v>-0.36773832950000002</v>
      </c>
      <c r="AF234" s="9">
        <v>0.57176172420000004</v>
      </c>
      <c r="AG234" s="6" t="str">
        <f t="shared" si="17"/>
        <v>Normal</v>
      </c>
      <c r="AH234" s="7" t="str">
        <f t="shared" si="18"/>
        <v>BB Normal</v>
      </c>
      <c r="AI234" s="8" t="str">
        <f t="shared" si="19"/>
        <v>Normal</v>
      </c>
    </row>
    <row r="235" spans="1:35" ht="15.6">
      <c r="A235" s="35"/>
      <c r="B235" s="47">
        <v>2</v>
      </c>
      <c r="C235" s="33" t="s">
        <v>1074</v>
      </c>
      <c r="D235" s="41" t="s">
        <v>48</v>
      </c>
      <c r="E235" s="47">
        <v>1</v>
      </c>
      <c r="F235" s="53" t="s">
        <v>1075</v>
      </c>
      <c r="G235" s="47" t="s">
        <v>1076</v>
      </c>
      <c r="H235" s="47">
        <v>3.3</v>
      </c>
      <c r="I235" s="47">
        <v>50</v>
      </c>
      <c r="J235" s="31">
        <v>1</v>
      </c>
      <c r="K235" s="31" t="s">
        <v>40</v>
      </c>
      <c r="L235" s="31" t="s">
        <v>1077</v>
      </c>
      <c r="M235" s="80" t="s">
        <v>1078</v>
      </c>
      <c r="N235" s="47" t="s">
        <v>1013</v>
      </c>
      <c r="O235" s="47">
        <v>1</v>
      </c>
      <c r="P235" s="38">
        <v>2</v>
      </c>
      <c r="Q235" s="36">
        <v>15</v>
      </c>
      <c r="R235" s="36">
        <v>1</v>
      </c>
      <c r="S235" s="36">
        <v>25</v>
      </c>
      <c r="T235" s="39">
        <v>6</v>
      </c>
      <c r="U235" s="37">
        <v>11</v>
      </c>
      <c r="V235" s="37">
        <v>20</v>
      </c>
      <c r="W235" s="30">
        <v>50</v>
      </c>
      <c r="X235" s="31">
        <v>16.5</v>
      </c>
      <c r="Y235" s="31">
        <v>104</v>
      </c>
      <c r="Z235" s="31" t="s">
        <v>43</v>
      </c>
      <c r="AA235" s="31">
        <v>52</v>
      </c>
      <c r="AB235" s="31">
        <v>18</v>
      </c>
      <c r="AC235" s="18" t="s">
        <v>53</v>
      </c>
      <c r="AD235" s="9">
        <v>-0.14331012430000001</v>
      </c>
      <c r="AE235" s="9">
        <v>-0.1075737725</v>
      </c>
      <c r="AF235" s="9">
        <v>-2.5469343379999999E-2</v>
      </c>
      <c r="AG235" s="6" t="str">
        <f t="shared" si="17"/>
        <v>Normal</v>
      </c>
      <c r="AH235" s="7" t="str">
        <f t="shared" si="18"/>
        <v>BB Normal</v>
      </c>
      <c r="AI235" s="8" t="str">
        <f t="shared" si="19"/>
        <v>Normal</v>
      </c>
    </row>
    <row r="236" spans="1:35" ht="15.6">
      <c r="A236" s="35"/>
      <c r="B236" s="47">
        <v>1</v>
      </c>
      <c r="C236" s="33" t="s">
        <v>789</v>
      </c>
      <c r="D236" s="41" t="s">
        <v>37</v>
      </c>
      <c r="E236" s="47">
        <v>2</v>
      </c>
      <c r="F236" s="53" t="s">
        <v>1079</v>
      </c>
      <c r="G236" s="47" t="s">
        <v>1080</v>
      </c>
      <c r="H236" s="47">
        <v>3</v>
      </c>
      <c r="I236" s="47">
        <v>49</v>
      </c>
      <c r="J236" s="31">
        <v>1</v>
      </c>
      <c r="K236" s="31" t="s">
        <v>40</v>
      </c>
      <c r="L236" s="31" t="s">
        <v>1081</v>
      </c>
      <c r="M236" s="80" t="s">
        <v>1082</v>
      </c>
      <c r="N236" s="47" t="s">
        <v>1013</v>
      </c>
      <c r="O236" s="47">
        <v>3</v>
      </c>
      <c r="P236" s="38">
        <v>2</v>
      </c>
      <c r="Q236" s="36">
        <v>15</v>
      </c>
      <c r="R236" s="36">
        <v>1</v>
      </c>
      <c r="S236" s="36">
        <v>25</v>
      </c>
      <c r="T236" s="39">
        <v>13</v>
      </c>
      <c r="U236" s="37">
        <v>7</v>
      </c>
      <c r="V236" s="37">
        <v>20</v>
      </c>
      <c r="W236" s="30">
        <v>54</v>
      </c>
      <c r="X236" s="42">
        <v>17.5</v>
      </c>
      <c r="Y236" s="32">
        <v>107</v>
      </c>
      <c r="Z236" s="32" t="s">
        <v>43</v>
      </c>
      <c r="AA236" s="32">
        <v>52</v>
      </c>
      <c r="AB236" s="32">
        <v>18</v>
      </c>
      <c r="AC236" s="18" t="s">
        <v>53</v>
      </c>
      <c r="AD236" s="9">
        <v>0.16831626750000001</v>
      </c>
      <c r="AE236" s="9">
        <v>0.1367919615</v>
      </c>
      <c r="AF236" s="9">
        <v>1.57586423E-2</v>
      </c>
      <c r="AG236" s="6" t="str">
        <f t="shared" si="17"/>
        <v>Normal</v>
      </c>
      <c r="AH236" s="7" t="str">
        <f t="shared" si="18"/>
        <v>BB Normal</v>
      </c>
      <c r="AI236" s="8" t="str">
        <f t="shared" si="19"/>
        <v>Normal</v>
      </c>
    </row>
    <row r="237" spans="1:35" ht="15.6">
      <c r="A237" s="35"/>
      <c r="B237" s="47">
        <v>2</v>
      </c>
      <c r="C237" s="33" t="s">
        <v>1083</v>
      </c>
      <c r="D237" s="41" t="s">
        <v>48</v>
      </c>
      <c r="E237" s="47">
        <v>1</v>
      </c>
      <c r="F237" s="53" t="s">
        <v>1084</v>
      </c>
      <c r="G237" s="47" t="s">
        <v>1085</v>
      </c>
      <c r="H237" s="47">
        <v>2.7</v>
      </c>
      <c r="I237" s="47">
        <v>48</v>
      </c>
      <c r="J237" s="31">
        <v>1</v>
      </c>
      <c r="K237" s="31" t="s">
        <v>40</v>
      </c>
      <c r="L237" s="31" t="s">
        <v>1086</v>
      </c>
      <c r="M237" s="80" t="s">
        <v>1087</v>
      </c>
      <c r="N237" s="47" t="s">
        <v>1013</v>
      </c>
      <c r="O237" s="47">
        <v>2</v>
      </c>
      <c r="P237" s="38">
        <v>2</v>
      </c>
      <c r="Q237" s="36">
        <v>15</v>
      </c>
      <c r="R237" s="36">
        <v>1</v>
      </c>
      <c r="S237" s="36">
        <v>25</v>
      </c>
      <c r="T237" s="39">
        <v>10</v>
      </c>
      <c r="U237" s="37">
        <v>2</v>
      </c>
      <c r="V237" s="37">
        <v>21</v>
      </c>
      <c r="W237" s="30">
        <v>47</v>
      </c>
      <c r="X237" s="31">
        <v>14</v>
      </c>
      <c r="Y237" s="31">
        <v>95</v>
      </c>
      <c r="Z237" s="31" t="s">
        <v>43</v>
      </c>
      <c r="AA237" s="31">
        <v>50</v>
      </c>
      <c r="AB237" s="31">
        <v>16</v>
      </c>
      <c r="AC237" s="18" t="s">
        <v>53</v>
      </c>
      <c r="AD237" s="9">
        <v>-1.884658655</v>
      </c>
      <c r="AE237" s="9">
        <v>-1.1705098789999999</v>
      </c>
      <c r="AF237" s="9">
        <v>-5.5043484689999998E-2</v>
      </c>
      <c r="AG237" s="6" t="str">
        <f t="shared" si="17"/>
        <v>Normal</v>
      </c>
      <c r="AH237" s="7" t="str">
        <f t="shared" si="18"/>
        <v>BB Normal</v>
      </c>
      <c r="AI237" s="8" t="str">
        <f t="shared" si="19"/>
        <v>Normal</v>
      </c>
    </row>
    <row r="238" spans="1:35" ht="15.6">
      <c r="A238" s="35"/>
      <c r="B238" s="47">
        <v>3</v>
      </c>
      <c r="C238" s="33" t="s">
        <v>1088</v>
      </c>
      <c r="D238" s="41" t="s">
        <v>48</v>
      </c>
      <c r="E238" s="47">
        <v>1</v>
      </c>
      <c r="F238" s="53" t="s">
        <v>1089</v>
      </c>
      <c r="G238" s="47" t="s">
        <v>1090</v>
      </c>
      <c r="H238" s="47">
        <v>3.1</v>
      </c>
      <c r="I238" s="47">
        <v>49</v>
      </c>
      <c r="J238" s="31">
        <v>1</v>
      </c>
      <c r="K238" s="31" t="s">
        <v>40</v>
      </c>
      <c r="L238" s="31" t="s">
        <v>1091</v>
      </c>
      <c r="M238" s="80" t="s">
        <v>1092</v>
      </c>
      <c r="N238" s="47" t="s">
        <v>1013</v>
      </c>
      <c r="O238" s="47">
        <v>1</v>
      </c>
      <c r="P238" s="38">
        <v>2</v>
      </c>
      <c r="Q238" s="36">
        <v>15</v>
      </c>
      <c r="R238" s="36">
        <v>1</v>
      </c>
      <c r="S238" s="36">
        <v>25</v>
      </c>
      <c r="T238" s="39">
        <v>10</v>
      </c>
      <c r="U238" s="37">
        <v>3</v>
      </c>
      <c r="V238" s="37">
        <v>21</v>
      </c>
      <c r="W238" s="30">
        <v>46</v>
      </c>
      <c r="X238" s="31">
        <v>14.3</v>
      </c>
      <c r="Y238" s="31">
        <v>102</v>
      </c>
      <c r="Z238" s="31" t="s">
        <v>43</v>
      </c>
      <c r="AA238" s="31">
        <v>48</v>
      </c>
      <c r="AB238" s="31">
        <v>16</v>
      </c>
      <c r="AC238" s="18" t="s">
        <v>53</v>
      </c>
      <c r="AD238" s="9">
        <v>-7.7758666320000003E-2</v>
      </c>
      <c r="AE238" s="9">
        <v>-0.92490868749999999</v>
      </c>
      <c r="AF238" s="9">
        <v>-1.3502431800000001</v>
      </c>
      <c r="AG238" s="6" t="str">
        <f t="shared" si="17"/>
        <v>Normal</v>
      </c>
      <c r="AH238" s="7" t="str">
        <f t="shared" si="18"/>
        <v>BB Normal</v>
      </c>
      <c r="AI238" s="8" t="str">
        <f t="shared" si="19"/>
        <v>Normal</v>
      </c>
    </row>
    <row r="239" spans="1:35" ht="15.6">
      <c r="A239" s="35"/>
      <c r="B239" s="47">
        <v>2</v>
      </c>
      <c r="C239" s="33" t="s">
        <v>1093</v>
      </c>
      <c r="D239" s="41" t="s">
        <v>48</v>
      </c>
      <c r="E239" s="47">
        <v>1</v>
      </c>
      <c r="F239" s="53" t="s">
        <v>1094</v>
      </c>
      <c r="G239" s="47" t="s">
        <v>1095</v>
      </c>
      <c r="H239" s="47">
        <v>3.1</v>
      </c>
      <c r="I239" s="47">
        <v>49</v>
      </c>
      <c r="J239" s="31">
        <v>1</v>
      </c>
      <c r="K239" s="31" t="s">
        <v>40</v>
      </c>
      <c r="L239" s="31" t="s">
        <v>1096</v>
      </c>
      <c r="M239" s="80" t="s">
        <v>1097</v>
      </c>
      <c r="N239" s="47" t="s">
        <v>1013</v>
      </c>
      <c r="O239" s="47">
        <v>1</v>
      </c>
      <c r="P239" s="38">
        <v>2</v>
      </c>
      <c r="Q239" s="36">
        <v>15</v>
      </c>
      <c r="R239" s="36">
        <v>1</v>
      </c>
      <c r="S239" s="36">
        <v>25</v>
      </c>
      <c r="T239" s="39">
        <v>19</v>
      </c>
      <c r="U239" s="37">
        <v>4</v>
      </c>
      <c r="V239" s="37">
        <v>21</v>
      </c>
      <c r="W239" s="30">
        <v>44</v>
      </c>
      <c r="X239" s="42">
        <v>14.6</v>
      </c>
      <c r="Y239" s="32">
        <v>97</v>
      </c>
      <c r="Z239" s="32" t="s">
        <v>43</v>
      </c>
      <c r="AA239" s="32">
        <v>50</v>
      </c>
      <c r="AB239" s="32">
        <v>17</v>
      </c>
      <c r="AC239" s="18" t="s">
        <v>53</v>
      </c>
      <c r="AD239" s="9">
        <v>-1.1199666939999999</v>
      </c>
      <c r="AE239" s="9">
        <v>-0.65102986240000005</v>
      </c>
      <c r="AF239" s="9">
        <v>3.9838374340000003E-2</v>
      </c>
      <c r="AG239" s="6" t="str">
        <f t="shared" si="17"/>
        <v>Normal</v>
      </c>
      <c r="AH239" s="7" t="str">
        <f t="shared" si="18"/>
        <v>BB Normal</v>
      </c>
      <c r="AI239" s="8" t="str">
        <f t="shared" si="19"/>
        <v>Normal</v>
      </c>
    </row>
    <row r="240" spans="1:35" ht="15.6">
      <c r="A240" s="35"/>
      <c r="B240" s="47">
        <v>2</v>
      </c>
      <c r="C240" s="33" t="s">
        <v>445</v>
      </c>
      <c r="D240" s="41" t="s">
        <v>48</v>
      </c>
      <c r="E240" s="47">
        <v>2</v>
      </c>
      <c r="F240" s="53" t="s">
        <v>1098</v>
      </c>
      <c r="G240" s="47" t="s">
        <v>1099</v>
      </c>
      <c r="H240" s="47">
        <v>3.3</v>
      </c>
      <c r="I240" s="47">
        <v>48</v>
      </c>
      <c r="J240" s="31">
        <v>1</v>
      </c>
      <c r="K240" s="31" t="s">
        <v>40</v>
      </c>
      <c r="L240" s="31" t="s">
        <v>1100</v>
      </c>
      <c r="M240" s="80" t="s">
        <v>1101</v>
      </c>
      <c r="N240" s="47" t="s">
        <v>1013</v>
      </c>
      <c r="O240" s="47">
        <v>3</v>
      </c>
      <c r="P240" s="38">
        <v>2</v>
      </c>
      <c r="Q240" s="36">
        <v>15</v>
      </c>
      <c r="R240" s="36">
        <v>1</v>
      </c>
      <c r="S240" s="36">
        <v>25</v>
      </c>
      <c r="T240" s="39">
        <v>2</v>
      </c>
      <c r="U240" s="37">
        <v>6</v>
      </c>
      <c r="V240" s="37">
        <v>21</v>
      </c>
      <c r="W240" s="30">
        <v>43</v>
      </c>
      <c r="X240" s="42">
        <v>13.3</v>
      </c>
      <c r="Y240" s="32">
        <v>96</v>
      </c>
      <c r="Z240" s="32" t="s">
        <v>43</v>
      </c>
      <c r="AA240" s="32">
        <v>50</v>
      </c>
      <c r="AB240" s="32">
        <v>17</v>
      </c>
      <c r="AC240" s="18" t="s">
        <v>53</v>
      </c>
      <c r="AD240" s="9">
        <v>-0.96222559409999997</v>
      </c>
      <c r="AE240" s="9">
        <v>-1.055258314</v>
      </c>
      <c r="AF240" s="9">
        <v>-0.71841067719999996</v>
      </c>
      <c r="AG240" s="6" t="str">
        <f t="shared" si="17"/>
        <v>Normal</v>
      </c>
      <c r="AH240" s="7" t="str">
        <f t="shared" si="18"/>
        <v>BB Normal</v>
      </c>
      <c r="AI240" s="8" t="str">
        <f t="shared" si="19"/>
        <v>Normal</v>
      </c>
    </row>
    <row r="241" spans="1:35" ht="15.6">
      <c r="A241" s="35"/>
      <c r="B241" s="47">
        <v>2</v>
      </c>
      <c r="C241" s="33" t="s">
        <v>1102</v>
      </c>
      <c r="D241" s="41" t="s">
        <v>37</v>
      </c>
      <c r="E241" s="47">
        <v>2</v>
      </c>
      <c r="F241" s="53" t="s">
        <v>1103</v>
      </c>
      <c r="G241" s="47" t="s">
        <v>1104</v>
      </c>
      <c r="H241" s="47">
        <v>2.9</v>
      </c>
      <c r="I241" s="47">
        <v>48</v>
      </c>
      <c r="J241" s="31">
        <v>1</v>
      </c>
      <c r="K241" s="31" t="s">
        <v>40</v>
      </c>
      <c r="L241" s="31" t="s">
        <v>1105</v>
      </c>
      <c r="M241" s="80" t="s">
        <v>1106</v>
      </c>
      <c r="N241" s="47" t="s">
        <v>1013</v>
      </c>
      <c r="O241" s="47">
        <v>2</v>
      </c>
      <c r="P241" s="38">
        <v>2</v>
      </c>
      <c r="Q241" s="36">
        <v>15</v>
      </c>
      <c r="R241" s="36">
        <v>1</v>
      </c>
      <c r="S241" s="36">
        <v>25</v>
      </c>
      <c r="T241" s="39">
        <v>24</v>
      </c>
      <c r="U241" s="37">
        <v>6</v>
      </c>
      <c r="V241" s="37">
        <v>21</v>
      </c>
      <c r="W241" s="30">
        <v>42</v>
      </c>
      <c r="X241" s="42">
        <v>13.6</v>
      </c>
      <c r="Y241" s="32">
        <v>96</v>
      </c>
      <c r="Z241" s="32" t="s">
        <v>43</v>
      </c>
      <c r="AA241" s="32">
        <v>50</v>
      </c>
      <c r="AB241" s="32">
        <v>17</v>
      </c>
      <c r="AC241" s="18" t="s">
        <v>53</v>
      </c>
      <c r="AD241" s="9">
        <v>-0.85820479390000004</v>
      </c>
      <c r="AE241" s="9">
        <v>-0.81894219000000001</v>
      </c>
      <c r="AF241" s="9">
        <v>-0.4585382858</v>
      </c>
      <c r="AG241" s="6" t="str">
        <f t="shared" si="17"/>
        <v>Normal</v>
      </c>
      <c r="AH241" s="7" t="str">
        <f t="shared" si="18"/>
        <v>BB Normal</v>
      </c>
      <c r="AI241" s="8" t="str">
        <f t="shared" si="19"/>
        <v>Normal</v>
      </c>
    </row>
    <row r="242" spans="1:35" ht="15.6">
      <c r="A242" s="35"/>
      <c r="B242" s="47">
        <v>1</v>
      </c>
      <c r="C242" s="33" t="s">
        <v>1107</v>
      </c>
      <c r="D242" s="41" t="s">
        <v>37</v>
      </c>
      <c r="E242" s="47">
        <v>2</v>
      </c>
      <c r="F242" s="53" t="s">
        <v>1108</v>
      </c>
      <c r="G242" s="47" t="s">
        <v>1109</v>
      </c>
      <c r="H242" s="47">
        <v>2.4</v>
      </c>
      <c r="I242" s="47">
        <v>45</v>
      </c>
      <c r="J242" s="31">
        <v>1</v>
      </c>
      <c r="K242" s="31" t="s">
        <v>40</v>
      </c>
      <c r="L242" s="31" t="s">
        <v>1110</v>
      </c>
      <c r="M242" s="80" t="s">
        <v>1111</v>
      </c>
      <c r="N242" s="47" t="s">
        <v>1013</v>
      </c>
      <c r="O242" s="47">
        <v>2</v>
      </c>
      <c r="P242" s="38">
        <v>2</v>
      </c>
      <c r="Q242" s="36">
        <v>15</v>
      </c>
      <c r="R242" s="36">
        <v>1</v>
      </c>
      <c r="S242" s="36">
        <v>25</v>
      </c>
      <c r="T242" s="39">
        <v>2</v>
      </c>
      <c r="U242" s="37">
        <v>8</v>
      </c>
      <c r="V242" s="37">
        <v>21</v>
      </c>
      <c r="W242" s="30">
        <v>41</v>
      </c>
      <c r="X242" s="42">
        <v>14.7</v>
      </c>
      <c r="Y242" s="32">
        <v>99</v>
      </c>
      <c r="Z242" s="32" t="s">
        <v>43</v>
      </c>
      <c r="AA242" s="32">
        <v>50</v>
      </c>
      <c r="AB242" s="32">
        <v>18</v>
      </c>
      <c r="AC242" s="18" t="s">
        <v>53</v>
      </c>
      <c r="AD242" s="9">
        <v>7.4932712740000004E-2</v>
      </c>
      <c r="AE242" s="9">
        <v>-9.1352923589999996E-2</v>
      </c>
      <c r="AF242" s="9">
        <v>-0.18947412559999999</v>
      </c>
      <c r="AG242" s="6" t="str">
        <f t="shared" si="17"/>
        <v>Normal</v>
      </c>
      <c r="AH242" s="7" t="str">
        <f t="shared" si="18"/>
        <v>BB Normal</v>
      </c>
      <c r="AI242" s="8" t="str">
        <f t="shared" si="19"/>
        <v>Normal</v>
      </c>
    </row>
    <row r="243" spans="1:35" ht="15.6">
      <c r="A243" s="35"/>
      <c r="B243" s="47">
        <v>2</v>
      </c>
      <c r="C243" s="33" t="s">
        <v>1112</v>
      </c>
      <c r="D243" s="41" t="s">
        <v>37</v>
      </c>
      <c r="E243" s="47">
        <v>2</v>
      </c>
      <c r="F243" s="53" t="s">
        <v>1113</v>
      </c>
      <c r="G243" s="47" t="s">
        <v>1114</v>
      </c>
      <c r="H243" s="47">
        <v>2.7</v>
      </c>
      <c r="I243" s="47">
        <v>48</v>
      </c>
      <c r="J243" s="31">
        <v>1</v>
      </c>
      <c r="K243" s="31" t="s">
        <v>40</v>
      </c>
      <c r="L243" s="31" t="s">
        <v>1115</v>
      </c>
      <c r="M243" s="80" t="s">
        <v>1116</v>
      </c>
      <c r="N243" s="47" t="s">
        <v>1013</v>
      </c>
      <c r="O243" s="47">
        <v>2</v>
      </c>
      <c r="P243" s="38">
        <v>2</v>
      </c>
      <c r="Q243" s="36">
        <v>15</v>
      </c>
      <c r="R243" s="36">
        <v>1</v>
      </c>
      <c r="S243" s="36">
        <v>25</v>
      </c>
      <c r="T243" s="39">
        <v>20</v>
      </c>
      <c r="U243" s="37">
        <v>8</v>
      </c>
      <c r="V243" s="37">
        <v>21</v>
      </c>
      <c r="W243" s="30">
        <v>40</v>
      </c>
      <c r="X243" s="42">
        <v>14.7</v>
      </c>
      <c r="Y243" s="32">
        <v>98</v>
      </c>
      <c r="Z243" s="32" t="s">
        <v>43</v>
      </c>
      <c r="AA243" s="32">
        <v>50</v>
      </c>
      <c r="AB243" s="32">
        <v>17</v>
      </c>
      <c r="AC243" s="18" t="s">
        <v>53</v>
      </c>
      <c r="AD243" s="9">
        <v>-7.873088282E-2</v>
      </c>
      <c r="AE243" s="9">
        <v>-3.3499935379999998E-2</v>
      </c>
      <c r="AF243" s="9">
        <v>2.2854894600000002E-2</v>
      </c>
      <c r="AG243" s="6" t="str">
        <f t="shared" si="17"/>
        <v>Normal</v>
      </c>
      <c r="AH243" s="7" t="str">
        <f t="shared" si="18"/>
        <v>BB Normal</v>
      </c>
      <c r="AI243" s="8" t="str">
        <f t="shared" si="19"/>
        <v>Normal</v>
      </c>
    </row>
    <row r="244" spans="1:35" ht="15.6">
      <c r="A244" s="35"/>
      <c r="B244" s="47">
        <v>2</v>
      </c>
      <c r="C244" s="33" t="s">
        <v>1117</v>
      </c>
      <c r="D244" s="41" t="s">
        <v>37</v>
      </c>
      <c r="E244" s="47">
        <v>2</v>
      </c>
      <c r="F244" s="53" t="s">
        <v>1118</v>
      </c>
      <c r="G244" s="47" t="s">
        <v>1119</v>
      </c>
      <c r="H244" s="47">
        <v>2.8</v>
      </c>
      <c r="I244" s="47">
        <v>48</v>
      </c>
      <c r="J244" s="31">
        <v>1</v>
      </c>
      <c r="K244" s="31" t="s">
        <v>40</v>
      </c>
      <c r="L244" s="31" t="s">
        <v>1120</v>
      </c>
      <c r="M244" s="80" t="s">
        <v>1121</v>
      </c>
      <c r="N244" s="47" t="s">
        <v>1013</v>
      </c>
      <c r="O244" s="47">
        <v>1</v>
      </c>
      <c r="P244" s="38">
        <v>2</v>
      </c>
      <c r="Q244" s="36">
        <v>15</v>
      </c>
      <c r="R244" s="36">
        <v>1</v>
      </c>
      <c r="S244" s="36">
        <v>25</v>
      </c>
      <c r="T244" s="39">
        <v>1</v>
      </c>
      <c r="U244" s="37">
        <v>10</v>
      </c>
      <c r="V244" s="37">
        <v>21</v>
      </c>
      <c r="W244" s="30">
        <v>39</v>
      </c>
      <c r="X244" s="42">
        <v>11.7</v>
      </c>
      <c r="Y244" s="32">
        <v>96</v>
      </c>
      <c r="Z244" s="32" t="s">
        <v>43</v>
      </c>
      <c r="AA244" s="32">
        <v>50</v>
      </c>
      <c r="AB244" s="32">
        <v>16</v>
      </c>
      <c r="AC244" s="18" t="s">
        <v>53</v>
      </c>
      <c r="AD244" s="9">
        <v>-0.35635530700000001</v>
      </c>
      <c r="AE244" s="9">
        <v>-1.7185952390000001</v>
      </c>
      <c r="AF244" s="9">
        <v>-2.216025267</v>
      </c>
      <c r="AG244" s="6" t="str">
        <f t="shared" si="17"/>
        <v>Normal</v>
      </c>
      <c r="AH244" s="7" t="str">
        <f t="shared" si="18"/>
        <v>BB Normal</v>
      </c>
      <c r="AI244" s="8" t="str">
        <f t="shared" si="19"/>
        <v>Gz.Krg</v>
      </c>
    </row>
    <row r="245" spans="1:35" ht="15.6">
      <c r="A245" s="35"/>
      <c r="B245" s="47">
        <v>2</v>
      </c>
      <c r="C245" s="33" t="s">
        <v>1122</v>
      </c>
      <c r="D245" s="41" t="s">
        <v>37</v>
      </c>
      <c r="E245" s="47">
        <v>2</v>
      </c>
      <c r="F245" s="53" t="s">
        <v>1123</v>
      </c>
      <c r="G245" s="47" t="s">
        <v>1124</v>
      </c>
      <c r="H245" s="47">
        <v>2.7</v>
      </c>
      <c r="I245" s="47">
        <v>50</v>
      </c>
      <c r="J245" s="31">
        <v>1</v>
      </c>
      <c r="K245" s="31" t="s">
        <v>40</v>
      </c>
      <c r="L245" s="31" t="s">
        <v>1125</v>
      </c>
      <c r="M245" s="80" t="s">
        <v>1126</v>
      </c>
      <c r="N245" s="47" t="s">
        <v>1013</v>
      </c>
      <c r="O245" s="47">
        <v>2</v>
      </c>
      <c r="P245" s="38">
        <v>2</v>
      </c>
      <c r="Q245" s="36">
        <v>15</v>
      </c>
      <c r="R245" s="36">
        <v>1</v>
      </c>
      <c r="S245" s="36">
        <v>25</v>
      </c>
      <c r="T245" s="39">
        <v>15</v>
      </c>
      <c r="U245" s="37">
        <v>10</v>
      </c>
      <c r="V245" s="37">
        <v>21</v>
      </c>
      <c r="W245" s="30">
        <v>39</v>
      </c>
      <c r="X245" s="42">
        <v>11.2</v>
      </c>
      <c r="Y245" s="32">
        <v>94</v>
      </c>
      <c r="Z245" s="32" t="s">
        <v>43</v>
      </c>
      <c r="AA245" s="32">
        <v>50</v>
      </c>
      <c r="AB245" s="32">
        <v>16</v>
      </c>
      <c r="AC245" s="18" t="s">
        <v>53</v>
      </c>
      <c r="AD245" s="9">
        <v>-0.78896071440000004</v>
      </c>
      <c r="AE245" s="9">
        <v>-2.0292517999999999</v>
      </c>
      <c r="AF245" s="9">
        <v>-2.3052158299999999</v>
      </c>
      <c r="AG245" s="6" t="str">
        <f t="shared" si="17"/>
        <v>Normal</v>
      </c>
      <c r="AH245" s="7" t="str">
        <f t="shared" si="18"/>
        <v>BB Krg</v>
      </c>
      <c r="AI245" s="8" t="str">
        <f t="shared" si="19"/>
        <v>Gz.Krg</v>
      </c>
    </row>
    <row r="246" spans="1:35" ht="15.6">
      <c r="A246" s="35"/>
      <c r="B246" s="47">
        <v>5</v>
      </c>
      <c r="C246" s="33" t="s">
        <v>1127</v>
      </c>
      <c r="D246" s="41" t="s">
        <v>37</v>
      </c>
      <c r="E246" s="47">
        <v>2</v>
      </c>
      <c r="F246" s="53" t="s">
        <v>1128</v>
      </c>
      <c r="G246" s="47" t="s">
        <v>1129</v>
      </c>
      <c r="H246" s="47">
        <v>3.1</v>
      </c>
      <c r="I246" s="47">
        <v>49</v>
      </c>
      <c r="J246" s="31">
        <v>1</v>
      </c>
      <c r="K246" s="31" t="s">
        <v>40</v>
      </c>
      <c r="L246" s="31" t="s">
        <v>1130</v>
      </c>
      <c r="M246" s="80" t="s">
        <v>1131</v>
      </c>
      <c r="N246" s="47" t="s">
        <v>1013</v>
      </c>
      <c r="O246" s="47">
        <v>3</v>
      </c>
      <c r="P246" s="38">
        <v>2</v>
      </c>
      <c r="Q246" s="36">
        <v>15</v>
      </c>
      <c r="R246" s="36">
        <v>1</v>
      </c>
      <c r="S246" s="36">
        <v>25</v>
      </c>
      <c r="T246" s="39">
        <v>3</v>
      </c>
      <c r="U246" s="37">
        <v>11</v>
      </c>
      <c r="V246" s="37">
        <v>21</v>
      </c>
      <c r="W246" s="30">
        <v>38</v>
      </c>
      <c r="X246" s="42">
        <v>12</v>
      </c>
      <c r="Y246" s="32">
        <v>93</v>
      </c>
      <c r="Z246" s="32" t="s">
        <v>43</v>
      </c>
      <c r="AA246" s="32">
        <v>49</v>
      </c>
      <c r="AB246" s="32">
        <v>16</v>
      </c>
      <c r="AC246" s="18" t="s">
        <v>53</v>
      </c>
      <c r="AD246" s="9">
        <v>-0.94270517399999998</v>
      </c>
      <c r="AE246" s="9">
        <v>-1.4114402239999999</v>
      </c>
      <c r="AF246" s="9">
        <v>-1.281237489</v>
      </c>
      <c r="AG246" s="6" t="str">
        <f t="shared" si="17"/>
        <v>Normal</v>
      </c>
      <c r="AH246" s="7" t="str">
        <f t="shared" si="18"/>
        <v>BB Normal</v>
      </c>
      <c r="AI246" s="8" t="str">
        <f t="shared" si="19"/>
        <v>Normal</v>
      </c>
    </row>
    <row r="247" spans="1:35" ht="15.6">
      <c r="A247" s="35"/>
      <c r="B247" s="47">
        <v>3</v>
      </c>
      <c r="C247" s="33" t="s">
        <v>1132</v>
      </c>
      <c r="D247" s="41" t="s">
        <v>48</v>
      </c>
      <c r="E247" s="47">
        <v>1</v>
      </c>
      <c r="F247" s="53" t="s">
        <v>1133</v>
      </c>
      <c r="G247" s="47" t="s">
        <v>1134</v>
      </c>
      <c r="H247" s="47">
        <v>3.3</v>
      </c>
      <c r="I247" s="47">
        <v>48</v>
      </c>
      <c r="J247" s="31">
        <v>1</v>
      </c>
      <c r="K247" s="31" t="s">
        <v>40</v>
      </c>
      <c r="L247" s="31" t="s">
        <v>1135</v>
      </c>
      <c r="M247" s="80" t="s">
        <v>1136</v>
      </c>
      <c r="N247" s="47" t="s">
        <v>1013</v>
      </c>
      <c r="O247" s="47">
        <v>2</v>
      </c>
      <c r="P247" s="38">
        <v>2</v>
      </c>
      <c r="Q247" s="36">
        <v>15</v>
      </c>
      <c r="R247" s="36">
        <v>1</v>
      </c>
      <c r="S247" s="36">
        <v>25</v>
      </c>
      <c r="T247" s="39">
        <v>28</v>
      </c>
      <c r="U247" s="37">
        <v>12</v>
      </c>
      <c r="V247" s="37">
        <v>21</v>
      </c>
      <c r="W247" s="30">
        <v>36</v>
      </c>
      <c r="X247" s="42">
        <v>14</v>
      </c>
      <c r="Y247" s="32">
        <v>93</v>
      </c>
      <c r="Z247" s="32" t="s">
        <v>43</v>
      </c>
      <c r="AA247" s="32">
        <v>49</v>
      </c>
      <c r="AB247" s="32">
        <v>16</v>
      </c>
      <c r="AC247" s="18" t="s">
        <v>53</v>
      </c>
      <c r="AD247" s="9">
        <v>-0.92968948439999999</v>
      </c>
      <c r="AE247" s="9">
        <v>-0.25925712270000001</v>
      </c>
      <c r="AF247" s="9">
        <v>0.38567134850000001</v>
      </c>
      <c r="AG247" s="6" t="str">
        <f t="shared" si="17"/>
        <v>Normal</v>
      </c>
      <c r="AH247" s="7" t="str">
        <f t="shared" si="18"/>
        <v>BB Normal</v>
      </c>
      <c r="AI247" s="8" t="str">
        <f t="shared" si="19"/>
        <v>Normal</v>
      </c>
    </row>
    <row r="248" spans="1:35" ht="15.6">
      <c r="A248" s="35"/>
      <c r="B248" s="47">
        <v>1</v>
      </c>
      <c r="C248" s="33" t="s">
        <v>1137</v>
      </c>
      <c r="D248" s="41" t="s">
        <v>37</v>
      </c>
      <c r="E248" s="47">
        <v>2</v>
      </c>
      <c r="F248" s="53" t="s">
        <v>1138</v>
      </c>
      <c r="G248" s="47" t="s">
        <v>1139</v>
      </c>
      <c r="H248" s="47">
        <v>3</v>
      </c>
      <c r="I248" s="47">
        <v>49</v>
      </c>
      <c r="J248" s="31">
        <v>1</v>
      </c>
      <c r="K248" s="31" t="s">
        <v>40</v>
      </c>
      <c r="L248" s="31" t="s">
        <v>1140</v>
      </c>
      <c r="M248" s="80" t="s">
        <v>1141</v>
      </c>
      <c r="N248" s="47" t="s">
        <v>1013</v>
      </c>
      <c r="O248" s="47">
        <v>3</v>
      </c>
      <c r="P248" s="38">
        <v>2</v>
      </c>
      <c r="Q248" s="36">
        <v>15</v>
      </c>
      <c r="R248" s="36">
        <v>1</v>
      </c>
      <c r="S248" s="36">
        <v>25</v>
      </c>
      <c r="T248" s="39">
        <v>6</v>
      </c>
      <c r="U248" s="37">
        <v>1</v>
      </c>
      <c r="V248" s="37">
        <v>22</v>
      </c>
      <c r="W248" s="30">
        <v>36</v>
      </c>
      <c r="X248" s="42">
        <v>13.7</v>
      </c>
      <c r="Y248" s="32">
        <v>91</v>
      </c>
      <c r="Z248" s="32" t="s">
        <v>43</v>
      </c>
      <c r="AA248" s="32">
        <v>49</v>
      </c>
      <c r="AB248" s="32">
        <v>16</v>
      </c>
      <c r="AC248" s="18" t="s">
        <v>53</v>
      </c>
      <c r="AD248" s="9">
        <v>-1.1145523450000001</v>
      </c>
      <c r="AE248" s="9">
        <v>-0.1223510392</v>
      </c>
      <c r="AF248" s="9">
        <v>0.7084336711</v>
      </c>
      <c r="AG248" s="6" t="str">
        <f t="shared" si="17"/>
        <v>Normal</v>
      </c>
      <c r="AH248" s="7" t="str">
        <f t="shared" si="18"/>
        <v>BB Normal</v>
      </c>
      <c r="AI248" s="8" t="str">
        <f t="shared" si="19"/>
        <v>Normal</v>
      </c>
    </row>
    <row r="249" spans="1:35" ht="15.6">
      <c r="A249" s="35"/>
      <c r="B249" s="35">
        <v>1</v>
      </c>
      <c r="C249" s="33" t="s">
        <v>1142</v>
      </c>
      <c r="D249" s="41" t="s">
        <v>48</v>
      </c>
      <c r="E249" s="47">
        <v>1</v>
      </c>
      <c r="F249" s="53" t="s">
        <v>1143</v>
      </c>
      <c r="G249" s="47" t="s">
        <v>1144</v>
      </c>
      <c r="H249" s="47">
        <v>3.4</v>
      </c>
      <c r="I249" s="47">
        <v>50</v>
      </c>
      <c r="J249" s="31">
        <v>1</v>
      </c>
      <c r="K249" s="31" t="s">
        <v>40</v>
      </c>
      <c r="L249" s="31" t="s">
        <v>1145</v>
      </c>
      <c r="M249" s="80" t="s">
        <v>1146</v>
      </c>
      <c r="N249" s="47" t="s">
        <v>1013</v>
      </c>
      <c r="O249" s="47">
        <v>1</v>
      </c>
      <c r="P249" s="38">
        <v>2</v>
      </c>
      <c r="Q249" s="36">
        <v>15</v>
      </c>
      <c r="R249" s="36">
        <v>1</v>
      </c>
      <c r="S249" s="36">
        <v>25</v>
      </c>
      <c r="T249" s="39">
        <v>3</v>
      </c>
      <c r="U249" s="37">
        <v>2</v>
      </c>
      <c r="V249" s="37">
        <v>22</v>
      </c>
      <c r="W249" s="30">
        <v>35</v>
      </c>
      <c r="X249" s="42">
        <v>15.7</v>
      </c>
      <c r="Y249" s="32">
        <v>95</v>
      </c>
      <c r="Z249" s="32" t="s">
        <v>43</v>
      </c>
      <c r="AA249" s="32">
        <v>50</v>
      </c>
      <c r="AB249" s="32">
        <v>17</v>
      </c>
      <c r="AC249" s="18" t="s">
        <v>53</v>
      </c>
      <c r="AD249" s="9">
        <v>-0.183523148</v>
      </c>
      <c r="AE249" s="9">
        <v>0.81848189090000001</v>
      </c>
      <c r="AF249" s="9">
        <v>1.4171533460000001</v>
      </c>
      <c r="AG249" s="6" t="str">
        <f t="shared" si="17"/>
        <v>Normal</v>
      </c>
      <c r="AH249" s="7" t="str">
        <f t="shared" si="18"/>
        <v>BB Normal</v>
      </c>
      <c r="AI249" s="8" t="str">
        <f t="shared" si="19"/>
        <v>R.Gz.Lbh</v>
      </c>
    </row>
    <row r="250" spans="1:35" ht="15.6">
      <c r="A250" s="35"/>
      <c r="B250" s="47">
        <v>2</v>
      </c>
      <c r="C250" s="33" t="s">
        <v>1147</v>
      </c>
      <c r="D250" s="41" t="s">
        <v>37</v>
      </c>
      <c r="E250" s="47">
        <v>2</v>
      </c>
      <c r="F250" s="53" t="s">
        <v>1148</v>
      </c>
      <c r="G250" s="47" t="s">
        <v>1149</v>
      </c>
      <c r="H250" s="47">
        <v>3</v>
      </c>
      <c r="I250" s="47">
        <v>49</v>
      </c>
      <c r="J250" s="31">
        <v>1</v>
      </c>
      <c r="K250" s="31" t="s">
        <v>40</v>
      </c>
      <c r="L250" s="31" t="s">
        <v>1150</v>
      </c>
      <c r="M250" s="80" t="s">
        <v>1151</v>
      </c>
      <c r="N250" s="47" t="s">
        <v>1013</v>
      </c>
      <c r="O250" s="47">
        <v>3</v>
      </c>
      <c r="P250" s="38">
        <v>2</v>
      </c>
      <c r="Q250" s="36">
        <v>15</v>
      </c>
      <c r="R250" s="36">
        <v>1</v>
      </c>
      <c r="S250" s="36">
        <v>25</v>
      </c>
      <c r="T250" s="39">
        <v>19</v>
      </c>
      <c r="U250" s="37">
        <v>2</v>
      </c>
      <c r="V250" s="37">
        <v>22</v>
      </c>
      <c r="W250" s="30">
        <v>34</v>
      </c>
      <c r="X250" s="42">
        <v>10.1</v>
      </c>
      <c r="Y250" s="32">
        <v>89</v>
      </c>
      <c r="Z250" s="32" t="s">
        <v>43</v>
      </c>
      <c r="AA250" s="32">
        <v>48</v>
      </c>
      <c r="AB250" s="32">
        <v>14</v>
      </c>
      <c r="AC250" s="18" t="s">
        <v>53</v>
      </c>
      <c r="AD250" s="9">
        <v>-1.397766262</v>
      </c>
      <c r="AE250" s="9">
        <v>-2.4838347039999999</v>
      </c>
      <c r="AF250" s="9">
        <v>-2.4151965720000002</v>
      </c>
      <c r="AG250" s="6" t="str">
        <f t="shared" si="17"/>
        <v>Normal</v>
      </c>
      <c r="AH250" s="7" t="str">
        <f t="shared" si="18"/>
        <v>BB Krg</v>
      </c>
      <c r="AI250" s="8" t="str">
        <f t="shared" si="19"/>
        <v>Gz.Krg</v>
      </c>
    </row>
    <row r="251" spans="1:35" ht="15.6">
      <c r="A251" s="35"/>
      <c r="B251" s="47">
        <v>2</v>
      </c>
      <c r="C251" s="48" t="s">
        <v>1152</v>
      </c>
      <c r="D251" s="41" t="s">
        <v>37</v>
      </c>
      <c r="E251" s="47">
        <v>2</v>
      </c>
      <c r="F251" s="53"/>
      <c r="G251" s="47" t="s">
        <v>1153</v>
      </c>
      <c r="H251" s="47">
        <v>2.7</v>
      </c>
      <c r="I251" s="47">
        <v>48</v>
      </c>
      <c r="J251" s="31">
        <v>1</v>
      </c>
      <c r="K251" s="31" t="s">
        <v>40</v>
      </c>
      <c r="L251" s="31" t="s">
        <v>1154</v>
      </c>
      <c r="M251" s="80" t="s">
        <v>1155</v>
      </c>
      <c r="N251" s="47" t="s">
        <v>1013</v>
      </c>
      <c r="O251" s="47">
        <v>2</v>
      </c>
      <c r="P251" s="38">
        <v>2</v>
      </c>
      <c r="Q251" s="36">
        <v>15</v>
      </c>
      <c r="R251" s="36">
        <v>1</v>
      </c>
      <c r="S251" s="36">
        <v>25</v>
      </c>
      <c r="T251" s="39">
        <v>26</v>
      </c>
      <c r="U251" s="37">
        <v>2</v>
      </c>
      <c r="V251" s="37">
        <v>22</v>
      </c>
      <c r="W251" s="30">
        <v>34</v>
      </c>
      <c r="X251" s="43">
        <v>14.4</v>
      </c>
      <c r="Y251" s="17">
        <v>95</v>
      </c>
      <c r="Z251" s="17" t="s">
        <v>43</v>
      </c>
      <c r="AA251" s="17">
        <v>50</v>
      </c>
      <c r="AB251" s="17">
        <v>16</v>
      </c>
      <c r="AC251" s="18" t="s">
        <v>53</v>
      </c>
      <c r="AD251" s="9">
        <v>0.2434503908</v>
      </c>
      <c r="AE251" s="9">
        <v>0.47225187029999999</v>
      </c>
      <c r="AF251" s="9">
        <v>0.418805292</v>
      </c>
      <c r="AG251" s="6" t="str">
        <f t="shared" si="17"/>
        <v>Normal</v>
      </c>
      <c r="AH251" s="7" t="str">
        <f t="shared" si="18"/>
        <v>BB Normal</v>
      </c>
      <c r="AI251" s="8" t="str">
        <f t="shared" si="19"/>
        <v>Normal</v>
      </c>
    </row>
    <row r="252" spans="1:35" ht="15.6">
      <c r="A252" s="35"/>
      <c r="B252" s="47">
        <v>1</v>
      </c>
      <c r="C252" s="48" t="s">
        <v>1156</v>
      </c>
      <c r="D252" s="41" t="s">
        <v>37</v>
      </c>
      <c r="E252" s="47">
        <v>2</v>
      </c>
      <c r="F252" s="53" t="s">
        <v>1157</v>
      </c>
      <c r="G252" s="47" t="s">
        <v>1158</v>
      </c>
      <c r="H252" s="47">
        <v>3.2</v>
      </c>
      <c r="I252" s="47">
        <v>48</v>
      </c>
      <c r="J252" s="31">
        <v>1</v>
      </c>
      <c r="K252" s="31" t="s">
        <v>40</v>
      </c>
      <c r="L252" s="31" t="s">
        <v>1159</v>
      </c>
      <c r="M252" s="80" t="s">
        <v>1160</v>
      </c>
      <c r="N252" s="47" t="s">
        <v>1013</v>
      </c>
      <c r="O252" s="47">
        <v>1</v>
      </c>
      <c r="P252" s="38">
        <v>2</v>
      </c>
      <c r="Q252" s="36">
        <v>15</v>
      </c>
      <c r="R252" s="36">
        <v>1</v>
      </c>
      <c r="S252" s="36">
        <v>25</v>
      </c>
      <c r="T252" s="39">
        <v>4</v>
      </c>
      <c r="U252" s="37">
        <v>3</v>
      </c>
      <c r="V252" s="37">
        <v>22</v>
      </c>
      <c r="W252" s="30">
        <v>34</v>
      </c>
      <c r="X252" s="31">
        <v>12.1</v>
      </c>
      <c r="Y252" s="31">
        <v>91</v>
      </c>
      <c r="Z252" s="31" t="s">
        <v>43</v>
      </c>
      <c r="AA252" s="31">
        <v>49</v>
      </c>
      <c r="AB252" s="31">
        <v>14</v>
      </c>
      <c r="AC252" s="18" t="s">
        <v>53</v>
      </c>
      <c r="AD252" s="9">
        <v>-0.78866532840000003</v>
      </c>
      <c r="AE252" s="9">
        <v>-0.92736489649999998</v>
      </c>
      <c r="AF252" s="9">
        <v>-0.74416770379999997</v>
      </c>
      <c r="AG252" s="6" t="str">
        <f t="shared" si="17"/>
        <v>Normal</v>
      </c>
      <c r="AH252" s="7" t="str">
        <f t="shared" si="18"/>
        <v>BB Normal</v>
      </c>
      <c r="AI252" s="8" t="str">
        <f t="shared" si="19"/>
        <v>Normal</v>
      </c>
    </row>
    <row r="253" spans="1:35" ht="15.6">
      <c r="A253" s="35"/>
      <c r="B253" s="47">
        <v>1</v>
      </c>
      <c r="C253" s="48" t="s">
        <v>1161</v>
      </c>
      <c r="D253" s="41" t="s">
        <v>37</v>
      </c>
      <c r="E253" s="47">
        <v>2</v>
      </c>
      <c r="F253" s="53" t="s">
        <v>1162</v>
      </c>
      <c r="G253" s="47" t="s">
        <v>1163</v>
      </c>
      <c r="H253" s="47">
        <v>2.7</v>
      </c>
      <c r="I253" s="47">
        <v>47</v>
      </c>
      <c r="J253" s="31">
        <v>1</v>
      </c>
      <c r="K253" s="31" t="s">
        <v>40</v>
      </c>
      <c r="L253" s="31" t="s">
        <v>1164</v>
      </c>
      <c r="M253" s="80" t="s">
        <v>1165</v>
      </c>
      <c r="N253" s="47" t="s">
        <v>1013</v>
      </c>
      <c r="O253" s="47">
        <v>1</v>
      </c>
      <c r="P253" s="38">
        <v>2</v>
      </c>
      <c r="Q253" s="36">
        <v>15</v>
      </c>
      <c r="R253" s="36">
        <v>1</v>
      </c>
      <c r="S253" s="36">
        <v>25</v>
      </c>
      <c r="T253" s="39">
        <v>2</v>
      </c>
      <c r="U253" s="37">
        <v>5</v>
      </c>
      <c r="V253" s="37">
        <v>22</v>
      </c>
      <c r="W253" s="30">
        <v>32</v>
      </c>
      <c r="X253" s="31">
        <v>12.8</v>
      </c>
      <c r="Y253" s="31">
        <v>91</v>
      </c>
      <c r="Z253" s="31" t="s">
        <v>43</v>
      </c>
      <c r="AA253" s="31">
        <v>49</v>
      </c>
      <c r="AB253" s="31">
        <v>16</v>
      </c>
      <c r="AC253" s="18" t="s">
        <v>53</v>
      </c>
      <c r="AD253" s="9">
        <v>-0.42472051119999998</v>
      </c>
      <c r="AE253" s="9">
        <v>-0.2442103192</v>
      </c>
      <c r="AF253" s="9">
        <v>-8.5499232169999995E-2</v>
      </c>
      <c r="AG253" s="6" t="str">
        <f t="shared" si="17"/>
        <v>Normal</v>
      </c>
      <c r="AH253" s="7" t="str">
        <f t="shared" si="18"/>
        <v>BB Normal</v>
      </c>
      <c r="AI253" s="8" t="str">
        <f t="shared" si="19"/>
        <v>Normal</v>
      </c>
    </row>
    <row r="254" spans="1:35" ht="15.6">
      <c r="A254" s="35"/>
      <c r="B254" s="47">
        <v>4</v>
      </c>
      <c r="C254" s="48" t="s">
        <v>1166</v>
      </c>
      <c r="D254" s="41" t="s">
        <v>37</v>
      </c>
      <c r="E254" s="47">
        <v>2</v>
      </c>
      <c r="F254" s="53" t="s">
        <v>1167</v>
      </c>
      <c r="G254" s="47" t="s">
        <v>1168</v>
      </c>
      <c r="H254" s="47">
        <v>2.9</v>
      </c>
      <c r="I254" s="47">
        <v>49</v>
      </c>
      <c r="J254" s="31">
        <v>1</v>
      </c>
      <c r="K254" s="31" t="s">
        <v>40</v>
      </c>
      <c r="L254" s="31" t="s">
        <v>1169</v>
      </c>
      <c r="M254" s="82" t="s">
        <v>1170</v>
      </c>
      <c r="N254" s="47" t="s">
        <v>1013</v>
      </c>
      <c r="O254" s="47">
        <v>2</v>
      </c>
      <c r="P254" s="38">
        <v>2</v>
      </c>
      <c r="Q254" s="36">
        <v>15</v>
      </c>
      <c r="R254" s="36">
        <v>1</v>
      </c>
      <c r="S254" s="36">
        <v>25</v>
      </c>
      <c r="T254" s="37">
        <v>4</v>
      </c>
      <c r="U254" s="37">
        <v>10</v>
      </c>
      <c r="V254" s="37">
        <v>22</v>
      </c>
      <c r="W254" s="30">
        <v>27</v>
      </c>
      <c r="X254" s="43">
        <v>9.6999999999999993</v>
      </c>
      <c r="Y254" s="17">
        <v>84</v>
      </c>
      <c r="Z254" s="17" t="s">
        <v>43</v>
      </c>
      <c r="AA254" s="17">
        <v>48</v>
      </c>
      <c r="AB254" s="17">
        <v>16</v>
      </c>
      <c r="AC254" s="18" t="s">
        <v>53</v>
      </c>
      <c r="AD254" s="9">
        <v>-1.3546885710000001</v>
      </c>
      <c r="AE254" s="9">
        <v>-1.864453447</v>
      </c>
      <c r="AF254" s="9">
        <v>-1.6335703049999999</v>
      </c>
      <c r="AG254" s="6" t="str">
        <f t="shared" si="17"/>
        <v>Normal</v>
      </c>
      <c r="AH254" s="7" t="str">
        <f t="shared" si="18"/>
        <v>BB Normal</v>
      </c>
      <c r="AI254" s="8" t="str">
        <f t="shared" si="19"/>
        <v>Normal</v>
      </c>
    </row>
    <row r="255" spans="1:35" ht="15.6">
      <c r="A255" s="35"/>
      <c r="B255" s="47">
        <v>2</v>
      </c>
      <c r="C255" s="48" t="s">
        <v>1171</v>
      </c>
      <c r="D255" s="41" t="s">
        <v>37</v>
      </c>
      <c r="E255" s="47">
        <v>2</v>
      </c>
      <c r="F255" s="53" t="s">
        <v>1172</v>
      </c>
      <c r="G255" s="47" t="s">
        <v>1173</v>
      </c>
      <c r="H255" s="47">
        <v>3.2</v>
      </c>
      <c r="I255" s="47">
        <v>51</v>
      </c>
      <c r="J255" s="31">
        <v>1</v>
      </c>
      <c r="K255" s="31" t="s">
        <v>40</v>
      </c>
      <c r="L255" s="31" t="s">
        <v>1174</v>
      </c>
      <c r="M255" s="80" t="s">
        <v>1175</v>
      </c>
      <c r="N255" s="47" t="s">
        <v>1013</v>
      </c>
      <c r="O255" s="47">
        <v>3</v>
      </c>
      <c r="P255" s="38">
        <v>2</v>
      </c>
      <c r="Q255" s="36">
        <v>15</v>
      </c>
      <c r="R255" s="36">
        <v>1</v>
      </c>
      <c r="S255" s="36">
        <v>25</v>
      </c>
      <c r="T255" s="39">
        <v>26</v>
      </c>
      <c r="U255" s="37">
        <v>10</v>
      </c>
      <c r="V255" s="37">
        <v>22</v>
      </c>
      <c r="W255" s="30">
        <v>26</v>
      </c>
      <c r="X255" s="42">
        <v>12.2</v>
      </c>
      <c r="Y255" s="32">
        <v>85</v>
      </c>
      <c r="Z255" s="32" t="s">
        <v>43</v>
      </c>
      <c r="AA255" s="32">
        <v>49</v>
      </c>
      <c r="AB255" s="32">
        <v>16</v>
      </c>
      <c r="AC255" s="18" t="s">
        <v>53</v>
      </c>
      <c r="AD255" s="9">
        <v>-0.89475396429999998</v>
      </c>
      <c r="AE255" s="9">
        <v>0.1133375495</v>
      </c>
      <c r="AF255" s="9">
        <v>0.80178545290000003</v>
      </c>
      <c r="AG255" s="6" t="str">
        <f t="shared" si="17"/>
        <v>Normal</v>
      </c>
      <c r="AH255" s="7" t="str">
        <f t="shared" si="18"/>
        <v>BB Normal</v>
      </c>
      <c r="AI255" s="8" t="str">
        <f t="shared" si="19"/>
        <v>Normal</v>
      </c>
    </row>
    <row r="256" spans="1:35" ht="15.6">
      <c r="A256" s="35"/>
      <c r="B256" s="47">
        <v>1</v>
      </c>
      <c r="C256" s="48" t="s">
        <v>1176</v>
      </c>
      <c r="D256" s="41" t="s">
        <v>37</v>
      </c>
      <c r="E256" s="47">
        <v>2</v>
      </c>
      <c r="F256" s="53" t="s">
        <v>1177</v>
      </c>
      <c r="G256" s="47" t="s">
        <v>1178</v>
      </c>
      <c r="H256" s="47">
        <v>3</v>
      </c>
      <c r="I256" s="47">
        <v>50</v>
      </c>
      <c r="J256" s="31">
        <v>1</v>
      </c>
      <c r="K256" s="31" t="s">
        <v>40</v>
      </c>
      <c r="L256" s="31" t="s">
        <v>1179</v>
      </c>
      <c r="M256" s="80" t="s">
        <v>1180</v>
      </c>
      <c r="N256" s="47" t="s">
        <v>1013</v>
      </c>
      <c r="O256" s="47">
        <v>2</v>
      </c>
      <c r="P256" s="38">
        <v>2</v>
      </c>
      <c r="Q256" s="36">
        <v>15</v>
      </c>
      <c r="R256" s="36">
        <v>1</v>
      </c>
      <c r="S256" s="36">
        <v>25</v>
      </c>
      <c r="T256" s="39">
        <v>11</v>
      </c>
      <c r="U256" s="37">
        <v>11</v>
      </c>
      <c r="V256" s="37">
        <v>22</v>
      </c>
      <c r="W256" s="30">
        <v>26</v>
      </c>
      <c r="X256" s="42">
        <v>10.199999999999999</v>
      </c>
      <c r="Y256" s="32">
        <v>84.5</v>
      </c>
      <c r="Z256" s="32" t="s">
        <v>43</v>
      </c>
      <c r="AA256" s="32">
        <v>49</v>
      </c>
      <c r="AB256" s="32">
        <v>16</v>
      </c>
      <c r="AC256" s="18" t="s">
        <v>53</v>
      </c>
      <c r="AD256" s="9">
        <v>-0.92032372510000005</v>
      </c>
      <c r="AE256" s="9">
        <v>-1.302171757</v>
      </c>
      <c r="AF256" s="9">
        <v>-1.171465129</v>
      </c>
      <c r="AG256" s="6" t="str">
        <f t="shared" si="17"/>
        <v>Normal</v>
      </c>
      <c r="AH256" s="7" t="str">
        <f t="shared" si="18"/>
        <v>BB Normal</v>
      </c>
      <c r="AI256" s="8" t="str">
        <f t="shared" si="19"/>
        <v>Normal</v>
      </c>
    </row>
    <row r="257" spans="1:35" ht="15.6">
      <c r="A257" s="35"/>
      <c r="B257" s="47">
        <v>2</v>
      </c>
      <c r="C257" s="48" t="s">
        <v>1181</v>
      </c>
      <c r="D257" s="41" t="s">
        <v>48</v>
      </c>
      <c r="E257" s="47">
        <v>1</v>
      </c>
      <c r="F257" s="53" t="s">
        <v>1182</v>
      </c>
      <c r="G257" s="47" t="s">
        <v>1183</v>
      </c>
      <c r="H257" s="47">
        <v>3.2</v>
      </c>
      <c r="I257" s="47">
        <v>48</v>
      </c>
      <c r="J257" s="31">
        <v>1</v>
      </c>
      <c r="K257" s="31" t="s">
        <v>40</v>
      </c>
      <c r="L257" s="31" t="s">
        <v>1184</v>
      </c>
      <c r="M257" s="80" t="s">
        <v>1185</v>
      </c>
      <c r="N257" s="47" t="s">
        <v>1013</v>
      </c>
      <c r="O257" s="47">
        <v>3</v>
      </c>
      <c r="P257" s="38">
        <v>2</v>
      </c>
      <c r="Q257" s="36">
        <v>15</v>
      </c>
      <c r="R257" s="36">
        <v>1</v>
      </c>
      <c r="S257" s="36">
        <v>25</v>
      </c>
      <c r="T257" s="39">
        <v>8</v>
      </c>
      <c r="U257" s="37">
        <v>3</v>
      </c>
      <c r="V257" s="40">
        <v>23</v>
      </c>
      <c r="W257" s="30">
        <v>22</v>
      </c>
      <c r="X257" s="42">
        <v>14.1</v>
      </c>
      <c r="Y257" s="32">
        <v>87</v>
      </c>
      <c r="Z257" s="32" t="s">
        <v>131</v>
      </c>
      <c r="AA257" s="32">
        <v>49</v>
      </c>
      <c r="AB257" s="32">
        <v>18</v>
      </c>
      <c r="AC257" s="18" t="s">
        <v>53</v>
      </c>
      <c r="AD257" s="9">
        <v>0.23065254139999999</v>
      </c>
      <c r="AE257" s="9">
        <v>1.5627567769999999</v>
      </c>
      <c r="AF257" s="9">
        <v>2.0653123280000001</v>
      </c>
      <c r="AG257" s="6" t="str">
        <f t="shared" si="17"/>
        <v>Normal</v>
      </c>
      <c r="AH257" s="7" t="str">
        <f t="shared" si="18"/>
        <v>Ris Lbh</v>
      </c>
      <c r="AI257" s="8" t="str">
        <f t="shared" si="19"/>
        <v>Gz.Lbh</v>
      </c>
    </row>
    <row r="258" spans="1:35" ht="15.6">
      <c r="A258" s="35"/>
      <c r="B258" s="47">
        <v>2</v>
      </c>
      <c r="C258" s="48" t="s">
        <v>1186</v>
      </c>
      <c r="D258" s="41" t="s">
        <v>37</v>
      </c>
      <c r="E258" s="47">
        <v>2</v>
      </c>
      <c r="F258" s="53" t="s">
        <v>1187</v>
      </c>
      <c r="G258" s="47" t="s">
        <v>1188</v>
      </c>
      <c r="H258" s="47">
        <v>2.8</v>
      </c>
      <c r="I258" s="47">
        <v>50</v>
      </c>
      <c r="J258" s="31">
        <v>1</v>
      </c>
      <c r="K258" s="31" t="s">
        <v>40</v>
      </c>
      <c r="L258" s="31" t="s">
        <v>1189</v>
      </c>
      <c r="M258" s="80" t="s">
        <v>1190</v>
      </c>
      <c r="N258" s="47" t="s">
        <v>1013</v>
      </c>
      <c r="O258" s="47">
        <v>1</v>
      </c>
      <c r="P258" s="38">
        <v>2</v>
      </c>
      <c r="Q258" s="36">
        <v>15</v>
      </c>
      <c r="R258" s="36">
        <v>1</v>
      </c>
      <c r="S258" s="36">
        <v>25</v>
      </c>
      <c r="T258" s="39">
        <v>20</v>
      </c>
      <c r="U258" s="37">
        <v>4</v>
      </c>
      <c r="V258" s="37">
        <v>23</v>
      </c>
      <c r="W258" s="30">
        <v>20</v>
      </c>
      <c r="X258" s="42">
        <v>9.5</v>
      </c>
      <c r="Y258" s="32">
        <v>82</v>
      </c>
      <c r="Z258" s="32" t="s">
        <v>131</v>
      </c>
      <c r="AA258" s="32">
        <v>47</v>
      </c>
      <c r="AB258" s="32">
        <v>14</v>
      </c>
      <c r="AC258" s="18" t="s">
        <v>53</v>
      </c>
      <c r="AD258" s="9">
        <v>-0.51056944959999995</v>
      </c>
      <c r="AE258" s="9">
        <v>-1.101998992</v>
      </c>
      <c r="AF258" s="9">
        <v>-1.1884593569999999</v>
      </c>
      <c r="AG258" s="6" t="str">
        <f t="shared" si="17"/>
        <v>Normal</v>
      </c>
      <c r="AH258" s="7" t="str">
        <f t="shared" si="18"/>
        <v>BB Normal</v>
      </c>
      <c r="AI258" s="8" t="str">
        <f t="shared" si="19"/>
        <v>Normal</v>
      </c>
    </row>
    <row r="259" spans="1:35" ht="15.6">
      <c r="A259" s="35"/>
      <c r="B259" s="47">
        <v>2</v>
      </c>
      <c r="C259" s="48" t="s">
        <v>1191</v>
      </c>
      <c r="D259" s="41" t="s">
        <v>48</v>
      </c>
      <c r="E259" s="47">
        <v>1</v>
      </c>
      <c r="F259" s="53" t="s">
        <v>1192</v>
      </c>
      <c r="G259" s="47" t="s">
        <v>1193</v>
      </c>
      <c r="H259" s="47">
        <v>3</v>
      </c>
      <c r="I259" s="47">
        <v>49</v>
      </c>
      <c r="J259" s="31">
        <v>1</v>
      </c>
      <c r="K259" s="31" t="s">
        <v>40</v>
      </c>
      <c r="L259" s="83" t="s">
        <v>1194</v>
      </c>
      <c r="M259" s="80" t="s">
        <v>1195</v>
      </c>
      <c r="N259" s="47" t="s">
        <v>1013</v>
      </c>
      <c r="O259" s="47">
        <v>3</v>
      </c>
      <c r="P259" s="38">
        <v>2</v>
      </c>
      <c r="Q259" s="36">
        <v>15</v>
      </c>
      <c r="R259" s="36">
        <v>1</v>
      </c>
      <c r="S259" s="36">
        <v>25</v>
      </c>
      <c r="T259" s="39">
        <v>30</v>
      </c>
      <c r="U259" s="37">
        <v>4</v>
      </c>
      <c r="V259" s="37">
        <v>23</v>
      </c>
      <c r="W259" s="30">
        <v>20</v>
      </c>
      <c r="X259" s="42">
        <v>12.8</v>
      </c>
      <c r="Y259" s="32">
        <v>90</v>
      </c>
      <c r="Z259" s="32" t="s">
        <v>131</v>
      </c>
      <c r="AA259" s="32">
        <v>49</v>
      </c>
      <c r="AB259" s="32">
        <v>16</v>
      </c>
      <c r="AC259" s="18" t="s">
        <v>53</v>
      </c>
      <c r="AD259" s="9">
        <v>1.8524266060000001</v>
      </c>
      <c r="AE259" s="9">
        <v>0.98253139860000005</v>
      </c>
      <c r="AF259" s="9">
        <v>7.9976572400000001E-2</v>
      </c>
      <c r="AG259" s="6" t="str">
        <f t="shared" si="17"/>
        <v>Normal</v>
      </c>
      <c r="AH259" s="7" t="str">
        <f t="shared" si="18"/>
        <v>BB Normal</v>
      </c>
      <c r="AI259" s="8" t="str">
        <f t="shared" si="19"/>
        <v>Normal</v>
      </c>
    </row>
    <row r="260" spans="1:35" ht="15.6">
      <c r="A260" s="35"/>
      <c r="B260" s="47">
        <v>3</v>
      </c>
      <c r="C260" s="48" t="s">
        <v>354</v>
      </c>
      <c r="D260" s="41" t="s">
        <v>37</v>
      </c>
      <c r="E260" s="47">
        <v>2</v>
      </c>
      <c r="F260" s="58" t="s">
        <v>1196</v>
      </c>
      <c r="G260" s="47" t="s">
        <v>1197</v>
      </c>
      <c r="H260" s="47">
        <v>3</v>
      </c>
      <c r="I260" s="47">
        <v>47</v>
      </c>
      <c r="J260" s="31">
        <v>1</v>
      </c>
      <c r="K260" s="31" t="s">
        <v>40</v>
      </c>
      <c r="L260" s="31" t="s">
        <v>1100</v>
      </c>
      <c r="M260" s="80" t="s">
        <v>1101</v>
      </c>
      <c r="N260" s="47" t="s">
        <v>1013</v>
      </c>
      <c r="O260" s="47">
        <v>3</v>
      </c>
      <c r="P260" s="38">
        <v>2</v>
      </c>
      <c r="Q260" s="36">
        <v>15</v>
      </c>
      <c r="R260" s="36">
        <v>1</v>
      </c>
      <c r="S260" s="36">
        <v>25</v>
      </c>
      <c r="T260" s="39">
        <v>12</v>
      </c>
      <c r="U260" s="37">
        <v>7</v>
      </c>
      <c r="V260" s="37">
        <v>23</v>
      </c>
      <c r="W260" s="30">
        <v>18</v>
      </c>
      <c r="X260" s="42">
        <v>9</v>
      </c>
      <c r="Y260" s="32">
        <v>84</v>
      </c>
      <c r="Z260" s="32" t="s">
        <v>131</v>
      </c>
      <c r="AA260" s="32">
        <v>48</v>
      </c>
      <c r="AB260" s="32">
        <v>15</v>
      </c>
      <c r="AC260" s="18" t="s">
        <v>53</v>
      </c>
      <c r="AD260" s="9">
        <v>1.072682849</v>
      </c>
      <c r="AE260" s="9">
        <v>-1.086014526</v>
      </c>
      <c r="AF260" s="9">
        <v>-2.3392924179999999</v>
      </c>
      <c r="AG260" s="6" t="str">
        <f t="shared" ref="AG260:AG323" si="20">IF(Y260&gt;0,IF(AD260&lt;-3,"S.Pendek",IF(AD260&lt;-2,"Pendek",IF(AD260&lt;=3,"Normal","Tinggi")))," ")</f>
        <v>Normal</v>
      </c>
      <c r="AH260" s="7" t="str">
        <f t="shared" ref="AH260:AH323" si="21">IF(X260&gt;0,IF(AE260&lt;-3,"BB S.Krg",IF(AE260&lt;-2,"BB Krg",IF(AE260&lt;=1,"BB Normal","Ris Lbh")))," ")</f>
        <v>BB Normal</v>
      </c>
      <c r="AI260" s="8" t="str">
        <f t="shared" ref="AI260:AI323" si="22">IF(X260&gt;0,IF(Y260&gt;0,IF(AF260&lt;-3,"Gz.Brk",IF(AF260&lt;-2,"Gz.Krg",IF(AF260&lt;=1,"Normal",IF(AF260&lt;=2,"R.Gz.Lbh",IF(AF260&lt;=3,"Gz.Lbh","Obesitas")))))," "),"")</f>
        <v>Gz.Krg</v>
      </c>
    </row>
    <row r="261" spans="1:35" ht="15.6">
      <c r="A261" s="35"/>
      <c r="B261" s="47">
        <v>3</v>
      </c>
      <c r="C261" s="48" t="s">
        <v>1198</v>
      </c>
      <c r="D261" s="41" t="s">
        <v>48</v>
      </c>
      <c r="E261" s="47">
        <v>1</v>
      </c>
      <c r="F261" s="31"/>
      <c r="G261" s="47" t="s">
        <v>1199</v>
      </c>
      <c r="H261" s="47">
        <v>3.8</v>
      </c>
      <c r="I261" s="47">
        <v>53</v>
      </c>
      <c r="J261" s="31">
        <v>1</v>
      </c>
      <c r="K261" s="31" t="s">
        <v>40</v>
      </c>
      <c r="L261" s="31" t="s">
        <v>1200</v>
      </c>
      <c r="M261" s="80" t="s">
        <v>1201</v>
      </c>
      <c r="N261" s="47" t="s">
        <v>1013</v>
      </c>
      <c r="O261" s="47">
        <v>2</v>
      </c>
      <c r="P261" s="38">
        <v>2</v>
      </c>
      <c r="Q261" s="36">
        <v>15</v>
      </c>
      <c r="R261" s="36">
        <v>1</v>
      </c>
      <c r="S261" s="36">
        <v>25</v>
      </c>
      <c r="T261" s="39">
        <v>21</v>
      </c>
      <c r="U261" s="37">
        <v>8</v>
      </c>
      <c r="V261" s="37">
        <v>23</v>
      </c>
      <c r="W261" s="30">
        <v>16</v>
      </c>
      <c r="X261" s="42">
        <v>11.7</v>
      </c>
      <c r="Y261" s="32">
        <v>88</v>
      </c>
      <c r="Z261" s="32" t="s">
        <v>131</v>
      </c>
      <c r="AA261" s="32">
        <v>47</v>
      </c>
      <c r="AB261" s="32">
        <v>15</v>
      </c>
      <c r="AC261" s="18" t="s">
        <v>53</v>
      </c>
      <c r="AD261" s="9">
        <v>2.623369689</v>
      </c>
      <c r="AE261" s="9">
        <v>0.80604420259999998</v>
      </c>
      <c r="AF261" s="9">
        <v>-0.57852175299999997</v>
      </c>
      <c r="AG261" s="6" t="str">
        <f t="shared" si="20"/>
        <v>Normal</v>
      </c>
      <c r="AH261" s="7" t="str">
        <f t="shared" si="21"/>
        <v>BB Normal</v>
      </c>
      <c r="AI261" s="8" t="str">
        <f t="shared" si="22"/>
        <v>Normal</v>
      </c>
    </row>
    <row r="262" spans="1:35" ht="15.6">
      <c r="A262" s="35"/>
      <c r="B262" s="47">
        <v>3</v>
      </c>
      <c r="C262" s="48" t="s">
        <v>1202</v>
      </c>
      <c r="D262" s="41" t="s">
        <v>48</v>
      </c>
      <c r="E262" s="47">
        <v>1</v>
      </c>
      <c r="F262" s="58" t="s">
        <v>1203</v>
      </c>
      <c r="G262" s="47" t="s">
        <v>1204</v>
      </c>
      <c r="H262" s="47">
        <v>3.1</v>
      </c>
      <c r="I262" s="47">
        <v>48</v>
      </c>
      <c r="J262" s="31">
        <v>1</v>
      </c>
      <c r="K262" s="31" t="s">
        <v>40</v>
      </c>
      <c r="L262" s="31" t="s">
        <v>1205</v>
      </c>
      <c r="M262" s="80" t="s">
        <v>1206</v>
      </c>
      <c r="N262" s="47" t="s">
        <v>1013</v>
      </c>
      <c r="O262" s="47">
        <v>1</v>
      </c>
      <c r="P262" s="38">
        <v>2</v>
      </c>
      <c r="Q262" s="36">
        <v>15</v>
      </c>
      <c r="R262" s="36">
        <v>1</v>
      </c>
      <c r="S262" s="36">
        <v>25</v>
      </c>
      <c r="T262" s="39">
        <v>5</v>
      </c>
      <c r="U262" s="37">
        <v>10</v>
      </c>
      <c r="V262" s="37">
        <v>23</v>
      </c>
      <c r="W262" s="30">
        <v>15</v>
      </c>
      <c r="X262" s="42">
        <v>10.5</v>
      </c>
      <c r="Y262" s="32">
        <v>78</v>
      </c>
      <c r="Z262" s="32" t="s">
        <v>131</v>
      </c>
      <c r="AA262" s="32">
        <v>49</v>
      </c>
      <c r="AB262" s="32">
        <v>16</v>
      </c>
      <c r="AC262" s="18" t="s">
        <v>53</v>
      </c>
      <c r="AD262" s="9">
        <v>-0.60419261619999998</v>
      </c>
      <c r="AE262" s="9">
        <v>9.4879313189999995E-2</v>
      </c>
      <c r="AF262" s="9">
        <v>0.50561738140000001</v>
      </c>
      <c r="AG262" s="6" t="str">
        <f t="shared" si="20"/>
        <v>Normal</v>
      </c>
      <c r="AH262" s="7" t="str">
        <f t="shared" si="21"/>
        <v>BB Normal</v>
      </c>
      <c r="AI262" s="8" t="str">
        <f t="shared" si="22"/>
        <v>Normal</v>
      </c>
    </row>
    <row r="263" spans="1:35" ht="15.6">
      <c r="A263" s="35"/>
      <c r="B263" s="47">
        <v>2</v>
      </c>
      <c r="C263" s="48" t="s">
        <v>1207</v>
      </c>
      <c r="D263" s="41" t="s">
        <v>48</v>
      </c>
      <c r="E263" s="47">
        <v>1</v>
      </c>
      <c r="F263" s="58" t="s">
        <v>1208</v>
      </c>
      <c r="G263" s="47" t="s">
        <v>1209</v>
      </c>
      <c r="H263" s="47">
        <v>3.3</v>
      </c>
      <c r="I263" s="47">
        <v>50</v>
      </c>
      <c r="J263" s="31">
        <v>1</v>
      </c>
      <c r="K263" s="31" t="s">
        <v>40</v>
      </c>
      <c r="L263" s="31" t="s">
        <v>1210</v>
      </c>
      <c r="M263" s="80" t="s">
        <v>1211</v>
      </c>
      <c r="N263" s="47" t="s">
        <v>1013</v>
      </c>
      <c r="O263" s="47">
        <v>3</v>
      </c>
      <c r="P263" s="38">
        <v>2</v>
      </c>
      <c r="Q263" s="36">
        <v>15</v>
      </c>
      <c r="R263" s="36">
        <v>1</v>
      </c>
      <c r="S263" s="36">
        <v>25</v>
      </c>
      <c r="T263" s="39">
        <v>16</v>
      </c>
      <c r="U263" s="37">
        <v>10</v>
      </c>
      <c r="V263" s="37">
        <v>23</v>
      </c>
      <c r="W263" s="30">
        <v>14</v>
      </c>
      <c r="X263" s="42">
        <v>9.5</v>
      </c>
      <c r="Y263" s="32">
        <v>76</v>
      </c>
      <c r="Z263" s="32" t="s">
        <v>131</v>
      </c>
      <c r="AA263" s="32">
        <v>48</v>
      </c>
      <c r="AB263" s="32">
        <v>15</v>
      </c>
      <c r="AC263" s="18" t="s">
        <v>53</v>
      </c>
      <c r="AD263" s="9">
        <v>-0.83337105850000004</v>
      </c>
      <c r="AE263" s="9">
        <v>-0.74041959859999995</v>
      </c>
      <c r="AF263" s="9">
        <v>-0.26477662959999998</v>
      </c>
      <c r="AG263" s="6" t="str">
        <f t="shared" si="20"/>
        <v>Normal</v>
      </c>
      <c r="AH263" s="7" t="str">
        <f t="shared" si="21"/>
        <v>BB Normal</v>
      </c>
      <c r="AI263" s="8" t="str">
        <f t="shared" si="22"/>
        <v>Normal</v>
      </c>
    </row>
    <row r="264" spans="1:35" ht="15.6">
      <c r="A264" s="35"/>
      <c r="B264" s="47">
        <v>2</v>
      </c>
      <c r="C264" s="48" t="s">
        <v>1212</v>
      </c>
      <c r="D264" s="41" t="s">
        <v>37</v>
      </c>
      <c r="E264" s="47">
        <v>2</v>
      </c>
      <c r="F264" s="58" t="s">
        <v>1213</v>
      </c>
      <c r="G264" s="47" t="s">
        <v>1214</v>
      </c>
      <c r="H264" s="47">
        <v>3.3</v>
      </c>
      <c r="I264" s="47">
        <v>50</v>
      </c>
      <c r="J264" s="31">
        <v>1</v>
      </c>
      <c r="K264" s="31" t="s">
        <v>40</v>
      </c>
      <c r="L264" s="31" t="s">
        <v>1215</v>
      </c>
      <c r="M264" s="80" t="s">
        <v>1216</v>
      </c>
      <c r="N264" s="47" t="s">
        <v>1013</v>
      </c>
      <c r="O264" s="47">
        <v>3</v>
      </c>
      <c r="P264" s="38">
        <v>2</v>
      </c>
      <c r="Q264" s="36">
        <v>15</v>
      </c>
      <c r="R264" s="36">
        <v>1</v>
      </c>
      <c r="S264" s="36">
        <v>25</v>
      </c>
      <c r="T264" s="39">
        <v>28</v>
      </c>
      <c r="U264" s="37">
        <v>12</v>
      </c>
      <c r="V264" s="37">
        <v>23</v>
      </c>
      <c r="W264" s="30">
        <v>12</v>
      </c>
      <c r="X264" s="42">
        <v>7.5</v>
      </c>
      <c r="Y264" s="32">
        <v>72</v>
      </c>
      <c r="Z264" s="32" t="s">
        <v>131</v>
      </c>
      <c r="AA264" s="32">
        <v>48</v>
      </c>
      <c r="AB264" s="32">
        <v>15</v>
      </c>
      <c r="AC264" s="18" t="s">
        <v>53</v>
      </c>
      <c r="AD264" s="9">
        <v>-1.054239215</v>
      </c>
      <c r="AE264" s="9">
        <v>-1.592062138</v>
      </c>
      <c r="AF264" s="9">
        <v>-1.541106691</v>
      </c>
      <c r="AG264" s="6" t="str">
        <f t="shared" si="20"/>
        <v>Normal</v>
      </c>
      <c r="AH264" s="7" t="str">
        <f t="shared" si="21"/>
        <v>BB Normal</v>
      </c>
      <c r="AI264" s="8" t="str">
        <f t="shared" si="22"/>
        <v>Normal</v>
      </c>
    </row>
    <row r="265" spans="1:35" ht="15.6">
      <c r="A265" s="35"/>
      <c r="B265" s="47">
        <v>2</v>
      </c>
      <c r="C265" s="48" t="s">
        <v>1217</v>
      </c>
      <c r="D265" s="41" t="s">
        <v>37</v>
      </c>
      <c r="E265" s="47">
        <v>2</v>
      </c>
      <c r="F265" s="31"/>
      <c r="G265" s="47" t="s">
        <v>1218</v>
      </c>
      <c r="H265" s="47">
        <v>3.3</v>
      </c>
      <c r="I265" s="47">
        <v>51</v>
      </c>
      <c r="J265" s="31">
        <v>1</v>
      </c>
      <c r="K265" s="31" t="s">
        <v>40</v>
      </c>
      <c r="L265" s="31" t="s">
        <v>1219</v>
      </c>
      <c r="M265" s="80" t="s">
        <v>1220</v>
      </c>
      <c r="N265" s="47" t="s">
        <v>1013</v>
      </c>
      <c r="O265" s="47">
        <v>1</v>
      </c>
      <c r="P265" s="38">
        <v>2</v>
      </c>
      <c r="Q265" s="36">
        <v>15</v>
      </c>
      <c r="R265" s="36">
        <v>1</v>
      </c>
      <c r="S265" s="36">
        <v>25</v>
      </c>
      <c r="T265" s="39">
        <v>15</v>
      </c>
      <c r="U265" s="37">
        <v>2</v>
      </c>
      <c r="V265" s="37">
        <v>23</v>
      </c>
      <c r="W265" s="30">
        <v>20</v>
      </c>
      <c r="X265" s="42">
        <v>12.8</v>
      </c>
      <c r="Y265" s="32">
        <v>90</v>
      </c>
      <c r="Z265" s="77" t="s">
        <v>131</v>
      </c>
      <c r="AA265" s="32"/>
      <c r="AB265" s="32"/>
      <c r="AC265" s="18" t="s">
        <v>53</v>
      </c>
      <c r="AD265" s="9">
        <v>-0.74111765080000003</v>
      </c>
      <c r="AE265" s="9">
        <v>-1.182390359</v>
      </c>
      <c r="AF265" s="9">
        <v>-1.1208137760000001</v>
      </c>
      <c r="AG265" s="6" t="str">
        <f t="shared" si="20"/>
        <v>Normal</v>
      </c>
      <c r="AH265" s="7" t="str">
        <f t="shared" si="21"/>
        <v>BB Normal</v>
      </c>
      <c r="AI265" s="8" t="str">
        <f t="shared" si="22"/>
        <v>Normal</v>
      </c>
    </row>
    <row r="266" spans="1:35" ht="15.6">
      <c r="A266" s="35"/>
      <c r="B266" s="47">
        <v>4</v>
      </c>
      <c r="C266" s="48" t="s">
        <v>1221</v>
      </c>
      <c r="D266" s="41" t="s">
        <v>37</v>
      </c>
      <c r="E266" s="47">
        <v>2</v>
      </c>
      <c r="F266" s="58" t="s">
        <v>1222</v>
      </c>
      <c r="G266" s="47" t="s">
        <v>1223</v>
      </c>
      <c r="H266" s="47">
        <v>3</v>
      </c>
      <c r="I266" s="47">
        <v>50</v>
      </c>
      <c r="J266" s="31">
        <v>1</v>
      </c>
      <c r="K266" s="31" t="s">
        <v>40</v>
      </c>
      <c r="L266" s="31" t="s">
        <v>1135</v>
      </c>
      <c r="M266" s="80" t="s">
        <v>1224</v>
      </c>
      <c r="N266" s="47" t="s">
        <v>1013</v>
      </c>
      <c r="O266" s="47">
        <v>2</v>
      </c>
      <c r="P266" s="38">
        <v>2</v>
      </c>
      <c r="Q266" s="36">
        <v>15</v>
      </c>
      <c r="R266" s="36">
        <v>1</v>
      </c>
      <c r="S266" s="36">
        <v>25</v>
      </c>
      <c r="T266" s="39">
        <v>16</v>
      </c>
      <c r="U266" s="37">
        <v>3</v>
      </c>
      <c r="V266" s="37">
        <v>24</v>
      </c>
      <c r="W266" s="30">
        <v>9</v>
      </c>
      <c r="X266" s="42">
        <v>8</v>
      </c>
      <c r="Y266" s="32">
        <v>72</v>
      </c>
      <c r="Z266" s="32" t="s">
        <v>131</v>
      </c>
      <c r="AA266" s="32">
        <v>44</v>
      </c>
      <c r="AB266" s="32">
        <v>15</v>
      </c>
      <c r="AC266" s="18" t="s">
        <v>53</v>
      </c>
      <c r="AD266" s="9">
        <v>-2.4419863730000002</v>
      </c>
      <c r="AE266" s="9">
        <v>-1.903826013</v>
      </c>
      <c r="AF266" s="9">
        <v>-0.5415732942</v>
      </c>
      <c r="AG266" s="6" t="str">
        <f t="shared" si="20"/>
        <v>Pendek</v>
      </c>
      <c r="AH266" s="7" t="str">
        <f t="shared" si="21"/>
        <v>BB Normal</v>
      </c>
      <c r="AI266" s="8" t="str">
        <f t="shared" si="22"/>
        <v>Normal</v>
      </c>
    </row>
    <row r="267" spans="1:35" ht="15.6">
      <c r="A267" s="35"/>
      <c r="B267" s="47">
        <v>2</v>
      </c>
      <c r="C267" s="48" t="s">
        <v>1225</v>
      </c>
      <c r="D267" s="41" t="s">
        <v>37</v>
      </c>
      <c r="E267" s="47">
        <v>2</v>
      </c>
      <c r="F267" s="31">
        <v>351511550420002</v>
      </c>
      <c r="G267" s="47" t="s">
        <v>1226</v>
      </c>
      <c r="H267" s="47">
        <v>2.9</v>
      </c>
      <c r="I267" s="47">
        <v>49</v>
      </c>
      <c r="J267" s="31">
        <v>1</v>
      </c>
      <c r="K267" s="31" t="s">
        <v>40</v>
      </c>
      <c r="L267" s="31" t="s">
        <v>1227</v>
      </c>
      <c r="M267" s="80" t="s">
        <v>1228</v>
      </c>
      <c r="N267" s="47" t="s">
        <v>1013</v>
      </c>
      <c r="O267" s="47">
        <v>2</v>
      </c>
      <c r="P267" s="38">
        <v>2</v>
      </c>
      <c r="Q267" s="36">
        <v>15</v>
      </c>
      <c r="R267" s="36">
        <v>1</v>
      </c>
      <c r="S267" s="36">
        <v>25</v>
      </c>
      <c r="T267" s="39">
        <v>15</v>
      </c>
      <c r="U267" s="37">
        <v>4</v>
      </c>
      <c r="V267" s="37">
        <v>23</v>
      </c>
      <c r="W267" s="30">
        <v>20</v>
      </c>
      <c r="X267" s="42">
        <v>12.8</v>
      </c>
      <c r="Y267" s="32">
        <v>90</v>
      </c>
      <c r="Z267" s="77" t="s">
        <v>131</v>
      </c>
      <c r="AA267" s="32"/>
      <c r="AB267" s="32"/>
      <c r="AC267" s="18" t="s">
        <v>53</v>
      </c>
      <c r="AD267" s="9">
        <v>-0.24446635629999999</v>
      </c>
      <c r="AE267" s="9">
        <v>1.571784471E-3</v>
      </c>
      <c r="AF267" s="9">
        <v>0.2068849418</v>
      </c>
      <c r="AG267" s="6" t="str">
        <f t="shared" si="20"/>
        <v>Normal</v>
      </c>
      <c r="AH267" s="7" t="str">
        <f t="shared" si="21"/>
        <v>BB Normal</v>
      </c>
      <c r="AI267" s="8" t="str">
        <f t="shared" si="22"/>
        <v>Normal</v>
      </c>
    </row>
    <row r="268" spans="1:35" ht="15.6">
      <c r="A268" s="35"/>
      <c r="B268" s="47">
        <v>2</v>
      </c>
      <c r="C268" s="48" t="s">
        <v>1229</v>
      </c>
      <c r="D268" s="41" t="s">
        <v>48</v>
      </c>
      <c r="E268" s="47">
        <v>1</v>
      </c>
      <c r="F268" s="58" t="s">
        <v>1230</v>
      </c>
      <c r="G268" s="47" t="s">
        <v>1231</v>
      </c>
      <c r="H268" s="47">
        <v>3.2</v>
      </c>
      <c r="I268" s="47">
        <v>50</v>
      </c>
      <c r="J268" s="31">
        <v>1</v>
      </c>
      <c r="K268" s="31" t="s">
        <v>40</v>
      </c>
      <c r="L268" s="31" t="s">
        <v>1232</v>
      </c>
      <c r="M268" s="80" t="s">
        <v>1233</v>
      </c>
      <c r="N268" s="47" t="s">
        <v>1013</v>
      </c>
      <c r="O268" s="47">
        <v>1</v>
      </c>
      <c r="P268" s="38">
        <v>2</v>
      </c>
      <c r="Q268" s="36">
        <v>15</v>
      </c>
      <c r="R268" s="36">
        <v>1</v>
      </c>
      <c r="S268" s="36">
        <v>25</v>
      </c>
      <c r="T268" s="39">
        <v>10</v>
      </c>
      <c r="U268" s="37">
        <v>7</v>
      </c>
      <c r="V268" s="37">
        <v>24</v>
      </c>
      <c r="W268" s="30">
        <v>6</v>
      </c>
      <c r="X268" s="42">
        <v>7.7</v>
      </c>
      <c r="Y268" s="32">
        <v>69</v>
      </c>
      <c r="Z268" s="32" t="s">
        <v>131</v>
      </c>
      <c r="AA268" s="32">
        <v>43</v>
      </c>
      <c r="AB268" s="32">
        <v>16</v>
      </c>
      <c r="AC268" s="18" t="s">
        <v>53</v>
      </c>
      <c r="AD268" s="9">
        <v>9.8152294809999999E-2</v>
      </c>
      <c r="AE268" s="9">
        <v>-0.1745880897</v>
      </c>
      <c r="AF268" s="9">
        <v>-0.44396097140000002</v>
      </c>
      <c r="AG268" s="6" t="str">
        <f t="shared" si="20"/>
        <v>Normal</v>
      </c>
      <c r="AH268" s="7" t="str">
        <f t="shared" si="21"/>
        <v>BB Normal</v>
      </c>
      <c r="AI268" s="8" t="str">
        <f t="shared" si="22"/>
        <v>Normal</v>
      </c>
    </row>
    <row r="269" spans="1:35" ht="15.6">
      <c r="A269" s="35"/>
      <c r="B269" s="65" t="s">
        <v>198</v>
      </c>
      <c r="C269" s="65" t="s">
        <v>1234</v>
      </c>
      <c r="D269" s="53" t="s">
        <v>37</v>
      </c>
      <c r="E269" s="47">
        <v>2</v>
      </c>
      <c r="F269" s="49" t="s">
        <v>1235</v>
      </c>
      <c r="G269" s="47" t="s">
        <v>1236</v>
      </c>
      <c r="H269" s="84">
        <v>45902</v>
      </c>
      <c r="I269" s="47">
        <v>50</v>
      </c>
      <c r="J269" s="47">
        <v>1</v>
      </c>
      <c r="K269" s="47"/>
      <c r="L269" s="47" t="s">
        <v>1237</v>
      </c>
      <c r="M269" s="49" t="s">
        <v>1238</v>
      </c>
      <c r="N269" s="77" t="s">
        <v>1239</v>
      </c>
      <c r="O269" s="47">
        <v>3</v>
      </c>
      <c r="P269" s="47">
        <v>8</v>
      </c>
      <c r="Q269" s="85">
        <v>4</v>
      </c>
      <c r="R269" s="85">
        <v>1</v>
      </c>
      <c r="S269" s="85">
        <v>25</v>
      </c>
      <c r="T269" s="86">
        <v>5</v>
      </c>
      <c r="U269" s="86">
        <v>2</v>
      </c>
      <c r="V269" s="86">
        <v>20</v>
      </c>
      <c r="W269" s="30">
        <f t="shared" ref="W269:W341" si="23">IF(E269&gt;0,IF(E269&lt;3,IF(V269&gt;0,IF((Q269-T269)&gt;=0,(S269-V269)*12+(R269-U269),(S269-V269)*12-1+(R269-U269))," "),""),"")</f>
        <v>58</v>
      </c>
      <c r="X269" s="47">
        <v>17.899999999999999</v>
      </c>
      <c r="Y269" s="47">
        <v>102.5</v>
      </c>
      <c r="Z269" s="47" t="s">
        <v>1240</v>
      </c>
      <c r="AA269" s="47">
        <v>50.7</v>
      </c>
      <c r="AB269" s="47">
        <v>17.8</v>
      </c>
      <c r="AC269" s="18" t="s">
        <v>53</v>
      </c>
      <c r="AD269" s="9">
        <v>-0.49216492820000002</v>
      </c>
      <c r="AE269" s="9">
        <v>2.550320986</v>
      </c>
      <c r="AF269" s="9">
        <v>4.566085341</v>
      </c>
      <c r="AG269" s="6" t="str">
        <f t="shared" si="20"/>
        <v>Normal</v>
      </c>
      <c r="AH269" s="7" t="str">
        <f t="shared" si="21"/>
        <v>Ris Lbh</v>
      </c>
      <c r="AI269" s="8" t="str">
        <f t="shared" si="22"/>
        <v>Obesitas</v>
      </c>
    </row>
    <row r="270" spans="1:35" ht="15.6">
      <c r="A270" s="35"/>
      <c r="B270" s="65" t="s">
        <v>36</v>
      </c>
      <c r="C270" s="65" t="s">
        <v>1241</v>
      </c>
      <c r="D270" s="53" t="s">
        <v>37</v>
      </c>
      <c r="E270" s="47">
        <v>2</v>
      </c>
      <c r="F270" s="47" t="s">
        <v>1242</v>
      </c>
      <c r="G270" s="47" t="s">
        <v>1243</v>
      </c>
      <c r="H270" s="84">
        <v>45871</v>
      </c>
      <c r="I270" s="47">
        <v>49</v>
      </c>
      <c r="J270" s="47">
        <v>1</v>
      </c>
      <c r="K270" s="47"/>
      <c r="L270" s="47" t="s">
        <v>1244</v>
      </c>
      <c r="M270" s="49" t="s">
        <v>1245</v>
      </c>
      <c r="N270" s="77" t="s">
        <v>1239</v>
      </c>
      <c r="O270" s="71">
        <v>2</v>
      </c>
      <c r="P270" s="71">
        <v>8</v>
      </c>
      <c r="Q270" s="85">
        <v>4</v>
      </c>
      <c r="R270" s="85">
        <v>1</v>
      </c>
      <c r="S270" s="85">
        <v>25</v>
      </c>
      <c r="T270" s="87">
        <v>10</v>
      </c>
      <c r="U270" s="86">
        <v>3</v>
      </c>
      <c r="V270" s="88">
        <v>20</v>
      </c>
      <c r="W270" s="30">
        <f t="shared" si="23"/>
        <v>57</v>
      </c>
      <c r="X270" s="47">
        <v>16.399999999999999</v>
      </c>
      <c r="Y270" s="47">
        <v>99</v>
      </c>
      <c r="Z270" s="47" t="s">
        <v>1240</v>
      </c>
      <c r="AA270" s="47">
        <v>50.3</v>
      </c>
      <c r="AB270" s="47">
        <v>17.2</v>
      </c>
      <c r="AC270" s="18" t="s">
        <v>53</v>
      </c>
      <c r="AD270" s="9">
        <v>-0.25634206900000001</v>
      </c>
      <c r="AE270" s="9">
        <v>0.23532291</v>
      </c>
      <c r="AF270" s="9">
        <v>0.57688403730000004</v>
      </c>
      <c r="AG270" s="6" t="str">
        <f t="shared" si="20"/>
        <v>Normal</v>
      </c>
      <c r="AH270" s="7" t="str">
        <f t="shared" si="21"/>
        <v>BB Normal</v>
      </c>
      <c r="AI270" s="8" t="str">
        <f t="shared" si="22"/>
        <v>Normal</v>
      </c>
    </row>
    <row r="271" spans="1:35" ht="15.6">
      <c r="A271" s="35"/>
      <c r="B271" s="65" t="s">
        <v>36</v>
      </c>
      <c r="C271" s="65" t="s">
        <v>1246</v>
      </c>
      <c r="D271" s="89" t="s">
        <v>48</v>
      </c>
      <c r="E271" s="78">
        <v>1</v>
      </c>
      <c r="F271" s="47" t="s">
        <v>1247</v>
      </c>
      <c r="G271" s="78" t="s">
        <v>1248</v>
      </c>
      <c r="H271" s="90">
        <v>45691</v>
      </c>
      <c r="I271" s="78">
        <v>50</v>
      </c>
      <c r="J271" s="78">
        <v>1</v>
      </c>
      <c r="K271" s="78"/>
      <c r="L271" s="78" t="s">
        <v>1249</v>
      </c>
      <c r="M271" s="91" t="s">
        <v>1250</v>
      </c>
      <c r="N271" s="77" t="s">
        <v>1239</v>
      </c>
      <c r="O271" s="71">
        <v>3</v>
      </c>
      <c r="P271" s="71">
        <v>8</v>
      </c>
      <c r="Q271" s="85">
        <v>4</v>
      </c>
      <c r="R271" s="85">
        <v>1</v>
      </c>
      <c r="S271" s="85">
        <v>25</v>
      </c>
      <c r="T271" s="87">
        <v>18</v>
      </c>
      <c r="U271" s="86">
        <v>4</v>
      </c>
      <c r="V271" s="88">
        <v>20</v>
      </c>
      <c r="W271" s="30">
        <f t="shared" si="23"/>
        <v>56</v>
      </c>
      <c r="X271" s="47">
        <v>17.95</v>
      </c>
      <c r="Y271" s="47">
        <v>104.9</v>
      </c>
      <c r="Z271" s="47" t="s">
        <v>1240</v>
      </c>
      <c r="AA271" s="47" t="s">
        <v>1251</v>
      </c>
      <c r="AB271" s="47">
        <v>18.399999999999999</v>
      </c>
      <c r="AC271" s="18" t="s">
        <v>53</v>
      </c>
      <c r="AD271" s="9">
        <v>-0.46719268139999998</v>
      </c>
      <c r="AE271" s="9">
        <v>-9.2643335069999999E-2</v>
      </c>
      <c r="AF271" s="9">
        <v>0.31133046850000001</v>
      </c>
      <c r="AG271" s="6" t="str">
        <f t="shared" si="20"/>
        <v>Normal</v>
      </c>
      <c r="AH271" s="7" t="str">
        <f t="shared" si="21"/>
        <v>BB Normal</v>
      </c>
      <c r="AI271" s="8" t="str">
        <f t="shared" si="22"/>
        <v>Normal</v>
      </c>
    </row>
    <row r="272" spans="1:35" ht="15.6">
      <c r="A272" s="35"/>
      <c r="B272" s="65" t="s">
        <v>36</v>
      </c>
      <c r="C272" s="65" t="s">
        <v>1252</v>
      </c>
      <c r="D272" s="92" t="s">
        <v>37</v>
      </c>
      <c r="E272" s="78">
        <v>2</v>
      </c>
      <c r="F272" s="47" t="s">
        <v>1253</v>
      </c>
      <c r="G272" s="73" t="s">
        <v>1254</v>
      </c>
      <c r="H272" s="93">
        <v>45902</v>
      </c>
      <c r="I272" s="73">
        <v>49</v>
      </c>
      <c r="J272" s="73">
        <v>1</v>
      </c>
      <c r="K272" s="73"/>
      <c r="L272" s="73" t="s">
        <v>1255</v>
      </c>
      <c r="M272" s="94" t="s">
        <v>1256</v>
      </c>
      <c r="N272" s="77" t="s">
        <v>1239</v>
      </c>
      <c r="O272" s="71">
        <v>3</v>
      </c>
      <c r="P272" s="71">
        <v>8</v>
      </c>
      <c r="Q272" s="85">
        <v>4</v>
      </c>
      <c r="R272" s="85">
        <v>1</v>
      </c>
      <c r="S272" s="85">
        <v>25</v>
      </c>
      <c r="T272" s="95">
        <v>1</v>
      </c>
      <c r="U272" s="95">
        <v>4</v>
      </c>
      <c r="V272" s="95">
        <v>20</v>
      </c>
      <c r="W272" s="30">
        <f t="shared" si="23"/>
        <v>57</v>
      </c>
      <c r="X272" s="47">
        <v>15.9</v>
      </c>
      <c r="Y272" s="47">
        <v>104.7</v>
      </c>
      <c r="Z272" s="47" t="s">
        <v>1240</v>
      </c>
      <c r="AA272" s="47" t="s">
        <v>1257</v>
      </c>
      <c r="AB272" s="47">
        <v>17.2</v>
      </c>
      <c r="AC272" s="18" t="s">
        <v>53</v>
      </c>
      <c r="AD272" s="9">
        <v>-0.9299229094</v>
      </c>
      <c r="AE272" s="9">
        <v>-1.2983194570000001</v>
      </c>
      <c r="AF272" s="9">
        <v>-1.1208137760000001</v>
      </c>
      <c r="AG272" s="6" t="str">
        <f t="shared" si="20"/>
        <v>Normal</v>
      </c>
      <c r="AH272" s="7" t="str">
        <f t="shared" si="21"/>
        <v>BB Normal</v>
      </c>
      <c r="AI272" s="8" t="str">
        <f t="shared" si="22"/>
        <v>Normal</v>
      </c>
    </row>
    <row r="273" spans="1:35" ht="15.6">
      <c r="A273" s="35"/>
      <c r="B273" s="65" t="s">
        <v>36</v>
      </c>
      <c r="C273" s="65" t="s">
        <v>1258</v>
      </c>
      <c r="D273" s="92" t="s">
        <v>37</v>
      </c>
      <c r="E273" s="78">
        <v>2</v>
      </c>
      <c r="F273" s="47" t="s">
        <v>1259</v>
      </c>
      <c r="G273" s="73" t="s">
        <v>1260</v>
      </c>
      <c r="H273" s="93">
        <v>45902</v>
      </c>
      <c r="I273" s="73">
        <v>49</v>
      </c>
      <c r="J273" s="73">
        <v>1</v>
      </c>
      <c r="K273" s="73"/>
      <c r="L273" s="73" t="s">
        <v>1261</v>
      </c>
      <c r="M273" s="94" t="s">
        <v>1262</v>
      </c>
      <c r="N273" s="77" t="s">
        <v>1239</v>
      </c>
      <c r="O273" s="71">
        <v>1</v>
      </c>
      <c r="P273" s="71">
        <v>8</v>
      </c>
      <c r="Q273" s="85">
        <v>4</v>
      </c>
      <c r="R273" s="85">
        <v>1</v>
      </c>
      <c r="S273" s="85">
        <v>25</v>
      </c>
      <c r="T273" s="95">
        <v>31</v>
      </c>
      <c r="U273" s="95">
        <v>5</v>
      </c>
      <c r="V273" s="95">
        <v>20</v>
      </c>
      <c r="W273" s="30">
        <f t="shared" si="23"/>
        <v>55</v>
      </c>
      <c r="X273" s="47">
        <v>13.95</v>
      </c>
      <c r="Y273" s="47">
        <v>104.4</v>
      </c>
      <c r="Z273" s="47" t="s">
        <v>1240</v>
      </c>
      <c r="AA273" s="47">
        <v>50.9</v>
      </c>
      <c r="AB273" s="47">
        <v>17.5</v>
      </c>
      <c r="AC273" s="18" t="s">
        <v>53</v>
      </c>
      <c r="AD273" s="9">
        <v>-0.62306468680000004</v>
      </c>
      <c r="AE273" s="9">
        <v>-0.58113056789999995</v>
      </c>
      <c r="AF273" s="9">
        <v>-0.29685188159999998</v>
      </c>
      <c r="AG273" s="6" t="str">
        <f t="shared" si="20"/>
        <v>Normal</v>
      </c>
      <c r="AH273" s="7" t="str">
        <f t="shared" si="21"/>
        <v>BB Normal</v>
      </c>
      <c r="AI273" s="8" t="str">
        <f t="shared" si="22"/>
        <v>Normal</v>
      </c>
    </row>
    <row r="274" spans="1:35" ht="15.6">
      <c r="A274" s="35"/>
      <c r="B274" s="65" t="s">
        <v>36</v>
      </c>
      <c r="C274" s="65" t="s">
        <v>1263</v>
      </c>
      <c r="D274" s="89" t="s">
        <v>37</v>
      </c>
      <c r="E274" s="78">
        <v>2</v>
      </c>
      <c r="F274" s="47" t="s">
        <v>1264</v>
      </c>
      <c r="G274" s="78" t="s">
        <v>1265</v>
      </c>
      <c r="H274" s="90">
        <v>45902</v>
      </c>
      <c r="I274" s="78">
        <v>50</v>
      </c>
      <c r="J274" s="78">
        <v>1</v>
      </c>
      <c r="K274" s="78"/>
      <c r="L274" s="78" t="s">
        <v>1266</v>
      </c>
      <c r="M274" s="78" t="s">
        <v>1267</v>
      </c>
      <c r="N274" s="77" t="s">
        <v>1239</v>
      </c>
      <c r="O274" s="71">
        <v>4</v>
      </c>
      <c r="P274" s="71">
        <v>8</v>
      </c>
      <c r="Q274" s="85">
        <v>4</v>
      </c>
      <c r="R274" s="85">
        <v>1</v>
      </c>
      <c r="S274" s="85">
        <v>25</v>
      </c>
      <c r="T274" s="87">
        <v>20</v>
      </c>
      <c r="U274" s="86">
        <v>6</v>
      </c>
      <c r="V274" s="86">
        <v>20</v>
      </c>
      <c r="W274" s="30">
        <f t="shared" si="23"/>
        <v>54</v>
      </c>
      <c r="X274" s="47">
        <v>17</v>
      </c>
      <c r="Y274" s="47">
        <v>112.6</v>
      </c>
      <c r="Z274" s="47" t="s">
        <v>1240</v>
      </c>
      <c r="AA274" s="47">
        <v>49.5</v>
      </c>
      <c r="AB274" s="47">
        <v>16</v>
      </c>
      <c r="AC274" s="18" t="s">
        <v>53</v>
      </c>
      <c r="AD274" s="9">
        <v>0.85311179739999998</v>
      </c>
      <c r="AE274" s="9">
        <v>-0.67203811300000005</v>
      </c>
      <c r="AF274" s="9">
        <v>-1.8028723849999999</v>
      </c>
      <c r="AG274" s="6" t="str">
        <f t="shared" si="20"/>
        <v>Normal</v>
      </c>
      <c r="AH274" s="7" t="str">
        <f t="shared" si="21"/>
        <v>BB Normal</v>
      </c>
      <c r="AI274" s="8" t="str">
        <f t="shared" si="22"/>
        <v>Normal</v>
      </c>
    </row>
    <row r="275" spans="1:35" ht="15.6">
      <c r="A275" s="35"/>
      <c r="B275" s="65" t="s">
        <v>36</v>
      </c>
      <c r="C275" s="65" t="s">
        <v>1268</v>
      </c>
      <c r="D275" s="89" t="s">
        <v>48</v>
      </c>
      <c r="E275" s="78">
        <v>1</v>
      </c>
      <c r="F275" s="49" t="s">
        <v>1269</v>
      </c>
      <c r="G275" s="78" t="s">
        <v>1270</v>
      </c>
      <c r="H275" s="90">
        <v>45750</v>
      </c>
      <c r="I275" s="78">
        <v>51</v>
      </c>
      <c r="J275" s="78">
        <v>1</v>
      </c>
      <c r="K275" s="78"/>
      <c r="L275" s="78" t="s">
        <v>1271</v>
      </c>
      <c r="M275" s="91" t="s">
        <v>1272</v>
      </c>
      <c r="N275" s="77" t="s">
        <v>1239</v>
      </c>
      <c r="O275" s="71">
        <v>3</v>
      </c>
      <c r="P275" s="71">
        <v>8</v>
      </c>
      <c r="Q275" s="85">
        <v>4</v>
      </c>
      <c r="R275" s="85">
        <v>1</v>
      </c>
      <c r="S275" s="85">
        <v>25</v>
      </c>
      <c r="T275" s="87">
        <v>21</v>
      </c>
      <c r="U275" s="86">
        <v>7</v>
      </c>
      <c r="V275" s="86">
        <v>20</v>
      </c>
      <c r="W275" s="30">
        <f t="shared" si="23"/>
        <v>53</v>
      </c>
      <c r="X275" s="47">
        <v>17.399999999999999</v>
      </c>
      <c r="Y275" s="47">
        <v>108.7</v>
      </c>
      <c r="Z275" s="47" t="s">
        <v>1240</v>
      </c>
      <c r="AA275" s="47">
        <v>51.9</v>
      </c>
      <c r="AB275" s="47">
        <v>17.3</v>
      </c>
      <c r="AC275" s="18" t="s">
        <v>53</v>
      </c>
      <c r="AD275" s="9">
        <v>0.36528360059999998</v>
      </c>
      <c r="AE275" s="9">
        <v>0.5394291242</v>
      </c>
      <c r="AF275" s="9">
        <v>0.48648791860000001</v>
      </c>
      <c r="AG275" s="6" t="str">
        <f t="shared" si="20"/>
        <v>Normal</v>
      </c>
      <c r="AH275" s="7" t="str">
        <f t="shared" si="21"/>
        <v>BB Normal</v>
      </c>
      <c r="AI275" s="8" t="str">
        <f t="shared" si="22"/>
        <v>Normal</v>
      </c>
    </row>
    <row r="276" spans="1:35" ht="15.6">
      <c r="A276" s="35"/>
      <c r="B276" s="65" t="s">
        <v>44</v>
      </c>
      <c r="C276" s="65" t="s">
        <v>1273</v>
      </c>
      <c r="D276" s="89" t="s">
        <v>48</v>
      </c>
      <c r="E276" s="78">
        <v>1</v>
      </c>
      <c r="F276" s="47" t="s">
        <v>1274</v>
      </c>
      <c r="G276" s="78" t="s">
        <v>1275</v>
      </c>
      <c r="H276" s="90">
        <v>45841</v>
      </c>
      <c r="I276" s="78">
        <v>50</v>
      </c>
      <c r="J276" s="78">
        <v>1</v>
      </c>
      <c r="K276" s="78"/>
      <c r="L276" s="78" t="s">
        <v>1276</v>
      </c>
      <c r="M276" s="91" t="s">
        <v>1277</v>
      </c>
      <c r="N276" s="77" t="s">
        <v>1239</v>
      </c>
      <c r="O276" s="71">
        <v>4</v>
      </c>
      <c r="P276" s="71">
        <v>8</v>
      </c>
      <c r="Q276" s="85">
        <v>4</v>
      </c>
      <c r="R276" s="85">
        <v>1</v>
      </c>
      <c r="S276" s="85">
        <v>25</v>
      </c>
      <c r="T276" s="87">
        <v>20</v>
      </c>
      <c r="U276" s="86">
        <v>10</v>
      </c>
      <c r="V276" s="86">
        <v>20</v>
      </c>
      <c r="W276" s="30">
        <f t="shared" si="23"/>
        <v>50</v>
      </c>
      <c r="X276" s="47">
        <v>22.5</v>
      </c>
      <c r="Y276" s="47">
        <v>104.4</v>
      </c>
      <c r="Z276" s="47" t="s">
        <v>1240</v>
      </c>
      <c r="AA276" s="47">
        <v>49.5</v>
      </c>
      <c r="AB276" s="47">
        <v>22</v>
      </c>
      <c r="AC276" s="18" t="s">
        <v>53</v>
      </c>
      <c r="AD276" s="9">
        <v>-1.300319094</v>
      </c>
      <c r="AE276" s="9">
        <v>-0.55543470009999996</v>
      </c>
      <c r="AF276" s="9">
        <v>0.33768640329999999</v>
      </c>
      <c r="AG276" s="6" t="str">
        <f t="shared" si="20"/>
        <v>Normal</v>
      </c>
      <c r="AH276" s="7" t="str">
        <f t="shared" si="21"/>
        <v>BB Normal</v>
      </c>
      <c r="AI276" s="8" t="str">
        <f t="shared" si="22"/>
        <v>Normal</v>
      </c>
    </row>
    <row r="277" spans="1:35" ht="15.6">
      <c r="A277" s="35"/>
      <c r="B277" s="65" t="s">
        <v>198</v>
      </c>
      <c r="C277" s="65" t="s">
        <v>1278</v>
      </c>
      <c r="D277" s="89" t="s">
        <v>37</v>
      </c>
      <c r="E277" s="78">
        <v>2</v>
      </c>
      <c r="F277" s="47" t="s">
        <v>1279</v>
      </c>
      <c r="G277" s="78" t="s">
        <v>1280</v>
      </c>
      <c r="H277" s="90">
        <v>45780</v>
      </c>
      <c r="I277" s="78">
        <v>50</v>
      </c>
      <c r="J277" s="78">
        <v>1</v>
      </c>
      <c r="K277" s="78"/>
      <c r="L277" s="78" t="s">
        <v>1281</v>
      </c>
      <c r="M277" s="91" t="s">
        <v>1282</v>
      </c>
      <c r="N277" s="77" t="s">
        <v>1239</v>
      </c>
      <c r="O277" s="71">
        <v>4</v>
      </c>
      <c r="P277" s="71">
        <v>8</v>
      </c>
      <c r="Q277" s="85">
        <v>4</v>
      </c>
      <c r="R277" s="85">
        <v>1</v>
      </c>
      <c r="S277" s="85">
        <v>25</v>
      </c>
      <c r="T277" s="87">
        <v>29</v>
      </c>
      <c r="U277" s="86">
        <v>5</v>
      </c>
      <c r="V277" s="86">
        <v>20</v>
      </c>
      <c r="W277" s="30">
        <f t="shared" si="23"/>
        <v>55</v>
      </c>
      <c r="X277" s="47">
        <v>14.15</v>
      </c>
      <c r="Y277" s="47">
        <v>100.5</v>
      </c>
      <c r="Z277" s="47" t="s">
        <v>1240</v>
      </c>
      <c r="AA277" s="47">
        <v>51</v>
      </c>
      <c r="AB277" s="47">
        <v>15.2</v>
      </c>
      <c r="AC277" s="18" t="s">
        <v>53</v>
      </c>
      <c r="AD277" s="9">
        <v>1.072682849</v>
      </c>
      <c r="AE277" s="9">
        <v>-1.086014526</v>
      </c>
      <c r="AF277" s="9">
        <v>-1.5923322279999999E-2</v>
      </c>
      <c r="AG277" s="6" t="str">
        <f t="shared" si="20"/>
        <v>Normal</v>
      </c>
      <c r="AH277" s="7" t="str">
        <f t="shared" si="21"/>
        <v>BB Normal</v>
      </c>
      <c r="AI277" s="8" t="str">
        <f t="shared" si="22"/>
        <v>Normal</v>
      </c>
    </row>
    <row r="278" spans="1:35" ht="15.6">
      <c r="A278" s="35"/>
      <c r="B278" s="65" t="s">
        <v>44</v>
      </c>
      <c r="C278" s="65" t="s">
        <v>1283</v>
      </c>
      <c r="D278" s="89" t="s">
        <v>48</v>
      </c>
      <c r="E278" s="78">
        <v>1</v>
      </c>
      <c r="F278" s="47" t="s">
        <v>1284</v>
      </c>
      <c r="G278" s="78" t="s">
        <v>1285</v>
      </c>
      <c r="H278" s="78">
        <v>2.9</v>
      </c>
      <c r="I278" s="78">
        <v>48</v>
      </c>
      <c r="J278" s="78">
        <v>1</v>
      </c>
      <c r="K278" s="78"/>
      <c r="L278" s="78" t="s">
        <v>1286</v>
      </c>
      <c r="M278" s="91" t="s">
        <v>1287</v>
      </c>
      <c r="N278" s="77" t="s">
        <v>1239</v>
      </c>
      <c r="O278" s="71">
        <v>2</v>
      </c>
      <c r="P278" s="71">
        <v>8</v>
      </c>
      <c r="Q278" s="85">
        <v>4</v>
      </c>
      <c r="R278" s="85">
        <v>1</v>
      </c>
      <c r="S278" s="85">
        <v>25</v>
      </c>
      <c r="T278" s="87">
        <v>19</v>
      </c>
      <c r="U278" s="86">
        <v>11</v>
      </c>
      <c r="V278" s="86">
        <v>20</v>
      </c>
      <c r="W278" s="30">
        <f t="shared" si="23"/>
        <v>49</v>
      </c>
      <c r="X278" s="47">
        <v>14.7</v>
      </c>
      <c r="Y278" s="47">
        <v>96.2</v>
      </c>
      <c r="Z278" s="47" t="s">
        <v>1240</v>
      </c>
      <c r="AA278" s="47">
        <v>52.2</v>
      </c>
      <c r="AB278" s="47">
        <v>16.899999999999999</v>
      </c>
      <c r="AC278" s="18" t="s">
        <v>53</v>
      </c>
      <c r="AD278" s="9">
        <v>2.623369689</v>
      </c>
      <c r="AE278" s="9">
        <v>0.80604420259999998</v>
      </c>
      <c r="AF278" s="9">
        <v>0.16534989480000001</v>
      </c>
      <c r="AG278" s="6" t="str">
        <f t="shared" si="20"/>
        <v>Normal</v>
      </c>
      <c r="AH278" s="7" t="str">
        <f t="shared" si="21"/>
        <v>BB Normal</v>
      </c>
      <c r="AI278" s="8" t="str">
        <f t="shared" si="22"/>
        <v>Normal</v>
      </c>
    </row>
    <row r="279" spans="1:35" ht="15.6">
      <c r="A279" s="35"/>
      <c r="B279" s="65" t="s">
        <v>1288</v>
      </c>
      <c r="C279" s="96">
        <v>44146</v>
      </c>
      <c r="D279" s="89" t="s">
        <v>48</v>
      </c>
      <c r="E279" s="78">
        <v>1</v>
      </c>
      <c r="F279" s="47" t="s">
        <v>1289</v>
      </c>
      <c r="G279" s="78" t="s">
        <v>1290</v>
      </c>
      <c r="H279" s="78">
        <v>3</v>
      </c>
      <c r="I279" s="78">
        <v>49</v>
      </c>
      <c r="J279" s="78">
        <v>1</v>
      </c>
      <c r="K279" s="78"/>
      <c r="L279" s="78" t="s">
        <v>1291</v>
      </c>
      <c r="M279" s="91" t="s">
        <v>1292</v>
      </c>
      <c r="N279" s="77" t="s">
        <v>1239</v>
      </c>
      <c r="O279" s="71">
        <v>2</v>
      </c>
      <c r="P279" s="71">
        <v>8</v>
      </c>
      <c r="Q279" s="85">
        <v>4</v>
      </c>
      <c r="R279" s="85">
        <v>1</v>
      </c>
      <c r="S279" s="85">
        <v>25</v>
      </c>
      <c r="T279" s="87">
        <v>11</v>
      </c>
      <c r="U279" s="86">
        <v>11</v>
      </c>
      <c r="V279" s="86">
        <v>20</v>
      </c>
      <c r="W279" s="30">
        <f t="shared" si="23"/>
        <v>49</v>
      </c>
      <c r="X279" s="47">
        <v>14.8</v>
      </c>
      <c r="Y279" s="47">
        <v>98.7</v>
      </c>
      <c r="Z279" s="47" t="s">
        <v>1240</v>
      </c>
      <c r="AA279" s="47">
        <v>51.7</v>
      </c>
      <c r="AB279" s="47">
        <v>16.399999999999999</v>
      </c>
      <c r="AC279" s="18" t="s">
        <v>53</v>
      </c>
      <c r="AD279" s="9">
        <v>-0.60419261619999998</v>
      </c>
      <c r="AE279" s="9">
        <v>9.4879313189999995E-2</v>
      </c>
      <c r="AF279" s="9">
        <v>-0.9207139271</v>
      </c>
      <c r="AG279" s="6" t="str">
        <f t="shared" si="20"/>
        <v>Normal</v>
      </c>
      <c r="AH279" s="7" t="str">
        <f t="shared" si="21"/>
        <v>BB Normal</v>
      </c>
      <c r="AI279" s="8" t="str">
        <f t="shared" si="22"/>
        <v>Normal</v>
      </c>
    </row>
    <row r="280" spans="1:35" ht="15.6">
      <c r="A280" s="35"/>
      <c r="B280" s="65" t="s">
        <v>36</v>
      </c>
      <c r="C280" s="65" t="s">
        <v>251</v>
      </c>
      <c r="D280" s="89" t="s">
        <v>37</v>
      </c>
      <c r="E280" s="78">
        <v>2</v>
      </c>
      <c r="F280" s="47" t="s">
        <v>1293</v>
      </c>
      <c r="G280" s="78" t="s">
        <v>1294</v>
      </c>
      <c r="H280" s="90">
        <v>45660</v>
      </c>
      <c r="I280" s="78">
        <v>50</v>
      </c>
      <c r="J280" s="78">
        <v>1</v>
      </c>
      <c r="K280" s="78"/>
      <c r="L280" s="78" t="s">
        <v>1295</v>
      </c>
      <c r="M280" s="91" t="s">
        <v>1296</v>
      </c>
      <c r="N280" s="77" t="s">
        <v>1239</v>
      </c>
      <c r="O280" s="71">
        <v>3</v>
      </c>
      <c r="P280" s="71">
        <v>8</v>
      </c>
      <c r="Q280" s="85">
        <v>4</v>
      </c>
      <c r="R280" s="85">
        <v>1</v>
      </c>
      <c r="S280" s="85">
        <v>25</v>
      </c>
      <c r="T280" s="87">
        <v>16</v>
      </c>
      <c r="U280" s="86">
        <v>11</v>
      </c>
      <c r="V280" s="86">
        <v>20</v>
      </c>
      <c r="W280" s="30">
        <f t="shared" si="23"/>
        <v>49</v>
      </c>
      <c r="X280" s="47">
        <v>16.600000000000001</v>
      </c>
      <c r="Y280" s="47">
        <v>104.2</v>
      </c>
      <c r="Z280" s="47" t="s">
        <v>1240</v>
      </c>
      <c r="AA280" s="47">
        <v>51.4</v>
      </c>
      <c r="AB280" s="47">
        <v>16.7</v>
      </c>
      <c r="AC280" s="18" t="s">
        <v>53</v>
      </c>
      <c r="AD280" s="9">
        <v>-0.83337105850000004</v>
      </c>
      <c r="AE280" s="9">
        <v>-0.74041959859999995</v>
      </c>
      <c r="AF280" s="9">
        <v>-0.2490686382</v>
      </c>
      <c r="AG280" s="6" t="str">
        <f t="shared" si="20"/>
        <v>Normal</v>
      </c>
      <c r="AH280" s="7" t="str">
        <f t="shared" si="21"/>
        <v>BB Normal</v>
      </c>
      <c r="AI280" s="8" t="str">
        <f t="shared" si="22"/>
        <v>Normal</v>
      </c>
    </row>
    <row r="281" spans="1:35" ht="15.6">
      <c r="A281" s="35"/>
      <c r="B281" s="97" t="s">
        <v>36</v>
      </c>
      <c r="C281" s="97" t="s">
        <v>1297</v>
      </c>
      <c r="D281" s="98" t="s">
        <v>48</v>
      </c>
      <c r="E281" s="99">
        <v>1</v>
      </c>
      <c r="F281" s="51" t="s">
        <v>1298</v>
      </c>
      <c r="G281" s="99" t="s">
        <v>1299</v>
      </c>
      <c r="H281" s="100">
        <v>45691</v>
      </c>
      <c r="I281" s="99">
        <v>50</v>
      </c>
      <c r="J281" s="99">
        <v>1</v>
      </c>
      <c r="K281" s="99"/>
      <c r="L281" s="99" t="s">
        <v>1300</v>
      </c>
      <c r="M281" s="101" t="s">
        <v>1301</v>
      </c>
      <c r="N281" s="102" t="s">
        <v>1239</v>
      </c>
      <c r="O281" s="51">
        <v>1</v>
      </c>
      <c r="P281" s="51">
        <v>8</v>
      </c>
      <c r="Q281" s="51">
        <v>4</v>
      </c>
      <c r="R281" s="51">
        <v>1</v>
      </c>
      <c r="S281" s="51">
        <v>25</v>
      </c>
      <c r="T281" s="99">
        <v>3</v>
      </c>
      <c r="U281" s="102">
        <v>1</v>
      </c>
      <c r="V281" s="102">
        <v>21</v>
      </c>
      <c r="W281" s="30">
        <f t="shared" si="23"/>
        <v>48</v>
      </c>
      <c r="X281" s="51">
        <v>13.4</v>
      </c>
      <c r="Y281" s="51">
        <v>94.8</v>
      </c>
      <c r="Z281" s="51" t="s">
        <v>1240</v>
      </c>
      <c r="AA281" s="51">
        <v>51</v>
      </c>
      <c r="AB281" s="51">
        <v>15.6</v>
      </c>
      <c r="AC281" s="18" t="s">
        <v>53</v>
      </c>
      <c r="AD281" s="9">
        <v>-1.054239215</v>
      </c>
      <c r="AE281" s="9">
        <v>-1.592062138</v>
      </c>
      <c r="AF281" s="9">
        <v>-0.49680120449999998</v>
      </c>
      <c r="AG281" s="6" t="str">
        <f t="shared" si="20"/>
        <v>Normal</v>
      </c>
      <c r="AH281" s="7" t="str">
        <f t="shared" si="21"/>
        <v>BB Normal</v>
      </c>
      <c r="AI281" s="8" t="str">
        <f t="shared" si="22"/>
        <v>Normal</v>
      </c>
    </row>
    <row r="282" spans="1:35" ht="15.6">
      <c r="A282" s="35"/>
      <c r="B282" s="65" t="s">
        <v>36</v>
      </c>
      <c r="C282" s="65" t="s">
        <v>1302</v>
      </c>
      <c r="D282" s="89" t="s">
        <v>37</v>
      </c>
      <c r="E282" s="78">
        <v>2</v>
      </c>
      <c r="F282" s="47" t="s">
        <v>1303</v>
      </c>
      <c r="G282" s="78" t="s">
        <v>1304</v>
      </c>
      <c r="H282" s="90">
        <v>45902</v>
      </c>
      <c r="I282" s="78">
        <v>49</v>
      </c>
      <c r="J282" s="78">
        <v>1</v>
      </c>
      <c r="K282" s="78"/>
      <c r="L282" s="78" t="s">
        <v>1305</v>
      </c>
      <c r="M282" s="91" t="s">
        <v>1306</v>
      </c>
      <c r="N282" s="77" t="s">
        <v>1239</v>
      </c>
      <c r="O282" s="71">
        <v>2</v>
      </c>
      <c r="P282" s="71">
        <v>8</v>
      </c>
      <c r="Q282" s="85">
        <v>4</v>
      </c>
      <c r="R282" s="85">
        <v>1</v>
      </c>
      <c r="S282" s="85">
        <v>25</v>
      </c>
      <c r="T282" s="87">
        <v>20</v>
      </c>
      <c r="U282" s="86">
        <v>4</v>
      </c>
      <c r="V282" s="86">
        <v>21</v>
      </c>
      <c r="W282" s="30">
        <f t="shared" si="23"/>
        <v>44</v>
      </c>
      <c r="X282" s="103">
        <v>14.8</v>
      </c>
      <c r="Y282" s="103">
        <v>100.7</v>
      </c>
      <c r="Z282" s="47" t="s">
        <v>1240</v>
      </c>
      <c r="AA282" s="47">
        <v>47.7</v>
      </c>
      <c r="AB282" s="47">
        <v>16.7</v>
      </c>
      <c r="AC282" s="18" t="s">
        <v>53</v>
      </c>
      <c r="AD282" s="9">
        <v>-0.74111765080000003</v>
      </c>
      <c r="AE282" s="9">
        <v>-1.182390359</v>
      </c>
      <c r="AF282" s="9">
        <v>4.5408002859999996</v>
      </c>
      <c r="AG282" s="6" t="str">
        <f t="shared" si="20"/>
        <v>Normal</v>
      </c>
      <c r="AH282" s="7" t="str">
        <f t="shared" si="21"/>
        <v>BB Normal</v>
      </c>
      <c r="AI282" s="8" t="str">
        <f t="shared" si="22"/>
        <v>Obesitas</v>
      </c>
    </row>
    <row r="283" spans="1:35" ht="15.6">
      <c r="A283" s="35"/>
      <c r="B283" s="65" t="s">
        <v>36</v>
      </c>
      <c r="C283" s="65" t="s">
        <v>1307</v>
      </c>
      <c r="D283" s="89" t="s">
        <v>48</v>
      </c>
      <c r="E283" s="78">
        <v>1</v>
      </c>
      <c r="F283" s="47" t="s">
        <v>1308</v>
      </c>
      <c r="G283" s="78" t="s">
        <v>1309</v>
      </c>
      <c r="H283" s="90">
        <v>45780</v>
      </c>
      <c r="I283" s="78">
        <v>51</v>
      </c>
      <c r="J283" s="78">
        <v>1</v>
      </c>
      <c r="K283" s="78"/>
      <c r="L283" s="78" t="s">
        <v>1310</v>
      </c>
      <c r="M283" s="91" t="s">
        <v>1311</v>
      </c>
      <c r="N283" s="77" t="s">
        <v>1239</v>
      </c>
      <c r="O283" s="71">
        <v>4</v>
      </c>
      <c r="P283" s="71">
        <v>8</v>
      </c>
      <c r="Q283" s="85">
        <v>4</v>
      </c>
      <c r="R283" s="85">
        <v>1</v>
      </c>
      <c r="S283" s="85">
        <v>25</v>
      </c>
      <c r="T283" s="87">
        <v>10</v>
      </c>
      <c r="U283" s="86">
        <v>4</v>
      </c>
      <c r="V283" s="86">
        <v>21</v>
      </c>
      <c r="W283" s="104">
        <f t="shared" si="23"/>
        <v>44</v>
      </c>
      <c r="X283" s="47">
        <v>19</v>
      </c>
      <c r="Y283" s="47">
        <v>110.5</v>
      </c>
      <c r="Z283" s="73" t="s">
        <v>1240</v>
      </c>
      <c r="AA283" s="47">
        <v>51</v>
      </c>
      <c r="AB283" s="47">
        <v>18</v>
      </c>
      <c r="AC283" s="18" t="s">
        <v>53</v>
      </c>
      <c r="AD283" s="9">
        <v>-2.4419863730000002</v>
      </c>
      <c r="AE283" s="9">
        <v>-1.903826013</v>
      </c>
      <c r="AF283" s="9">
        <v>-0.29685188159999998</v>
      </c>
      <c r="AG283" s="6" t="str">
        <f t="shared" si="20"/>
        <v>Pendek</v>
      </c>
      <c r="AH283" s="7" t="str">
        <f t="shared" si="21"/>
        <v>BB Normal</v>
      </c>
      <c r="AI283" s="8" t="str">
        <f t="shared" si="22"/>
        <v>Normal</v>
      </c>
    </row>
    <row r="284" spans="1:35" ht="15.6">
      <c r="A284" s="35"/>
      <c r="B284" s="65" t="s">
        <v>36</v>
      </c>
      <c r="C284" s="65" t="s">
        <v>1312</v>
      </c>
      <c r="D284" s="89" t="s">
        <v>48</v>
      </c>
      <c r="E284" s="78">
        <v>1</v>
      </c>
      <c r="F284" s="47" t="s">
        <v>1313</v>
      </c>
      <c r="G284" s="78" t="s">
        <v>1314</v>
      </c>
      <c r="H284" s="90">
        <v>45750</v>
      </c>
      <c r="I284" s="78">
        <v>51</v>
      </c>
      <c r="J284" s="78">
        <v>1</v>
      </c>
      <c r="K284" s="78"/>
      <c r="L284" s="78" t="s">
        <v>1315</v>
      </c>
      <c r="M284" s="91" t="s">
        <v>1316</v>
      </c>
      <c r="N284" s="77" t="s">
        <v>1239</v>
      </c>
      <c r="O284" s="71">
        <v>2</v>
      </c>
      <c r="P284" s="71">
        <v>8</v>
      </c>
      <c r="Q284" s="85">
        <v>4</v>
      </c>
      <c r="R284" s="85">
        <v>1</v>
      </c>
      <c r="S284" s="85">
        <v>25</v>
      </c>
      <c r="T284" s="87">
        <v>27</v>
      </c>
      <c r="U284" s="86">
        <v>5</v>
      </c>
      <c r="V284" s="86">
        <v>21</v>
      </c>
      <c r="W284" s="104">
        <f t="shared" si="23"/>
        <v>43</v>
      </c>
      <c r="X284" s="47">
        <v>20</v>
      </c>
      <c r="Y284" s="47">
        <v>107.5</v>
      </c>
      <c r="Z284" s="73" t="s">
        <v>1240</v>
      </c>
      <c r="AA284" s="77">
        <v>51</v>
      </c>
      <c r="AB284" s="77">
        <v>18</v>
      </c>
      <c r="AC284" s="18" t="s">
        <v>53</v>
      </c>
      <c r="AD284" s="9">
        <v>-0.24446635629999999</v>
      </c>
      <c r="AE284" s="9">
        <v>1.571784471E-3</v>
      </c>
      <c r="AF284" s="9">
        <v>-1.8028723849999999</v>
      </c>
      <c r="AG284" s="6" t="str">
        <f t="shared" si="20"/>
        <v>Normal</v>
      </c>
      <c r="AH284" s="7" t="str">
        <f t="shared" si="21"/>
        <v>BB Normal</v>
      </c>
      <c r="AI284" s="8" t="str">
        <f t="shared" si="22"/>
        <v>Normal</v>
      </c>
    </row>
    <row r="285" spans="1:35" ht="15.6">
      <c r="A285" s="35"/>
      <c r="B285" s="65" t="s">
        <v>44</v>
      </c>
      <c r="C285" s="65" t="s">
        <v>1317</v>
      </c>
      <c r="D285" s="89" t="s">
        <v>48</v>
      </c>
      <c r="E285" s="78">
        <v>1</v>
      </c>
      <c r="F285" s="47" t="s">
        <v>1318</v>
      </c>
      <c r="G285" s="78" t="s">
        <v>1319</v>
      </c>
      <c r="H285" s="90">
        <v>45691</v>
      </c>
      <c r="I285" s="78">
        <v>50</v>
      </c>
      <c r="J285" s="78">
        <v>1</v>
      </c>
      <c r="K285" s="78"/>
      <c r="L285" s="78" t="s">
        <v>1320</v>
      </c>
      <c r="M285" s="78"/>
      <c r="N285" s="77" t="s">
        <v>1239</v>
      </c>
      <c r="O285" s="71">
        <v>3</v>
      </c>
      <c r="P285" s="71">
        <v>8</v>
      </c>
      <c r="Q285" s="85">
        <v>4</v>
      </c>
      <c r="R285" s="85">
        <v>1</v>
      </c>
      <c r="S285" s="85">
        <v>25</v>
      </c>
      <c r="T285" s="87">
        <v>28</v>
      </c>
      <c r="U285" s="86">
        <v>5</v>
      </c>
      <c r="V285" s="86">
        <v>21</v>
      </c>
      <c r="W285" s="104">
        <f t="shared" si="23"/>
        <v>43</v>
      </c>
      <c r="X285" s="47">
        <v>19.899999999999999</v>
      </c>
      <c r="Y285" s="47">
        <v>99.7</v>
      </c>
      <c r="Z285" s="73" t="s">
        <v>1240</v>
      </c>
      <c r="AA285" s="47">
        <v>51.3</v>
      </c>
      <c r="AB285" s="47">
        <v>21</v>
      </c>
      <c r="AC285" s="18" t="s">
        <v>53</v>
      </c>
      <c r="AD285" s="9">
        <v>9.8152294809999999E-2</v>
      </c>
      <c r="AE285" s="9">
        <v>-0.1745880897</v>
      </c>
      <c r="AF285" s="9">
        <v>0.48648791860000001</v>
      </c>
      <c r="AG285" s="6" t="str">
        <f t="shared" si="20"/>
        <v>Normal</v>
      </c>
      <c r="AH285" s="7" t="str">
        <f t="shared" si="21"/>
        <v>BB Normal</v>
      </c>
      <c r="AI285" s="8" t="str">
        <f t="shared" si="22"/>
        <v>Normal</v>
      </c>
    </row>
    <row r="286" spans="1:35" ht="15.6">
      <c r="A286" s="35"/>
      <c r="B286" s="65" t="s">
        <v>198</v>
      </c>
      <c r="C286" s="65" t="s">
        <v>1321</v>
      </c>
      <c r="D286" s="89" t="s">
        <v>48</v>
      </c>
      <c r="E286" s="78">
        <v>1</v>
      </c>
      <c r="F286" s="47" t="s">
        <v>1322</v>
      </c>
      <c r="G286" s="78" t="s">
        <v>1323</v>
      </c>
      <c r="H286" s="90">
        <v>45691</v>
      </c>
      <c r="I286" s="78">
        <v>50</v>
      </c>
      <c r="J286" s="78">
        <v>1</v>
      </c>
      <c r="K286" s="78"/>
      <c r="L286" s="78" t="s">
        <v>1324</v>
      </c>
      <c r="M286" s="91" t="s">
        <v>1325</v>
      </c>
      <c r="N286" s="77" t="s">
        <v>1239</v>
      </c>
      <c r="O286" s="71">
        <v>4</v>
      </c>
      <c r="P286" s="71">
        <v>8</v>
      </c>
      <c r="Q286" s="85">
        <v>4</v>
      </c>
      <c r="R286" s="85">
        <v>1</v>
      </c>
      <c r="S286" s="85">
        <v>25</v>
      </c>
      <c r="T286" s="87">
        <v>25</v>
      </c>
      <c r="U286" s="86">
        <v>6</v>
      </c>
      <c r="V286" s="86">
        <v>21</v>
      </c>
      <c r="W286" s="104">
        <f t="shared" si="23"/>
        <v>42</v>
      </c>
      <c r="X286" s="47">
        <v>17.600000000000001</v>
      </c>
      <c r="Y286" s="47">
        <v>94.6</v>
      </c>
      <c r="Z286" s="73" t="s">
        <v>1240</v>
      </c>
      <c r="AA286" s="47">
        <v>50</v>
      </c>
      <c r="AB286" s="47">
        <v>20.2</v>
      </c>
      <c r="AC286" s="18" t="s">
        <v>53</v>
      </c>
      <c r="AD286" s="9">
        <v>-0.49216492820000002</v>
      </c>
      <c r="AE286" s="9">
        <v>2.550320986</v>
      </c>
      <c r="AF286" s="9">
        <v>0.33768640329999999</v>
      </c>
      <c r="AG286" s="6" t="str">
        <f t="shared" si="20"/>
        <v>Normal</v>
      </c>
      <c r="AH286" s="7" t="str">
        <f t="shared" si="21"/>
        <v>Ris Lbh</v>
      </c>
      <c r="AI286" s="8" t="str">
        <f t="shared" si="22"/>
        <v>Normal</v>
      </c>
    </row>
    <row r="287" spans="1:35" ht="15.6">
      <c r="A287" s="35"/>
      <c r="B287" s="65" t="s">
        <v>36</v>
      </c>
      <c r="C287" s="65" t="s">
        <v>1326</v>
      </c>
      <c r="D287" s="89" t="s">
        <v>37</v>
      </c>
      <c r="E287" s="78">
        <v>2</v>
      </c>
      <c r="F287" s="47" t="s">
        <v>1327</v>
      </c>
      <c r="G287" s="78" t="s">
        <v>1328</v>
      </c>
      <c r="H287" s="90">
        <v>45871</v>
      </c>
      <c r="I287" s="78">
        <v>49</v>
      </c>
      <c r="J287" s="78">
        <v>1</v>
      </c>
      <c r="K287" s="78"/>
      <c r="L287" s="78" t="s">
        <v>1329</v>
      </c>
      <c r="M287" s="78"/>
      <c r="N287" s="77" t="s">
        <v>1239</v>
      </c>
      <c r="O287" s="71">
        <v>1</v>
      </c>
      <c r="P287" s="71">
        <v>8</v>
      </c>
      <c r="Q287" s="85">
        <v>4</v>
      </c>
      <c r="R287" s="85">
        <v>1</v>
      </c>
      <c r="S287" s="85">
        <v>25</v>
      </c>
      <c r="T287" s="87">
        <v>24</v>
      </c>
      <c r="U287" s="86">
        <v>7</v>
      </c>
      <c r="V287" s="86">
        <v>21</v>
      </c>
      <c r="W287" s="104">
        <f t="shared" si="23"/>
        <v>41</v>
      </c>
      <c r="X287" s="47">
        <v>13.5</v>
      </c>
      <c r="Y287" s="47">
        <v>93.7</v>
      </c>
      <c r="Z287" s="73" t="s">
        <v>1240</v>
      </c>
      <c r="AA287" s="77">
        <v>45.6</v>
      </c>
      <c r="AB287" s="77">
        <v>17.2</v>
      </c>
      <c r="AC287" s="18" t="s">
        <v>53</v>
      </c>
      <c r="AD287" s="9">
        <v>-0.29685188159999998</v>
      </c>
      <c r="AE287" s="9">
        <f>IF(X287&gt;=1,BC287-((AO287-$BH287)*(BC287-$BC287)),"")</f>
        <v>0</v>
      </c>
      <c r="AF287" s="9">
        <v>-1.5923322279999999E-2</v>
      </c>
      <c r="AG287" s="6" t="str">
        <f t="shared" si="20"/>
        <v>Normal</v>
      </c>
      <c r="AH287" s="7" t="str">
        <f t="shared" si="21"/>
        <v>BB Normal</v>
      </c>
      <c r="AI287" s="8" t="str">
        <f t="shared" si="22"/>
        <v>Normal</v>
      </c>
    </row>
    <row r="288" spans="1:35" ht="15.6">
      <c r="A288" s="35"/>
      <c r="B288" s="65" t="s">
        <v>36</v>
      </c>
      <c r="C288" s="65" t="s">
        <v>1330</v>
      </c>
      <c r="D288" s="89" t="s">
        <v>37</v>
      </c>
      <c r="E288" s="78">
        <v>2</v>
      </c>
      <c r="F288" s="47"/>
      <c r="G288" s="78" t="s">
        <v>1331</v>
      </c>
      <c r="H288" s="90">
        <v>45871</v>
      </c>
      <c r="I288" s="78">
        <v>49</v>
      </c>
      <c r="J288" s="78">
        <v>1</v>
      </c>
      <c r="K288" s="78"/>
      <c r="L288" s="78" t="s">
        <v>1332</v>
      </c>
      <c r="M288" s="78"/>
      <c r="N288" s="77" t="s">
        <v>1239</v>
      </c>
      <c r="O288" s="71">
        <v>3</v>
      </c>
      <c r="P288" s="71">
        <v>8</v>
      </c>
      <c r="Q288" s="85">
        <v>4</v>
      </c>
      <c r="R288" s="85">
        <v>1</v>
      </c>
      <c r="S288" s="85">
        <v>25</v>
      </c>
      <c r="T288" s="87">
        <v>23</v>
      </c>
      <c r="U288" s="86">
        <v>9</v>
      </c>
      <c r="V288" s="86">
        <v>21</v>
      </c>
      <c r="W288" s="104">
        <f t="shared" si="23"/>
        <v>39</v>
      </c>
      <c r="X288" s="47">
        <v>17</v>
      </c>
      <c r="Y288" s="47">
        <v>112.6</v>
      </c>
      <c r="Z288" s="47" t="s">
        <v>1240</v>
      </c>
      <c r="AA288" s="47">
        <v>49.5</v>
      </c>
      <c r="AB288" s="47">
        <v>16</v>
      </c>
      <c r="AC288" s="18" t="s">
        <v>53</v>
      </c>
      <c r="AD288" s="9">
        <v>-1.8028723849999999</v>
      </c>
      <c r="AE288" s="9">
        <v>0.80604420259999998</v>
      </c>
      <c r="AF288" s="9">
        <v>-1.8028723849999999</v>
      </c>
      <c r="AG288" s="6" t="str">
        <f t="shared" si="20"/>
        <v>Normal</v>
      </c>
      <c r="AH288" s="7" t="str">
        <f t="shared" si="21"/>
        <v>BB Normal</v>
      </c>
      <c r="AI288" s="8" t="str">
        <f t="shared" si="22"/>
        <v>Normal</v>
      </c>
    </row>
    <row r="289" spans="1:35" ht="15.6">
      <c r="A289" s="35"/>
      <c r="B289" s="65" t="s">
        <v>36</v>
      </c>
      <c r="C289" s="65" t="s">
        <v>1333</v>
      </c>
      <c r="D289" s="89" t="s">
        <v>48</v>
      </c>
      <c r="E289" s="78">
        <v>1</v>
      </c>
      <c r="F289" s="47" t="s">
        <v>1334</v>
      </c>
      <c r="G289" s="78" t="s">
        <v>1335</v>
      </c>
      <c r="H289" s="78">
        <v>3</v>
      </c>
      <c r="I289" s="78">
        <v>50</v>
      </c>
      <c r="J289" s="78">
        <v>1</v>
      </c>
      <c r="K289" s="78"/>
      <c r="L289" s="78" t="s">
        <v>1336</v>
      </c>
      <c r="M289" s="91" t="s">
        <v>1337</v>
      </c>
      <c r="N289" s="77" t="s">
        <v>1239</v>
      </c>
      <c r="O289" s="71">
        <v>3</v>
      </c>
      <c r="P289" s="71">
        <v>8</v>
      </c>
      <c r="Q289" s="85">
        <v>4</v>
      </c>
      <c r="R289" s="85">
        <v>1</v>
      </c>
      <c r="S289" s="85">
        <v>25</v>
      </c>
      <c r="T289" s="87">
        <v>15</v>
      </c>
      <c r="U289" s="86">
        <v>10</v>
      </c>
      <c r="V289" s="86">
        <v>21</v>
      </c>
      <c r="W289" s="104">
        <f t="shared" si="23"/>
        <v>38</v>
      </c>
      <c r="X289" s="47">
        <v>12.3</v>
      </c>
      <c r="Y289" s="47">
        <v>95.5</v>
      </c>
      <c r="Z289" s="73" t="s">
        <v>1240</v>
      </c>
      <c r="AA289" s="77">
        <v>49</v>
      </c>
      <c r="AB289" s="77">
        <v>16</v>
      </c>
      <c r="AC289" s="18" t="s">
        <v>53</v>
      </c>
      <c r="AD289" s="9">
        <v>0.48648791860000001</v>
      </c>
      <c r="AE289" s="9">
        <v>0.5394291242</v>
      </c>
      <c r="AF289" s="9">
        <v>0.48648791860000001</v>
      </c>
      <c r="AG289" s="6" t="str">
        <f t="shared" si="20"/>
        <v>Normal</v>
      </c>
      <c r="AH289" s="7" t="str">
        <f t="shared" si="21"/>
        <v>BB Normal</v>
      </c>
      <c r="AI289" s="8" t="str">
        <f t="shared" si="22"/>
        <v>Normal</v>
      </c>
    </row>
    <row r="290" spans="1:35" ht="15.6">
      <c r="A290" s="35"/>
      <c r="B290" s="65" t="s">
        <v>292</v>
      </c>
      <c r="C290" s="65" t="s">
        <v>1338</v>
      </c>
      <c r="D290" s="89" t="s">
        <v>37</v>
      </c>
      <c r="E290" s="78">
        <v>2</v>
      </c>
      <c r="F290" s="47"/>
      <c r="G290" s="78" t="s">
        <v>1339</v>
      </c>
      <c r="H290" s="90">
        <v>45902</v>
      </c>
      <c r="I290" s="78">
        <v>51</v>
      </c>
      <c r="J290" s="78">
        <v>1</v>
      </c>
      <c r="K290" s="78"/>
      <c r="L290" s="78" t="s">
        <v>1340</v>
      </c>
      <c r="M290" s="91" t="s">
        <v>1341</v>
      </c>
      <c r="N290" s="77" t="s">
        <v>1239</v>
      </c>
      <c r="O290" s="71">
        <v>3</v>
      </c>
      <c r="P290" s="71">
        <v>8</v>
      </c>
      <c r="Q290" s="85">
        <v>4</v>
      </c>
      <c r="R290" s="85">
        <v>1</v>
      </c>
      <c r="S290" s="85">
        <v>25</v>
      </c>
      <c r="T290" s="87">
        <v>17</v>
      </c>
      <c r="U290" s="86">
        <v>11</v>
      </c>
      <c r="V290" s="86">
        <v>21</v>
      </c>
      <c r="W290" s="104">
        <f t="shared" si="23"/>
        <v>37</v>
      </c>
      <c r="X290" s="47">
        <v>12.9</v>
      </c>
      <c r="Y290" s="47">
        <v>101.5</v>
      </c>
      <c r="Z290" s="73" t="s">
        <v>1240</v>
      </c>
      <c r="AA290" s="77">
        <v>46.7</v>
      </c>
      <c r="AB290" s="77">
        <v>15.2</v>
      </c>
      <c r="AC290" s="18" t="s">
        <v>53</v>
      </c>
      <c r="AD290" s="9">
        <v>0.33768640329999999</v>
      </c>
      <c r="AE290" s="9">
        <v>-0.55543470009999996</v>
      </c>
      <c r="AF290" s="9">
        <v>0.33768640329999999</v>
      </c>
      <c r="AG290" s="6" t="str">
        <f t="shared" si="20"/>
        <v>Normal</v>
      </c>
      <c r="AH290" s="7" t="str">
        <f t="shared" si="21"/>
        <v>BB Normal</v>
      </c>
      <c r="AI290" s="8" t="str">
        <f t="shared" si="22"/>
        <v>Normal</v>
      </c>
    </row>
    <row r="291" spans="1:35" ht="15.6">
      <c r="A291" s="35"/>
      <c r="B291" s="65" t="s">
        <v>292</v>
      </c>
      <c r="C291" s="65" t="s">
        <v>1342</v>
      </c>
      <c r="D291" s="89" t="s">
        <v>37</v>
      </c>
      <c r="E291" s="78">
        <v>2</v>
      </c>
      <c r="F291" s="47" t="s">
        <v>1343</v>
      </c>
      <c r="G291" s="78" t="s">
        <v>1344</v>
      </c>
      <c r="H291" s="90">
        <v>45902</v>
      </c>
      <c r="I291" s="78">
        <v>49</v>
      </c>
      <c r="J291" s="78">
        <v>1</v>
      </c>
      <c r="K291" s="78"/>
      <c r="L291" s="78" t="s">
        <v>1345</v>
      </c>
      <c r="M291" s="91" t="s">
        <v>1346</v>
      </c>
      <c r="N291" s="77" t="s">
        <v>1239</v>
      </c>
      <c r="O291" s="71">
        <v>4</v>
      </c>
      <c r="P291" s="71">
        <v>8</v>
      </c>
      <c r="Q291" s="85">
        <v>4</v>
      </c>
      <c r="R291" s="85">
        <v>1</v>
      </c>
      <c r="S291" s="85">
        <v>25</v>
      </c>
      <c r="T291" s="87">
        <v>25</v>
      </c>
      <c r="U291" s="86">
        <v>11</v>
      </c>
      <c r="V291" s="86">
        <v>21</v>
      </c>
      <c r="W291" s="104">
        <f t="shared" si="23"/>
        <v>37</v>
      </c>
      <c r="X291" s="47">
        <v>13.2</v>
      </c>
      <c r="Y291" s="47">
        <v>91.7</v>
      </c>
      <c r="Z291" s="73" t="s">
        <v>1240</v>
      </c>
      <c r="AA291" s="77">
        <v>48.6</v>
      </c>
      <c r="AB291" s="77">
        <v>17.100000000000001</v>
      </c>
      <c r="AC291" s="18" t="s">
        <v>53</v>
      </c>
      <c r="AD291" s="9">
        <v>-1.5923322279999999E-2</v>
      </c>
      <c r="AE291" s="9">
        <v>1.2210489099999999</v>
      </c>
      <c r="AF291" s="9">
        <v>-1.5923322279999999E-2</v>
      </c>
      <c r="AG291" s="6" t="str">
        <f t="shared" si="20"/>
        <v>Normal</v>
      </c>
      <c r="AH291" s="7" t="str">
        <f t="shared" si="21"/>
        <v>Ris Lbh</v>
      </c>
      <c r="AI291" s="8" t="str">
        <f t="shared" si="22"/>
        <v>Normal</v>
      </c>
    </row>
    <row r="292" spans="1:35" ht="15.6">
      <c r="A292" s="35"/>
      <c r="B292" s="65" t="s">
        <v>44</v>
      </c>
      <c r="C292" s="65" t="s">
        <v>1347</v>
      </c>
      <c r="D292" s="89" t="s">
        <v>48</v>
      </c>
      <c r="E292" s="78">
        <v>1</v>
      </c>
      <c r="F292" s="47" t="s">
        <v>1348</v>
      </c>
      <c r="G292" s="78" t="s">
        <v>1349</v>
      </c>
      <c r="H292" s="90">
        <v>45691</v>
      </c>
      <c r="I292" s="78">
        <v>50</v>
      </c>
      <c r="J292" s="78">
        <v>1</v>
      </c>
      <c r="K292" s="78"/>
      <c r="L292" s="78" t="s">
        <v>1350</v>
      </c>
      <c r="M292" s="78"/>
      <c r="N292" s="77" t="s">
        <v>1239</v>
      </c>
      <c r="O292" s="71">
        <v>2</v>
      </c>
      <c r="P292" s="71">
        <v>8</v>
      </c>
      <c r="Q292" s="85">
        <v>4</v>
      </c>
      <c r="R292" s="85">
        <v>1</v>
      </c>
      <c r="S292" s="85">
        <v>25</v>
      </c>
      <c r="T292" s="87">
        <v>16</v>
      </c>
      <c r="U292" s="86">
        <v>3</v>
      </c>
      <c r="V292" s="86">
        <v>22</v>
      </c>
      <c r="W292" s="104">
        <f t="shared" si="23"/>
        <v>33</v>
      </c>
      <c r="X292" s="47">
        <v>12.21</v>
      </c>
      <c r="Y292" s="47">
        <v>88.9</v>
      </c>
      <c r="Z292" s="73" t="s">
        <v>1240</v>
      </c>
      <c r="AA292" s="77">
        <v>46.8</v>
      </c>
      <c r="AB292" s="77">
        <v>15.7</v>
      </c>
      <c r="AC292" s="18" t="s">
        <v>53</v>
      </c>
      <c r="AD292" s="9">
        <v>-1.1101762749999999</v>
      </c>
      <c r="AE292" s="9">
        <v>-1.9882001659999999</v>
      </c>
      <c r="AF292" s="9">
        <v>-1.97729029</v>
      </c>
      <c r="AG292" s="6" t="str">
        <f t="shared" si="20"/>
        <v>Normal</v>
      </c>
      <c r="AH292" s="7" t="str">
        <f t="shared" si="21"/>
        <v>BB Normal</v>
      </c>
      <c r="AI292" s="8" t="str">
        <f t="shared" si="22"/>
        <v>Normal</v>
      </c>
    </row>
    <row r="293" spans="1:35" ht="15.6">
      <c r="A293" s="35"/>
      <c r="B293" s="65" t="s">
        <v>36</v>
      </c>
      <c r="C293" s="65" t="s">
        <v>1351</v>
      </c>
      <c r="D293" s="89" t="s">
        <v>48</v>
      </c>
      <c r="E293" s="78">
        <v>1</v>
      </c>
      <c r="F293" s="47" t="s">
        <v>1352</v>
      </c>
      <c r="G293" s="78" t="s">
        <v>1353</v>
      </c>
      <c r="H293" s="90">
        <v>45719</v>
      </c>
      <c r="I293" s="78">
        <v>50</v>
      </c>
      <c r="J293" s="78">
        <v>1</v>
      </c>
      <c r="K293" s="78"/>
      <c r="L293" s="78" t="s">
        <v>1354</v>
      </c>
      <c r="M293" s="78"/>
      <c r="N293" s="77" t="s">
        <v>1239</v>
      </c>
      <c r="O293" s="71">
        <v>3</v>
      </c>
      <c r="P293" s="71">
        <v>8</v>
      </c>
      <c r="Q293" s="85">
        <v>4</v>
      </c>
      <c r="R293" s="85">
        <v>1</v>
      </c>
      <c r="S293" s="85">
        <v>25</v>
      </c>
      <c r="T293" s="87">
        <v>18</v>
      </c>
      <c r="U293" s="86">
        <v>3</v>
      </c>
      <c r="V293" s="86">
        <v>22</v>
      </c>
      <c r="W293" s="104">
        <f t="shared" si="23"/>
        <v>33</v>
      </c>
      <c r="X293" s="47">
        <v>15.5</v>
      </c>
      <c r="Y293" s="47">
        <v>95.7</v>
      </c>
      <c r="Z293" s="73" t="s">
        <v>1240</v>
      </c>
      <c r="AA293" s="77">
        <v>48.2</v>
      </c>
      <c r="AB293" s="77">
        <v>17.100000000000001</v>
      </c>
      <c r="AC293" s="18" t="s">
        <v>53</v>
      </c>
      <c r="AD293" s="9">
        <v>-0.3133050946</v>
      </c>
      <c r="AE293" s="9">
        <v>1.528914103E-2</v>
      </c>
      <c r="AF293" s="9">
        <v>0.32543580290000002</v>
      </c>
      <c r="AG293" s="6" t="str">
        <f t="shared" si="20"/>
        <v>Normal</v>
      </c>
      <c r="AH293" s="7" t="str">
        <f t="shared" si="21"/>
        <v>BB Normal</v>
      </c>
      <c r="AI293" s="8" t="str">
        <f t="shared" si="22"/>
        <v>Normal</v>
      </c>
    </row>
    <row r="294" spans="1:35" ht="15.6">
      <c r="A294" s="35"/>
      <c r="B294" s="65" t="s">
        <v>36</v>
      </c>
      <c r="C294" s="65" t="s">
        <v>1355</v>
      </c>
      <c r="D294" s="89" t="s">
        <v>37</v>
      </c>
      <c r="E294" s="78">
        <v>2</v>
      </c>
      <c r="F294" s="47" t="s">
        <v>1356</v>
      </c>
      <c r="G294" s="78" t="s">
        <v>1357</v>
      </c>
      <c r="H294" s="78">
        <v>3</v>
      </c>
      <c r="I294" s="78">
        <v>49</v>
      </c>
      <c r="J294" s="78">
        <v>1</v>
      </c>
      <c r="K294" s="78"/>
      <c r="L294" s="78" t="s">
        <v>1358</v>
      </c>
      <c r="M294" s="78"/>
      <c r="N294" s="77" t="s">
        <v>1239</v>
      </c>
      <c r="O294" s="71">
        <v>4</v>
      </c>
      <c r="P294" s="71">
        <v>8</v>
      </c>
      <c r="Q294" s="85">
        <v>4</v>
      </c>
      <c r="R294" s="85">
        <v>1</v>
      </c>
      <c r="S294" s="85">
        <v>25</v>
      </c>
      <c r="T294" s="87">
        <v>6</v>
      </c>
      <c r="U294" s="86">
        <v>3</v>
      </c>
      <c r="V294" s="86">
        <v>22</v>
      </c>
      <c r="W294" s="104">
        <f t="shared" si="23"/>
        <v>33</v>
      </c>
      <c r="X294" s="47">
        <v>10.1</v>
      </c>
      <c r="Y294" s="47">
        <v>91.5</v>
      </c>
      <c r="Z294" s="73" t="s">
        <v>1240</v>
      </c>
      <c r="AA294" s="77">
        <v>46</v>
      </c>
      <c r="AB294" s="77">
        <v>14.6</v>
      </c>
      <c r="AC294" s="18" t="s">
        <v>53</v>
      </c>
      <c r="AD294" s="9">
        <v>-0.44386636089999998</v>
      </c>
      <c r="AE294" s="9">
        <v>-0.62439422590000004</v>
      </c>
      <c r="AF294" s="9">
        <v>-0.54481594249999998</v>
      </c>
      <c r="AG294" s="6" t="str">
        <f t="shared" si="20"/>
        <v>Normal</v>
      </c>
      <c r="AH294" s="7" t="str">
        <f t="shared" si="21"/>
        <v>BB Normal</v>
      </c>
      <c r="AI294" s="8" t="str">
        <f t="shared" si="22"/>
        <v>Normal</v>
      </c>
    </row>
    <row r="295" spans="1:35" ht="15.6">
      <c r="A295" s="35"/>
      <c r="B295" s="65" t="s">
        <v>44</v>
      </c>
      <c r="C295" s="65" t="s">
        <v>1359</v>
      </c>
      <c r="D295" s="89" t="s">
        <v>48</v>
      </c>
      <c r="E295" s="78">
        <v>1</v>
      </c>
      <c r="F295" s="47" t="s">
        <v>1360</v>
      </c>
      <c r="G295" s="78" t="s">
        <v>1361</v>
      </c>
      <c r="H295" s="90">
        <v>45691</v>
      </c>
      <c r="I295" s="78">
        <v>50</v>
      </c>
      <c r="J295" s="78">
        <v>1</v>
      </c>
      <c r="K295" s="78"/>
      <c r="L295" s="78" t="s">
        <v>1362</v>
      </c>
      <c r="M295" s="78"/>
      <c r="N295" s="77" t="s">
        <v>1239</v>
      </c>
      <c r="O295" s="71">
        <v>1</v>
      </c>
      <c r="P295" s="71">
        <v>8</v>
      </c>
      <c r="Q295" s="85">
        <v>4</v>
      </c>
      <c r="R295" s="85">
        <v>1</v>
      </c>
      <c r="S295" s="85">
        <v>25</v>
      </c>
      <c r="T295" s="87">
        <v>8</v>
      </c>
      <c r="U295" s="86">
        <v>4</v>
      </c>
      <c r="V295" s="86">
        <v>22</v>
      </c>
      <c r="W295" s="104">
        <f t="shared" si="23"/>
        <v>32</v>
      </c>
      <c r="X295" s="47">
        <v>13</v>
      </c>
      <c r="Y295" s="47">
        <v>94.5</v>
      </c>
      <c r="Z295" s="73" t="s">
        <v>1240</v>
      </c>
      <c r="AA295" s="77">
        <v>47</v>
      </c>
      <c r="AB295" s="77">
        <v>16</v>
      </c>
      <c r="AC295" s="18" t="s">
        <v>53</v>
      </c>
      <c r="AD295" s="9">
        <v>-0.43918188689999998</v>
      </c>
      <c r="AE295" s="9">
        <v>-1.3171745909999999</v>
      </c>
      <c r="AF295" s="9">
        <v>-1.642726482</v>
      </c>
      <c r="AG295" s="6" t="str">
        <f t="shared" si="20"/>
        <v>Normal</v>
      </c>
      <c r="AH295" s="7" t="str">
        <f t="shared" si="21"/>
        <v>BB Normal</v>
      </c>
      <c r="AI295" s="8" t="str">
        <f t="shared" si="22"/>
        <v>Normal</v>
      </c>
    </row>
    <row r="296" spans="1:35" ht="15.6">
      <c r="A296" s="35"/>
      <c r="B296" s="65" t="s">
        <v>36</v>
      </c>
      <c r="C296" s="65" t="s">
        <v>1363</v>
      </c>
      <c r="D296" s="89" t="s">
        <v>48</v>
      </c>
      <c r="E296" s="78">
        <v>1</v>
      </c>
      <c r="F296" s="47" t="s">
        <v>1364</v>
      </c>
      <c r="G296" s="78" t="s">
        <v>1365</v>
      </c>
      <c r="H296" s="90">
        <v>45660</v>
      </c>
      <c r="I296" s="78">
        <v>50</v>
      </c>
      <c r="J296" s="78">
        <v>1</v>
      </c>
      <c r="K296" s="78"/>
      <c r="L296" s="78" t="s">
        <v>1255</v>
      </c>
      <c r="M296" s="91" t="s">
        <v>1256</v>
      </c>
      <c r="N296" s="77" t="s">
        <v>1239</v>
      </c>
      <c r="O296" s="71">
        <v>3</v>
      </c>
      <c r="P296" s="71">
        <v>8</v>
      </c>
      <c r="Q296" s="85">
        <v>4</v>
      </c>
      <c r="R296" s="85">
        <v>1</v>
      </c>
      <c r="S296" s="85">
        <v>25</v>
      </c>
      <c r="T296" s="87">
        <v>31</v>
      </c>
      <c r="U296" s="86">
        <v>5</v>
      </c>
      <c r="V296" s="86">
        <v>22</v>
      </c>
      <c r="W296" s="104">
        <f t="shared" si="23"/>
        <v>31</v>
      </c>
      <c r="X296" s="47">
        <v>11.93</v>
      </c>
      <c r="Y296" s="47">
        <v>87.4</v>
      </c>
      <c r="Z296" s="73" t="s">
        <v>1240</v>
      </c>
      <c r="AA296" s="77">
        <v>50.4</v>
      </c>
      <c r="AB296" s="77">
        <v>15.6</v>
      </c>
      <c r="AC296" s="18" t="s">
        <v>53</v>
      </c>
      <c r="AD296" s="9">
        <v>24.162095220000001</v>
      </c>
      <c r="AE296" s="9">
        <v>-0.54484065140000004</v>
      </c>
      <c r="AF296" s="9">
        <v>-1.955509267E-2</v>
      </c>
      <c r="AG296" s="6" t="str">
        <f t="shared" si="20"/>
        <v>Tinggi</v>
      </c>
      <c r="AH296" s="7" t="str">
        <f t="shared" si="21"/>
        <v>BB Normal</v>
      </c>
      <c r="AI296" s="8" t="str">
        <f t="shared" si="22"/>
        <v>Normal</v>
      </c>
    </row>
    <row r="297" spans="1:35" ht="15.6">
      <c r="A297" s="35"/>
      <c r="B297" s="65" t="s">
        <v>44</v>
      </c>
      <c r="C297" s="65" t="s">
        <v>1366</v>
      </c>
      <c r="D297" s="89" t="s">
        <v>48</v>
      </c>
      <c r="E297" s="78">
        <v>1</v>
      </c>
      <c r="F297" s="47" t="s">
        <v>1367</v>
      </c>
      <c r="G297" s="78" t="s">
        <v>1368</v>
      </c>
      <c r="H297" s="90">
        <v>45691</v>
      </c>
      <c r="I297" s="78">
        <v>51</v>
      </c>
      <c r="J297" s="78">
        <v>1</v>
      </c>
      <c r="K297" s="78"/>
      <c r="L297" s="78" t="s">
        <v>1369</v>
      </c>
      <c r="M297" s="78"/>
      <c r="N297" s="77" t="s">
        <v>1239</v>
      </c>
      <c r="O297" s="71">
        <v>3</v>
      </c>
      <c r="P297" s="71">
        <v>8</v>
      </c>
      <c r="Q297" s="85">
        <v>4</v>
      </c>
      <c r="R297" s="85">
        <v>1</v>
      </c>
      <c r="S297" s="85">
        <v>25</v>
      </c>
      <c r="T297" s="87">
        <v>1</v>
      </c>
      <c r="U297" s="86">
        <v>5</v>
      </c>
      <c r="V297" s="86">
        <v>22</v>
      </c>
      <c r="W297" s="30">
        <f t="shared" si="23"/>
        <v>32</v>
      </c>
      <c r="X297" s="78">
        <v>14.3</v>
      </c>
      <c r="Y297" s="77">
        <v>91.8</v>
      </c>
      <c r="Z297" s="47" t="s">
        <v>1240</v>
      </c>
      <c r="AA297" s="77">
        <v>50.8</v>
      </c>
      <c r="AB297" s="77">
        <v>17.8</v>
      </c>
      <c r="AC297" s="18" t="s">
        <v>53</v>
      </c>
      <c r="AD297" s="9">
        <v>20.42641995</v>
      </c>
      <c r="AE297" s="9">
        <v>-1.519655771</v>
      </c>
      <c r="AF297" s="9">
        <v>-1.632755814</v>
      </c>
      <c r="AG297" s="6" t="str">
        <f t="shared" si="20"/>
        <v>Tinggi</v>
      </c>
      <c r="AH297" s="7" t="str">
        <f t="shared" si="21"/>
        <v>BB Normal</v>
      </c>
      <c r="AI297" s="8" t="str">
        <f t="shared" si="22"/>
        <v>Normal</v>
      </c>
    </row>
    <row r="298" spans="1:35" ht="15.6">
      <c r="A298" s="35"/>
      <c r="B298" s="65" t="s">
        <v>198</v>
      </c>
      <c r="C298" s="65" t="s">
        <v>1161</v>
      </c>
      <c r="D298" s="89" t="s">
        <v>48</v>
      </c>
      <c r="E298" s="78">
        <v>1</v>
      </c>
      <c r="F298" s="47"/>
      <c r="G298" s="78" t="s">
        <v>1370</v>
      </c>
      <c r="H298" s="78"/>
      <c r="I298" s="78"/>
      <c r="J298" s="78">
        <v>1</v>
      </c>
      <c r="K298" s="78"/>
      <c r="L298" s="78" t="s">
        <v>1371</v>
      </c>
      <c r="M298" s="78"/>
      <c r="N298" s="77" t="s">
        <v>1239</v>
      </c>
      <c r="O298" s="71">
        <v>3</v>
      </c>
      <c r="P298" s="71">
        <v>8</v>
      </c>
      <c r="Q298" s="85">
        <v>4</v>
      </c>
      <c r="R298" s="85">
        <v>1</v>
      </c>
      <c r="S298" s="85">
        <v>25</v>
      </c>
      <c r="T298" s="87">
        <v>2</v>
      </c>
      <c r="U298" s="86">
        <v>5</v>
      </c>
      <c r="V298" s="86">
        <v>22</v>
      </c>
      <c r="W298" s="30">
        <f t="shared" si="23"/>
        <v>32</v>
      </c>
      <c r="X298" s="78">
        <v>6.92</v>
      </c>
      <c r="Y298" s="77">
        <v>68.5</v>
      </c>
      <c r="Z298" s="77" t="s">
        <v>131</v>
      </c>
      <c r="AA298" s="77"/>
      <c r="AB298" s="77"/>
      <c r="AC298" s="18" t="s">
        <v>53</v>
      </c>
      <c r="AD298" s="9">
        <v>18.310755539999999</v>
      </c>
      <c r="AE298" s="9">
        <v>-1.489707004</v>
      </c>
      <c r="AF298" s="9">
        <v>-0.22259590439999999</v>
      </c>
      <c r="AG298" s="6" t="str">
        <f t="shared" si="20"/>
        <v>Tinggi</v>
      </c>
      <c r="AH298" s="7" t="str">
        <f t="shared" si="21"/>
        <v>BB Normal</v>
      </c>
      <c r="AI298" s="8" t="str">
        <f t="shared" si="22"/>
        <v>Normal</v>
      </c>
    </row>
    <row r="299" spans="1:35" ht="15.6">
      <c r="A299" s="35"/>
      <c r="B299" s="65" t="s">
        <v>36</v>
      </c>
      <c r="C299" s="67" t="s">
        <v>1372</v>
      </c>
      <c r="D299" s="89" t="s">
        <v>37</v>
      </c>
      <c r="E299" s="78">
        <v>2</v>
      </c>
      <c r="F299" s="47" t="s">
        <v>1373</v>
      </c>
      <c r="G299" s="78" t="s">
        <v>1374</v>
      </c>
      <c r="H299" s="78">
        <v>3</v>
      </c>
      <c r="I299" s="78">
        <v>52</v>
      </c>
      <c r="J299" s="78">
        <v>1</v>
      </c>
      <c r="K299" s="78"/>
      <c r="L299" s="78" t="s">
        <v>1375</v>
      </c>
      <c r="M299" s="91" t="s">
        <v>1376</v>
      </c>
      <c r="N299" s="77" t="s">
        <v>1239</v>
      </c>
      <c r="O299" s="71">
        <v>4</v>
      </c>
      <c r="P299" s="71">
        <v>8</v>
      </c>
      <c r="Q299" s="85">
        <v>4</v>
      </c>
      <c r="R299" s="85">
        <v>1</v>
      </c>
      <c r="S299" s="85">
        <v>25</v>
      </c>
      <c r="T299" s="87">
        <v>16</v>
      </c>
      <c r="U299" s="86">
        <v>8</v>
      </c>
      <c r="V299" s="86">
        <v>22</v>
      </c>
      <c r="W299" s="30">
        <f t="shared" si="23"/>
        <v>28</v>
      </c>
      <c r="X299" s="78">
        <v>10.55</v>
      </c>
      <c r="Y299" s="69">
        <v>87.5</v>
      </c>
      <c r="Z299" s="47" t="s">
        <v>1240</v>
      </c>
      <c r="AA299" s="69">
        <v>48.5</v>
      </c>
      <c r="AB299" s="69">
        <v>14</v>
      </c>
      <c r="AC299" s="18" t="s">
        <v>53</v>
      </c>
      <c r="AD299" s="9">
        <v>-1.536101699</v>
      </c>
      <c r="AE299" s="9">
        <v>-2.9658841790000001</v>
      </c>
      <c r="AF299" s="9">
        <v>-3.129825447</v>
      </c>
      <c r="AG299" s="6" t="str">
        <f t="shared" si="20"/>
        <v>Normal</v>
      </c>
      <c r="AH299" s="7" t="str">
        <f t="shared" si="21"/>
        <v>BB Krg</v>
      </c>
      <c r="AI299" s="8" t="str">
        <f t="shared" si="22"/>
        <v>Gz.Brk</v>
      </c>
    </row>
    <row r="300" spans="1:35" ht="15.6">
      <c r="A300" s="35"/>
      <c r="B300" s="65" t="s">
        <v>44</v>
      </c>
      <c r="C300" s="67" t="s">
        <v>1377</v>
      </c>
      <c r="D300" s="89" t="s">
        <v>37</v>
      </c>
      <c r="E300" s="78">
        <v>2</v>
      </c>
      <c r="F300" s="47" t="s">
        <v>1378</v>
      </c>
      <c r="G300" s="78" t="s">
        <v>1379</v>
      </c>
      <c r="H300" s="78">
        <v>3.3</v>
      </c>
      <c r="I300" s="78">
        <v>52</v>
      </c>
      <c r="J300" s="78">
        <v>1</v>
      </c>
      <c r="K300" s="78"/>
      <c r="L300" s="78" t="s">
        <v>1380</v>
      </c>
      <c r="M300" s="91" t="s">
        <v>1381</v>
      </c>
      <c r="N300" s="77" t="s">
        <v>1239</v>
      </c>
      <c r="O300" s="71">
        <v>2</v>
      </c>
      <c r="P300" s="71">
        <v>8</v>
      </c>
      <c r="Q300" s="85">
        <v>4</v>
      </c>
      <c r="R300" s="85">
        <v>1</v>
      </c>
      <c r="S300" s="85">
        <v>25</v>
      </c>
      <c r="T300" s="87">
        <v>27</v>
      </c>
      <c r="U300" s="86">
        <v>8</v>
      </c>
      <c r="V300" s="86">
        <v>22</v>
      </c>
      <c r="W300" s="30">
        <f t="shared" si="23"/>
        <v>28</v>
      </c>
      <c r="X300" s="78">
        <v>11.55</v>
      </c>
      <c r="Y300" s="47">
        <v>92</v>
      </c>
      <c r="Z300" s="47" t="s">
        <v>1240</v>
      </c>
      <c r="AA300" s="47">
        <v>53</v>
      </c>
      <c r="AB300" s="47">
        <v>18</v>
      </c>
      <c r="AC300" s="18" t="s">
        <v>53</v>
      </c>
      <c r="AD300" s="9">
        <v>-1.104185038</v>
      </c>
      <c r="AE300" s="9">
        <v>-1.7056263519999999</v>
      </c>
      <c r="AF300" s="9">
        <v>-1.647633229</v>
      </c>
      <c r="AG300" s="6" t="str">
        <f t="shared" si="20"/>
        <v>Normal</v>
      </c>
      <c r="AH300" s="7" t="str">
        <f t="shared" si="21"/>
        <v>BB Normal</v>
      </c>
      <c r="AI300" s="8" t="str">
        <f t="shared" si="22"/>
        <v>Normal</v>
      </c>
    </row>
    <row r="301" spans="1:35" ht="15.6">
      <c r="A301" s="35"/>
      <c r="B301" s="65" t="s">
        <v>292</v>
      </c>
      <c r="C301" s="67" t="s">
        <v>1382</v>
      </c>
      <c r="D301" s="89" t="s">
        <v>48</v>
      </c>
      <c r="E301" s="78">
        <v>1</v>
      </c>
      <c r="F301" s="47"/>
      <c r="G301" s="78" t="s">
        <v>1383</v>
      </c>
      <c r="H301" s="78">
        <v>2.9</v>
      </c>
      <c r="I301" s="78">
        <v>49</v>
      </c>
      <c r="J301" s="78">
        <v>1</v>
      </c>
      <c r="K301" s="78"/>
      <c r="L301" s="78" t="s">
        <v>1384</v>
      </c>
      <c r="M301" s="91" t="s">
        <v>1385</v>
      </c>
      <c r="N301" s="77" t="s">
        <v>1239</v>
      </c>
      <c r="O301" s="71">
        <v>3</v>
      </c>
      <c r="P301" s="71">
        <v>8</v>
      </c>
      <c r="Q301" s="85">
        <v>4</v>
      </c>
      <c r="R301" s="85">
        <v>1</v>
      </c>
      <c r="S301" s="85">
        <v>25</v>
      </c>
      <c r="T301" s="87">
        <v>10</v>
      </c>
      <c r="U301" s="86">
        <v>9</v>
      </c>
      <c r="V301" s="86">
        <v>22</v>
      </c>
      <c r="W301" s="30">
        <f t="shared" si="23"/>
        <v>27</v>
      </c>
      <c r="X301" s="78">
        <v>10.7</v>
      </c>
      <c r="Y301" s="47">
        <v>87.5</v>
      </c>
      <c r="Z301" s="47" t="s">
        <v>1240</v>
      </c>
      <c r="AA301" s="47">
        <v>48</v>
      </c>
      <c r="AB301" s="47">
        <v>14.5</v>
      </c>
      <c r="AC301" s="18" t="s">
        <v>53</v>
      </c>
      <c r="AD301" s="9">
        <v>8.2254192899999995E-2</v>
      </c>
      <c r="AE301" s="9">
        <v>-1.694545524</v>
      </c>
      <c r="AF301" s="9">
        <v>-2.556259448</v>
      </c>
      <c r="AG301" s="6" t="str">
        <f t="shared" si="20"/>
        <v>Normal</v>
      </c>
      <c r="AH301" s="7" t="str">
        <f t="shared" si="21"/>
        <v>BB Normal</v>
      </c>
      <c r="AI301" s="8" t="str">
        <f t="shared" si="22"/>
        <v>Gz.Krg</v>
      </c>
    </row>
    <row r="302" spans="1:35" ht="15.6">
      <c r="A302" s="35"/>
      <c r="B302" s="65" t="s">
        <v>198</v>
      </c>
      <c r="C302" s="67" t="s">
        <v>1386</v>
      </c>
      <c r="D302" s="89" t="s">
        <v>37</v>
      </c>
      <c r="E302" s="78">
        <v>2</v>
      </c>
      <c r="F302" s="47" t="s">
        <v>1387</v>
      </c>
      <c r="G302" s="77" t="s">
        <v>1388</v>
      </c>
      <c r="H302" s="77">
        <v>2.9</v>
      </c>
      <c r="I302" s="77">
        <v>51</v>
      </c>
      <c r="J302" s="77">
        <v>1</v>
      </c>
      <c r="K302" s="77"/>
      <c r="L302" s="77" t="s">
        <v>1389</v>
      </c>
      <c r="M302" s="105" t="s">
        <v>1390</v>
      </c>
      <c r="N302" s="77" t="s">
        <v>1239</v>
      </c>
      <c r="O302" s="71">
        <v>3</v>
      </c>
      <c r="P302" s="71">
        <v>8</v>
      </c>
      <c r="Q302" s="85">
        <v>4</v>
      </c>
      <c r="R302" s="85">
        <v>1</v>
      </c>
      <c r="S302" s="85">
        <v>25</v>
      </c>
      <c r="T302" s="87">
        <v>15</v>
      </c>
      <c r="U302" s="86">
        <v>9</v>
      </c>
      <c r="V302" s="86">
        <v>22</v>
      </c>
      <c r="W302" s="30">
        <f t="shared" si="23"/>
        <v>27</v>
      </c>
      <c r="X302" s="78">
        <v>10.97</v>
      </c>
      <c r="Y302" s="69">
        <v>82.5</v>
      </c>
      <c r="Z302" s="47" t="s">
        <v>1240</v>
      </c>
      <c r="AA302" s="69">
        <v>47.5</v>
      </c>
      <c r="AB302" s="69">
        <v>17.5</v>
      </c>
      <c r="AC302" s="18" t="s">
        <v>53</v>
      </c>
      <c r="AD302" s="9">
        <v>-0.30166111309999999</v>
      </c>
      <c r="AE302" s="9">
        <v>-0.99229210339999996</v>
      </c>
      <c r="AF302" s="9">
        <v>-1.1864656499999999</v>
      </c>
      <c r="AG302" s="6" t="str">
        <f t="shared" si="20"/>
        <v>Normal</v>
      </c>
      <c r="AH302" s="7" t="str">
        <f t="shared" si="21"/>
        <v>BB Normal</v>
      </c>
      <c r="AI302" s="8" t="str">
        <f t="shared" si="22"/>
        <v>Normal</v>
      </c>
    </row>
    <row r="303" spans="1:35" ht="15.6">
      <c r="A303" s="35"/>
      <c r="B303" s="65" t="s">
        <v>44</v>
      </c>
      <c r="C303" s="67" t="s">
        <v>1391</v>
      </c>
      <c r="D303" s="89" t="s">
        <v>48</v>
      </c>
      <c r="E303" s="78">
        <v>1</v>
      </c>
      <c r="F303" s="47" t="s">
        <v>1392</v>
      </c>
      <c r="G303" s="78" t="s">
        <v>1393</v>
      </c>
      <c r="H303" s="78">
        <v>3.1</v>
      </c>
      <c r="I303" s="78">
        <v>50</v>
      </c>
      <c r="J303" s="78">
        <v>1</v>
      </c>
      <c r="K303" s="78"/>
      <c r="L303" s="78" t="s">
        <v>1394</v>
      </c>
      <c r="M303" s="78"/>
      <c r="N303" s="77" t="s">
        <v>1239</v>
      </c>
      <c r="O303" s="71">
        <v>2</v>
      </c>
      <c r="P303" s="71">
        <v>8</v>
      </c>
      <c r="Q303" s="85">
        <v>4</v>
      </c>
      <c r="R303" s="85">
        <v>1</v>
      </c>
      <c r="S303" s="85">
        <v>25</v>
      </c>
      <c r="T303" s="87">
        <v>30</v>
      </c>
      <c r="U303" s="86">
        <v>10</v>
      </c>
      <c r="V303" s="86">
        <v>22</v>
      </c>
      <c r="W303" s="30">
        <f t="shared" si="23"/>
        <v>26</v>
      </c>
      <c r="X303" s="78">
        <v>10.1</v>
      </c>
      <c r="Y303" s="77">
        <v>83.3</v>
      </c>
      <c r="Z303" s="47" t="s">
        <v>1240</v>
      </c>
      <c r="AA303" s="77">
        <v>47.2</v>
      </c>
      <c r="AB303" s="77">
        <v>15.1</v>
      </c>
      <c r="AC303" s="18" t="s">
        <v>53</v>
      </c>
      <c r="AD303" s="9">
        <v>-1.4241406400000001</v>
      </c>
      <c r="AE303" s="9">
        <v>-2.4405333279999999</v>
      </c>
      <c r="AF303" s="9">
        <v>-2.4127376300000001</v>
      </c>
      <c r="AG303" s="6" t="str">
        <f t="shared" si="20"/>
        <v>Normal</v>
      </c>
      <c r="AH303" s="7" t="str">
        <f t="shared" si="21"/>
        <v>BB Krg</v>
      </c>
      <c r="AI303" s="8" t="str">
        <f t="shared" si="22"/>
        <v>Gz.Krg</v>
      </c>
    </row>
    <row r="304" spans="1:35" ht="15.6">
      <c r="A304" s="35"/>
      <c r="B304" s="65" t="s">
        <v>36</v>
      </c>
      <c r="C304" s="67" t="s">
        <v>1395</v>
      </c>
      <c r="D304" s="89" t="s">
        <v>37</v>
      </c>
      <c r="E304" s="78">
        <v>2</v>
      </c>
      <c r="F304" s="47" t="s">
        <v>1396</v>
      </c>
      <c r="G304" s="78" t="s">
        <v>1397</v>
      </c>
      <c r="H304" s="78">
        <v>3.1</v>
      </c>
      <c r="I304" s="78">
        <v>50</v>
      </c>
      <c r="J304" s="78">
        <v>1</v>
      </c>
      <c r="K304" s="78"/>
      <c r="L304" s="78" t="s">
        <v>1398</v>
      </c>
      <c r="M304" s="91" t="s">
        <v>1399</v>
      </c>
      <c r="N304" s="77" t="s">
        <v>1239</v>
      </c>
      <c r="O304" s="71">
        <v>4</v>
      </c>
      <c r="P304" s="71">
        <v>8</v>
      </c>
      <c r="Q304" s="85">
        <v>4</v>
      </c>
      <c r="R304" s="85">
        <v>1</v>
      </c>
      <c r="S304" s="85">
        <v>25</v>
      </c>
      <c r="T304" s="87">
        <v>22</v>
      </c>
      <c r="U304" s="86">
        <v>10</v>
      </c>
      <c r="V304" s="86">
        <v>22</v>
      </c>
      <c r="W304" s="30">
        <f t="shared" si="23"/>
        <v>26</v>
      </c>
      <c r="X304" s="78">
        <v>10.199999999999999</v>
      </c>
      <c r="Y304" s="77">
        <v>83.8</v>
      </c>
      <c r="Z304" s="47" t="s">
        <v>1240</v>
      </c>
      <c r="AA304" s="77">
        <v>45.5</v>
      </c>
      <c r="AB304" s="77">
        <v>15</v>
      </c>
      <c r="AC304" s="18" t="s">
        <v>53</v>
      </c>
      <c r="AD304" s="9">
        <v>-0.98674524129999996</v>
      </c>
      <c r="AE304" s="9">
        <v>0.68580525619999999</v>
      </c>
      <c r="AF304" s="9">
        <v>1.6301473719999999</v>
      </c>
      <c r="AG304" s="6" t="str">
        <f t="shared" si="20"/>
        <v>Normal</v>
      </c>
      <c r="AH304" s="7" t="str">
        <f t="shared" si="21"/>
        <v>BB Normal</v>
      </c>
      <c r="AI304" s="8" t="str">
        <f t="shared" si="22"/>
        <v>R.Gz.Lbh</v>
      </c>
    </row>
    <row r="305" spans="1:35" ht="15.6">
      <c r="A305" s="35"/>
      <c r="B305" s="65" t="s">
        <v>36</v>
      </c>
      <c r="C305" s="67" t="s">
        <v>521</v>
      </c>
      <c r="D305" s="89" t="s">
        <v>37</v>
      </c>
      <c r="E305" s="78">
        <v>2</v>
      </c>
      <c r="F305" s="47" t="s">
        <v>1400</v>
      </c>
      <c r="G305" s="78" t="s">
        <v>1401</v>
      </c>
      <c r="H305" s="90">
        <v>45902</v>
      </c>
      <c r="I305" s="78">
        <v>50</v>
      </c>
      <c r="J305" s="78">
        <v>1</v>
      </c>
      <c r="K305" s="78"/>
      <c r="L305" s="78" t="s">
        <v>1402</v>
      </c>
      <c r="M305" s="91" t="s">
        <v>1403</v>
      </c>
      <c r="N305" s="77" t="s">
        <v>1239</v>
      </c>
      <c r="O305" s="71">
        <v>4</v>
      </c>
      <c r="P305" s="71">
        <v>8</v>
      </c>
      <c r="Q305" s="85">
        <v>4</v>
      </c>
      <c r="R305" s="85">
        <v>1</v>
      </c>
      <c r="S305" s="85">
        <v>25</v>
      </c>
      <c r="T305" s="87">
        <v>10</v>
      </c>
      <c r="U305" s="86">
        <v>11</v>
      </c>
      <c r="V305" s="86">
        <v>22</v>
      </c>
      <c r="W305" s="30">
        <f t="shared" si="23"/>
        <v>25</v>
      </c>
      <c r="X305" s="78">
        <v>12</v>
      </c>
      <c r="Y305" s="77">
        <v>84</v>
      </c>
      <c r="Z305" s="47" t="s">
        <v>1240</v>
      </c>
      <c r="AA305" s="77">
        <v>50.5</v>
      </c>
      <c r="AB305" s="77">
        <v>17.5</v>
      </c>
      <c r="AC305" s="18" t="s">
        <v>53</v>
      </c>
      <c r="AD305" s="9">
        <v>1.029388008E-2</v>
      </c>
      <c r="AE305" s="9">
        <v>0.2384711092</v>
      </c>
      <c r="AF305" s="9">
        <v>0.30854749770000001</v>
      </c>
      <c r="AG305" s="6" t="str">
        <f t="shared" si="20"/>
        <v>Normal</v>
      </c>
      <c r="AH305" s="7" t="str">
        <f t="shared" si="21"/>
        <v>BB Normal</v>
      </c>
      <c r="AI305" s="8" t="str">
        <f t="shared" si="22"/>
        <v>Normal</v>
      </c>
    </row>
    <row r="306" spans="1:35" ht="15.6">
      <c r="A306" s="35"/>
      <c r="B306" s="65"/>
      <c r="C306" s="67" t="s">
        <v>1404</v>
      </c>
      <c r="D306" s="89" t="s">
        <v>48</v>
      </c>
      <c r="E306" s="78">
        <v>1</v>
      </c>
      <c r="F306" s="49" t="s">
        <v>1405</v>
      </c>
      <c r="G306" s="78" t="s">
        <v>1406</v>
      </c>
      <c r="H306" s="78">
        <v>3.1</v>
      </c>
      <c r="I306" s="78">
        <v>50</v>
      </c>
      <c r="J306" s="78">
        <v>1</v>
      </c>
      <c r="K306" s="78"/>
      <c r="L306" s="78" t="s">
        <v>1407</v>
      </c>
      <c r="M306" s="78" t="s">
        <v>1408</v>
      </c>
      <c r="N306" s="77" t="s">
        <v>1239</v>
      </c>
      <c r="O306" s="71">
        <v>2</v>
      </c>
      <c r="P306" s="71">
        <v>8</v>
      </c>
      <c r="Q306" s="85">
        <v>4</v>
      </c>
      <c r="R306" s="85">
        <v>1</v>
      </c>
      <c r="S306" s="85">
        <v>25</v>
      </c>
      <c r="T306" s="87">
        <v>29</v>
      </c>
      <c r="U306" s="86">
        <v>11</v>
      </c>
      <c r="V306" s="86">
        <v>22</v>
      </c>
      <c r="W306" s="30">
        <f t="shared" si="23"/>
        <v>25</v>
      </c>
      <c r="X306" s="78">
        <v>10.3</v>
      </c>
      <c r="Y306" s="77">
        <v>84.2</v>
      </c>
      <c r="Z306" s="47" t="s">
        <v>1240</v>
      </c>
      <c r="AA306" s="77">
        <v>49.3</v>
      </c>
      <c r="AB306" s="77">
        <v>16</v>
      </c>
      <c r="AC306" s="18" t="s">
        <v>53</v>
      </c>
      <c r="AD306" s="9">
        <v>-0.78551049969999998</v>
      </c>
      <c r="AE306" s="9">
        <v>-1.8611162889999999</v>
      </c>
      <c r="AF306" s="9">
        <v>-2.008396517</v>
      </c>
      <c r="AG306" s="6" t="str">
        <f t="shared" si="20"/>
        <v>Normal</v>
      </c>
      <c r="AH306" s="7" t="str">
        <f t="shared" si="21"/>
        <v>BB Normal</v>
      </c>
      <c r="AI306" s="8" t="str">
        <f t="shared" si="22"/>
        <v>Gz.Krg</v>
      </c>
    </row>
    <row r="307" spans="1:35" ht="15.6">
      <c r="A307" s="35"/>
      <c r="B307" s="65" t="s">
        <v>36</v>
      </c>
      <c r="C307" s="67" t="s">
        <v>1409</v>
      </c>
      <c r="D307" s="89" t="s">
        <v>48</v>
      </c>
      <c r="E307" s="78">
        <v>1</v>
      </c>
      <c r="F307" s="47" t="s">
        <v>1410</v>
      </c>
      <c r="G307" s="78" t="s">
        <v>1411</v>
      </c>
      <c r="H307" s="90">
        <v>45691</v>
      </c>
      <c r="I307" s="78">
        <v>52</v>
      </c>
      <c r="J307" s="78">
        <v>1</v>
      </c>
      <c r="K307" s="78"/>
      <c r="L307" s="78" t="s">
        <v>1412</v>
      </c>
      <c r="M307" s="91" t="s">
        <v>1413</v>
      </c>
      <c r="N307" s="77" t="s">
        <v>1239</v>
      </c>
      <c r="O307" s="71">
        <v>1</v>
      </c>
      <c r="P307" s="71">
        <v>8</v>
      </c>
      <c r="Q307" s="85">
        <v>4</v>
      </c>
      <c r="R307" s="85">
        <v>1</v>
      </c>
      <c r="S307" s="85">
        <v>25</v>
      </c>
      <c r="T307" s="87">
        <v>8</v>
      </c>
      <c r="U307" s="86">
        <v>12</v>
      </c>
      <c r="V307" s="86">
        <v>22</v>
      </c>
      <c r="W307" s="30">
        <f t="shared" si="23"/>
        <v>24</v>
      </c>
      <c r="X307" s="78">
        <v>13.6</v>
      </c>
      <c r="Y307" s="77">
        <v>87</v>
      </c>
      <c r="Z307" s="47" t="s">
        <v>1240</v>
      </c>
      <c r="AA307" s="77">
        <v>47</v>
      </c>
      <c r="AB307" s="77">
        <v>18.2</v>
      </c>
      <c r="AC307" s="18" t="s">
        <v>53</v>
      </c>
      <c r="AD307" s="9">
        <v>0.3150790611</v>
      </c>
      <c r="AE307" s="9">
        <v>0.89430456359999999</v>
      </c>
      <c r="AF307" s="9">
        <v>1.0539283399999999</v>
      </c>
      <c r="AG307" s="6" t="str">
        <f t="shared" si="20"/>
        <v>Normal</v>
      </c>
      <c r="AH307" s="7" t="str">
        <f t="shared" si="21"/>
        <v>BB Normal</v>
      </c>
      <c r="AI307" s="8" t="str">
        <f t="shared" si="22"/>
        <v>R.Gz.Lbh</v>
      </c>
    </row>
    <row r="308" spans="1:35" ht="15.6">
      <c r="A308" s="35"/>
      <c r="B308" s="97" t="s">
        <v>36</v>
      </c>
      <c r="C308" s="98" t="s">
        <v>1414</v>
      </c>
      <c r="D308" s="98" t="s">
        <v>37</v>
      </c>
      <c r="E308" s="99">
        <v>2</v>
      </c>
      <c r="F308" s="106" t="s">
        <v>1415</v>
      </c>
      <c r="G308" s="99" t="s">
        <v>1416</v>
      </c>
      <c r="H308" s="100">
        <v>45902</v>
      </c>
      <c r="I308" s="99">
        <v>50</v>
      </c>
      <c r="J308" s="99">
        <v>1</v>
      </c>
      <c r="K308" s="99"/>
      <c r="L308" s="99" t="s">
        <v>1417</v>
      </c>
      <c r="M308" s="101" t="s">
        <v>1418</v>
      </c>
      <c r="N308" s="102" t="s">
        <v>1239</v>
      </c>
      <c r="O308" s="51">
        <v>4</v>
      </c>
      <c r="P308" s="51">
        <v>8</v>
      </c>
      <c r="Q308" s="51">
        <v>4</v>
      </c>
      <c r="R308" s="51">
        <v>1</v>
      </c>
      <c r="S308" s="51">
        <v>25</v>
      </c>
      <c r="T308" s="99">
        <v>2</v>
      </c>
      <c r="U308" s="102">
        <v>1</v>
      </c>
      <c r="V308" s="102">
        <v>22</v>
      </c>
      <c r="W308" s="30">
        <f t="shared" si="23"/>
        <v>36</v>
      </c>
      <c r="X308" s="99">
        <v>11</v>
      </c>
      <c r="Y308" s="102">
        <v>85.6</v>
      </c>
      <c r="Z308" s="51" t="s">
        <v>1240</v>
      </c>
      <c r="AA308" s="102">
        <v>47.3</v>
      </c>
      <c r="AB308" s="102">
        <v>15.2</v>
      </c>
      <c r="AC308" s="18" t="s">
        <v>53</v>
      </c>
      <c r="AD308" s="9">
        <v>0.9024338529</v>
      </c>
      <c r="AE308" s="9">
        <v>-0.17808580930000001</v>
      </c>
      <c r="AF308" s="9">
        <v>-0.80989828389999996</v>
      </c>
      <c r="AG308" s="6" t="str">
        <f t="shared" si="20"/>
        <v>Normal</v>
      </c>
      <c r="AH308" s="7" t="str">
        <f t="shared" si="21"/>
        <v>BB Normal</v>
      </c>
      <c r="AI308" s="8" t="str">
        <f t="shared" si="22"/>
        <v>Normal</v>
      </c>
    </row>
    <row r="309" spans="1:35" ht="15.6">
      <c r="A309" s="35"/>
      <c r="B309" s="65" t="s">
        <v>292</v>
      </c>
      <c r="C309" s="67" t="s">
        <v>1419</v>
      </c>
      <c r="D309" s="89" t="s">
        <v>37</v>
      </c>
      <c r="E309" s="78">
        <v>2</v>
      </c>
      <c r="F309" s="47" t="s">
        <v>1420</v>
      </c>
      <c r="G309" s="78" t="s">
        <v>1421</v>
      </c>
      <c r="H309" s="90">
        <v>45902</v>
      </c>
      <c r="I309" s="78">
        <v>50</v>
      </c>
      <c r="J309" s="78">
        <v>1</v>
      </c>
      <c r="K309" s="78"/>
      <c r="L309" s="78" t="s">
        <v>1422</v>
      </c>
      <c r="M309" s="91" t="s">
        <v>1423</v>
      </c>
      <c r="N309" s="77" t="s">
        <v>1239</v>
      </c>
      <c r="O309" s="71">
        <v>2</v>
      </c>
      <c r="P309" s="71">
        <v>8</v>
      </c>
      <c r="Q309" s="85">
        <v>4</v>
      </c>
      <c r="R309" s="85">
        <v>1</v>
      </c>
      <c r="S309" s="85">
        <v>25</v>
      </c>
      <c r="T309" s="87">
        <v>23</v>
      </c>
      <c r="U309" s="86">
        <v>2</v>
      </c>
      <c r="V309" s="86">
        <v>23</v>
      </c>
      <c r="W309" s="30">
        <f t="shared" si="23"/>
        <v>22</v>
      </c>
      <c r="X309" s="78">
        <v>10.17</v>
      </c>
      <c r="Y309" s="77">
        <v>80.3</v>
      </c>
      <c r="Z309" s="47" t="s">
        <v>1424</v>
      </c>
      <c r="AA309" s="77">
        <v>46.7</v>
      </c>
      <c r="AB309" s="77">
        <v>16.2</v>
      </c>
      <c r="AC309" s="18" t="s">
        <v>53</v>
      </c>
      <c r="AD309" s="9">
        <v>-0.62306468680000004</v>
      </c>
      <c r="AE309" s="9">
        <v>-0.58113056789999995</v>
      </c>
      <c r="AF309" s="9">
        <v>-0.29685188159999998</v>
      </c>
      <c r="AG309" s="6" t="str">
        <f t="shared" si="20"/>
        <v>Normal</v>
      </c>
      <c r="AH309" s="7" t="str">
        <f t="shared" si="21"/>
        <v>BB Normal</v>
      </c>
      <c r="AI309" s="8" t="str">
        <f t="shared" si="22"/>
        <v>Normal</v>
      </c>
    </row>
    <row r="310" spans="1:35" ht="15.6">
      <c r="A310" s="35"/>
      <c r="B310" s="65" t="s">
        <v>198</v>
      </c>
      <c r="C310" s="67" t="s">
        <v>1425</v>
      </c>
      <c r="D310" s="89" t="s">
        <v>37</v>
      </c>
      <c r="E310" s="78">
        <v>2</v>
      </c>
      <c r="F310" s="47" t="s">
        <v>1426</v>
      </c>
      <c r="G310" s="78" t="s">
        <v>1427</v>
      </c>
      <c r="H310" s="90">
        <v>45660</v>
      </c>
      <c r="I310" s="78">
        <v>50</v>
      </c>
      <c r="J310" s="78">
        <v>1</v>
      </c>
      <c r="K310" s="78"/>
      <c r="L310" s="78" t="s">
        <v>1428</v>
      </c>
      <c r="M310" s="91" t="s">
        <v>1429</v>
      </c>
      <c r="N310" s="77" t="s">
        <v>1239</v>
      </c>
      <c r="O310" s="71">
        <v>2</v>
      </c>
      <c r="P310" s="71">
        <v>8</v>
      </c>
      <c r="Q310" s="85">
        <v>4</v>
      </c>
      <c r="R310" s="85">
        <v>1</v>
      </c>
      <c r="S310" s="85">
        <v>25</v>
      </c>
      <c r="T310" s="87">
        <v>27</v>
      </c>
      <c r="U310" s="86">
        <v>4</v>
      </c>
      <c r="V310" s="86">
        <v>23</v>
      </c>
      <c r="W310" s="30">
        <f t="shared" si="23"/>
        <v>20</v>
      </c>
      <c r="X310" s="78">
        <v>12</v>
      </c>
      <c r="Y310" s="77">
        <v>84</v>
      </c>
      <c r="Z310" s="47" t="s">
        <v>1424</v>
      </c>
      <c r="AA310" s="77">
        <v>40</v>
      </c>
      <c r="AB310" s="77">
        <v>14</v>
      </c>
      <c r="AC310" s="18" t="s">
        <v>53</v>
      </c>
      <c r="AD310" s="9">
        <v>0.36528360059999998</v>
      </c>
      <c r="AE310" s="9">
        <v>0.5394291242</v>
      </c>
      <c r="AF310" s="9">
        <v>0.48648791860000001</v>
      </c>
      <c r="AG310" s="6" t="str">
        <f t="shared" si="20"/>
        <v>Normal</v>
      </c>
      <c r="AH310" s="7" t="str">
        <f t="shared" si="21"/>
        <v>BB Normal</v>
      </c>
      <c r="AI310" s="8" t="str">
        <f t="shared" si="22"/>
        <v>Normal</v>
      </c>
    </row>
    <row r="311" spans="1:35" ht="15.6">
      <c r="A311" s="35"/>
      <c r="B311" s="97" t="s">
        <v>44</v>
      </c>
      <c r="C311" s="98" t="s">
        <v>1430</v>
      </c>
      <c r="D311" s="98" t="s">
        <v>37</v>
      </c>
      <c r="E311" s="99">
        <v>2</v>
      </c>
      <c r="F311" s="51" t="s">
        <v>1431</v>
      </c>
      <c r="G311" s="99" t="s">
        <v>1432</v>
      </c>
      <c r="H311" s="100">
        <v>45660</v>
      </c>
      <c r="I311" s="99">
        <v>50</v>
      </c>
      <c r="J311" s="99">
        <v>1</v>
      </c>
      <c r="K311" s="99"/>
      <c r="L311" s="99" t="s">
        <v>1433</v>
      </c>
      <c r="M311" s="101" t="s">
        <v>1434</v>
      </c>
      <c r="N311" s="102" t="s">
        <v>1239</v>
      </c>
      <c r="O311" s="51">
        <v>1</v>
      </c>
      <c r="P311" s="51">
        <v>8</v>
      </c>
      <c r="Q311" s="51">
        <v>4</v>
      </c>
      <c r="R311" s="51">
        <v>1</v>
      </c>
      <c r="S311" s="51">
        <v>25</v>
      </c>
      <c r="T311" s="99">
        <v>3</v>
      </c>
      <c r="U311" s="102">
        <v>5</v>
      </c>
      <c r="V311" s="102">
        <v>23</v>
      </c>
      <c r="W311" s="30">
        <f t="shared" si="23"/>
        <v>20</v>
      </c>
      <c r="X311" s="99">
        <v>8.1999999999999993</v>
      </c>
      <c r="Y311" s="102">
        <v>76.7</v>
      </c>
      <c r="Z311" s="51" t="s">
        <v>1424</v>
      </c>
      <c r="AA311" s="102">
        <v>46.7</v>
      </c>
      <c r="AB311" s="102">
        <v>14.5</v>
      </c>
      <c r="AC311" s="18" t="s">
        <v>53</v>
      </c>
      <c r="AD311" s="9">
        <v>-0.49216492820000002</v>
      </c>
      <c r="AE311" s="9">
        <v>2.550320986</v>
      </c>
      <c r="AF311" s="9">
        <v>4.566085341</v>
      </c>
      <c r="AG311" s="6" t="str">
        <f t="shared" si="20"/>
        <v>Normal</v>
      </c>
      <c r="AH311" s="7" t="str">
        <f t="shared" si="21"/>
        <v>Ris Lbh</v>
      </c>
      <c r="AI311" s="8" t="str">
        <f t="shared" si="22"/>
        <v>Obesitas</v>
      </c>
    </row>
    <row r="312" spans="1:35" ht="15.6">
      <c r="A312" s="35"/>
      <c r="B312" s="65" t="s">
        <v>36</v>
      </c>
      <c r="C312" s="67" t="s">
        <v>572</v>
      </c>
      <c r="D312" s="107" t="s">
        <v>37</v>
      </c>
      <c r="E312" s="78">
        <v>2</v>
      </c>
      <c r="F312" s="47"/>
      <c r="G312" s="78" t="s">
        <v>1435</v>
      </c>
      <c r="H312" s="90">
        <v>45691</v>
      </c>
      <c r="I312" s="78">
        <v>50</v>
      </c>
      <c r="J312" s="78">
        <v>1</v>
      </c>
      <c r="K312" s="78"/>
      <c r="L312" s="78" t="s">
        <v>1436</v>
      </c>
      <c r="M312" s="91" t="s">
        <v>1437</v>
      </c>
      <c r="N312" s="77" t="s">
        <v>1239</v>
      </c>
      <c r="O312" s="71">
        <v>4</v>
      </c>
      <c r="P312" s="71">
        <v>8</v>
      </c>
      <c r="Q312" s="85">
        <v>4</v>
      </c>
      <c r="R312" s="85">
        <v>1</v>
      </c>
      <c r="S312" s="85">
        <v>25</v>
      </c>
      <c r="T312" s="87">
        <v>30</v>
      </c>
      <c r="U312" s="86">
        <v>5</v>
      </c>
      <c r="V312" s="86">
        <v>23</v>
      </c>
      <c r="W312" s="30">
        <f t="shared" si="23"/>
        <v>19</v>
      </c>
      <c r="X312" s="78">
        <v>14.3</v>
      </c>
      <c r="Y312" s="77">
        <v>82.6</v>
      </c>
      <c r="Z312" s="47" t="s">
        <v>1424</v>
      </c>
      <c r="AA312" s="77">
        <v>48.7</v>
      </c>
      <c r="AB312" s="77">
        <v>19.05</v>
      </c>
      <c r="AC312" s="18" t="s">
        <v>53</v>
      </c>
      <c r="AD312" s="9">
        <v>0.36528360059999998</v>
      </c>
      <c r="AE312" s="9">
        <v>0.5394291242</v>
      </c>
      <c r="AF312" s="9">
        <v>0.48648791860000001</v>
      </c>
      <c r="AG312" s="6" t="str">
        <f t="shared" si="20"/>
        <v>Normal</v>
      </c>
      <c r="AH312" s="7" t="str">
        <f t="shared" si="21"/>
        <v>BB Normal</v>
      </c>
      <c r="AI312" s="8" t="str">
        <f t="shared" si="22"/>
        <v>Normal</v>
      </c>
    </row>
    <row r="313" spans="1:35" ht="15.6">
      <c r="A313" s="35"/>
      <c r="B313" s="65" t="s">
        <v>36</v>
      </c>
      <c r="C313" s="67" t="s">
        <v>1438</v>
      </c>
      <c r="D313" s="89" t="s">
        <v>48</v>
      </c>
      <c r="E313" s="78">
        <v>1</v>
      </c>
      <c r="F313" s="47"/>
      <c r="G313" s="78" t="s">
        <v>1439</v>
      </c>
      <c r="H313" s="78">
        <v>3</v>
      </c>
      <c r="I313" s="78">
        <v>49</v>
      </c>
      <c r="J313" s="78">
        <v>1</v>
      </c>
      <c r="K313" s="78"/>
      <c r="L313" s="78" t="s">
        <v>1440</v>
      </c>
      <c r="M313" s="78"/>
      <c r="N313" s="77" t="s">
        <v>1239</v>
      </c>
      <c r="O313" s="71">
        <v>4</v>
      </c>
      <c r="P313" s="71">
        <v>8</v>
      </c>
      <c r="Q313" s="85">
        <v>4</v>
      </c>
      <c r="R313" s="85">
        <v>1</v>
      </c>
      <c r="S313" s="85">
        <v>25</v>
      </c>
      <c r="T313" s="87">
        <v>2</v>
      </c>
      <c r="U313" s="86">
        <v>6</v>
      </c>
      <c r="V313" s="86">
        <v>23</v>
      </c>
      <c r="W313" s="30">
        <f t="shared" si="23"/>
        <v>19</v>
      </c>
      <c r="X313" s="78">
        <v>9.4700000000000006</v>
      </c>
      <c r="Y313" s="77">
        <v>83.7</v>
      </c>
      <c r="Z313" s="47" t="s">
        <v>1424</v>
      </c>
      <c r="AA313" s="77">
        <v>46.3</v>
      </c>
      <c r="AB313" s="77">
        <v>15.15</v>
      </c>
      <c r="AC313" s="18" t="s">
        <v>53</v>
      </c>
      <c r="AD313" s="9">
        <v>-0.74111765080000003</v>
      </c>
      <c r="AE313" s="9">
        <v>-1.182390359</v>
      </c>
      <c r="AF313" s="9">
        <v>-1.1208137760000001</v>
      </c>
      <c r="AG313" s="6" t="str">
        <f t="shared" si="20"/>
        <v>Normal</v>
      </c>
      <c r="AH313" s="7" t="str">
        <f t="shared" si="21"/>
        <v>BB Normal</v>
      </c>
      <c r="AI313" s="8" t="str">
        <f t="shared" si="22"/>
        <v>Normal</v>
      </c>
    </row>
    <row r="314" spans="1:35" ht="15.6">
      <c r="A314" s="35"/>
      <c r="B314" s="67" t="s">
        <v>36</v>
      </c>
      <c r="C314" s="67" t="s">
        <v>1441</v>
      </c>
      <c r="D314" s="89" t="s">
        <v>37</v>
      </c>
      <c r="E314" s="78">
        <v>2</v>
      </c>
      <c r="F314" s="47" t="s">
        <v>1442</v>
      </c>
      <c r="G314" s="78" t="s">
        <v>1443</v>
      </c>
      <c r="H314" s="78">
        <v>3</v>
      </c>
      <c r="I314" s="78">
        <v>50</v>
      </c>
      <c r="J314" s="78">
        <v>1</v>
      </c>
      <c r="K314" s="78"/>
      <c r="L314" s="78" t="s">
        <v>1237</v>
      </c>
      <c r="M314" s="91" t="s">
        <v>1238</v>
      </c>
      <c r="N314" s="77" t="s">
        <v>1239</v>
      </c>
      <c r="O314" s="71">
        <v>3</v>
      </c>
      <c r="P314" s="71">
        <v>8</v>
      </c>
      <c r="Q314" s="85">
        <v>4</v>
      </c>
      <c r="R314" s="85">
        <v>1</v>
      </c>
      <c r="S314" s="85">
        <v>25</v>
      </c>
      <c r="T314" s="87">
        <v>16</v>
      </c>
      <c r="U314" s="86">
        <v>8</v>
      </c>
      <c r="V314" s="86">
        <v>23</v>
      </c>
      <c r="W314" s="30">
        <f t="shared" si="23"/>
        <v>16</v>
      </c>
      <c r="X314" s="78">
        <v>9.5</v>
      </c>
      <c r="Y314" s="77">
        <v>74.5</v>
      </c>
      <c r="Z314" s="47" t="s">
        <v>1424</v>
      </c>
      <c r="AA314" s="77">
        <v>45.9</v>
      </c>
      <c r="AB314" s="77">
        <v>15.5</v>
      </c>
      <c r="AC314" s="18" t="s">
        <v>53</v>
      </c>
      <c r="AD314" s="9">
        <v>-2.4419863730000002</v>
      </c>
      <c r="AE314" s="9">
        <v>-1.903826013</v>
      </c>
      <c r="AF314" s="9">
        <v>-0.5415732942</v>
      </c>
      <c r="AG314" s="6" t="str">
        <f t="shared" si="20"/>
        <v>Pendek</v>
      </c>
      <c r="AH314" s="7" t="str">
        <f t="shared" si="21"/>
        <v>BB Normal</v>
      </c>
      <c r="AI314" s="8" t="str">
        <f t="shared" si="22"/>
        <v>Normal</v>
      </c>
    </row>
    <row r="315" spans="1:35" ht="15.6">
      <c r="A315" s="35"/>
      <c r="B315" s="67" t="s">
        <v>198</v>
      </c>
      <c r="C315" s="67" t="s">
        <v>1444</v>
      </c>
      <c r="D315" s="89" t="s">
        <v>48</v>
      </c>
      <c r="E315" s="78">
        <v>1</v>
      </c>
      <c r="F315" s="47" t="s">
        <v>1445</v>
      </c>
      <c r="G315" s="78" t="s">
        <v>1446</v>
      </c>
      <c r="H315" s="90">
        <v>45660</v>
      </c>
      <c r="I315" s="78">
        <v>50</v>
      </c>
      <c r="J315" s="78">
        <v>1</v>
      </c>
      <c r="K315" s="78"/>
      <c r="L315" s="78" t="s">
        <v>1447</v>
      </c>
      <c r="M315" s="91" t="s">
        <v>1448</v>
      </c>
      <c r="N315" s="77" t="s">
        <v>1239</v>
      </c>
      <c r="O315" s="71">
        <v>2</v>
      </c>
      <c r="P315" s="71">
        <v>8</v>
      </c>
      <c r="Q315" s="85">
        <v>4</v>
      </c>
      <c r="R315" s="85">
        <v>1</v>
      </c>
      <c r="S315" s="85">
        <v>25</v>
      </c>
      <c r="T315" s="87">
        <v>17</v>
      </c>
      <c r="U315" s="86">
        <v>8</v>
      </c>
      <c r="V315" s="86">
        <v>23</v>
      </c>
      <c r="W315" s="30">
        <f t="shared" si="23"/>
        <v>16</v>
      </c>
      <c r="X315" s="78">
        <v>8.5500000000000007</v>
      </c>
      <c r="Y315" s="77">
        <v>75.7</v>
      </c>
      <c r="Z315" s="47" t="s">
        <v>1424</v>
      </c>
      <c r="AA315" s="77">
        <v>49</v>
      </c>
      <c r="AB315" s="77">
        <v>19</v>
      </c>
      <c r="AC315" s="18" t="s">
        <v>53</v>
      </c>
      <c r="AD315" s="9">
        <v>-0.24446635629999999</v>
      </c>
      <c r="AE315" s="9">
        <v>1.571784471E-3</v>
      </c>
      <c r="AF315" s="9">
        <v>0.2068849418</v>
      </c>
      <c r="AG315" s="6" t="str">
        <f t="shared" si="20"/>
        <v>Normal</v>
      </c>
      <c r="AH315" s="7" t="str">
        <f t="shared" si="21"/>
        <v>BB Normal</v>
      </c>
      <c r="AI315" s="8" t="str">
        <f t="shared" si="22"/>
        <v>Normal</v>
      </c>
    </row>
    <row r="316" spans="1:35" ht="15.6">
      <c r="A316" s="35"/>
      <c r="B316" s="67" t="s">
        <v>44</v>
      </c>
      <c r="C316" s="67" t="s">
        <v>1449</v>
      </c>
      <c r="D316" s="89" t="s">
        <v>37</v>
      </c>
      <c r="E316" s="78">
        <v>2</v>
      </c>
      <c r="F316" s="47" t="s">
        <v>1450</v>
      </c>
      <c r="G316" s="78" t="s">
        <v>1451</v>
      </c>
      <c r="H316" s="90">
        <v>45691</v>
      </c>
      <c r="I316" s="78">
        <v>51</v>
      </c>
      <c r="J316" s="78">
        <v>1</v>
      </c>
      <c r="K316" s="78"/>
      <c r="L316" s="78" t="s">
        <v>1452</v>
      </c>
      <c r="M316" s="91" t="s">
        <v>1453</v>
      </c>
      <c r="N316" s="77" t="s">
        <v>1239</v>
      </c>
      <c r="O316" s="71">
        <v>4</v>
      </c>
      <c r="P316" s="71">
        <v>8</v>
      </c>
      <c r="Q316" s="85">
        <v>4</v>
      </c>
      <c r="R316" s="85">
        <v>1</v>
      </c>
      <c r="S316" s="85">
        <v>25</v>
      </c>
      <c r="T316" s="87">
        <v>11</v>
      </c>
      <c r="U316" s="86">
        <v>11</v>
      </c>
      <c r="V316" s="86">
        <v>23</v>
      </c>
      <c r="W316" s="30">
        <f t="shared" si="23"/>
        <v>13</v>
      </c>
      <c r="X316" s="78">
        <v>8.8699999999999992</v>
      </c>
      <c r="Y316" s="77">
        <v>75</v>
      </c>
      <c r="Z316" s="47" t="s">
        <v>1424</v>
      </c>
      <c r="AA316" s="77">
        <v>45.2</v>
      </c>
      <c r="AB316" s="77">
        <v>15.6</v>
      </c>
      <c r="AC316" s="18" t="s">
        <v>53</v>
      </c>
      <c r="AD316" s="9">
        <v>9.8152294809999999E-2</v>
      </c>
      <c r="AE316" s="9">
        <v>-0.1745880897</v>
      </c>
      <c r="AF316" s="9">
        <v>-0.44396097140000002</v>
      </c>
      <c r="AG316" s="6" t="str">
        <f t="shared" si="20"/>
        <v>Normal</v>
      </c>
      <c r="AH316" s="7" t="str">
        <f t="shared" si="21"/>
        <v>BB Normal</v>
      </c>
      <c r="AI316" s="8" t="str">
        <f t="shared" si="22"/>
        <v>Normal</v>
      </c>
    </row>
    <row r="317" spans="1:35" ht="15.6">
      <c r="A317" s="35"/>
      <c r="B317" s="67" t="s">
        <v>44</v>
      </c>
      <c r="C317" s="67" t="s">
        <v>1454</v>
      </c>
      <c r="D317" s="89" t="s">
        <v>37</v>
      </c>
      <c r="E317" s="78">
        <v>2</v>
      </c>
      <c r="F317" s="47"/>
      <c r="G317" s="78" t="s">
        <v>1455</v>
      </c>
      <c r="H317" s="78">
        <v>3</v>
      </c>
      <c r="I317" s="78">
        <v>51</v>
      </c>
      <c r="J317" s="78">
        <v>1</v>
      </c>
      <c r="K317" s="78"/>
      <c r="L317" s="78" t="s">
        <v>1456</v>
      </c>
      <c r="M317" s="91" t="s">
        <v>1272</v>
      </c>
      <c r="N317" s="77" t="s">
        <v>1239</v>
      </c>
      <c r="O317" s="71">
        <v>3</v>
      </c>
      <c r="P317" s="71">
        <v>8</v>
      </c>
      <c r="Q317" s="85">
        <v>4</v>
      </c>
      <c r="R317" s="85">
        <v>1</v>
      </c>
      <c r="S317" s="85">
        <v>25</v>
      </c>
      <c r="T317" s="87">
        <v>28</v>
      </c>
      <c r="U317" s="86">
        <v>11</v>
      </c>
      <c r="V317" s="86">
        <v>23</v>
      </c>
      <c r="W317" s="30">
        <f t="shared" si="23"/>
        <v>13</v>
      </c>
      <c r="X317" s="78">
        <v>7.6</v>
      </c>
      <c r="Y317" s="77">
        <v>71.8</v>
      </c>
      <c r="Z317" s="47" t="s">
        <v>1424</v>
      </c>
      <c r="AA317" s="77">
        <v>42.3</v>
      </c>
      <c r="AB317" s="77">
        <v>15.16</v>
      </c>
      <c r="AC317" s="18" t="s">
        <v>53</v>
      </c>
      <c r="AD317" s="9">
        <v>-0.49216492820000002</v>
      </c>
      <c r="AE317" s="9">
        <v>2.550320986</v>
      </c>
      <c r="AF317" s="9">
        <v>4.566085341</v>
      </c>
      <c r="AG317" s="6" t="str">
        <f t="shared" si="20"/>
        <v>Normal</v>
      </c>
      <c r="AH317" s="7" t="str">
        <f t="shared" si="21"/>
        <v>Ris Lbh</v>
      </c>
      <c r="AI317" s="8" t="str">
        <f t="shared" si="22"/>
        <v>Obesitas</v>
      </c>
    </row>
    <row r="318" spans="1:35" ht="15.6">
      <c r="A318" s="35"/>
      <c r="B318" s="67" t="s">
        <v>36</v>
      </c>
      <c r="C318" s="67" t="s">
        <v>1457</v>
      </c>
      <c r="D318" s="89" t="s">
        <v>37</v>
      </c>
      <c r="E318" s="78">
        <v>2</v>
      </c>
      <c r="F318" s="47"/>
      <c r="G318" s="78" t="s">
        <v>1458</v>
      </c>
      <c r="H318" s="90">
        <v>45779</v>
      </c>
      <c r="I318" s="78">
        <v>48</v>
      </c>
      <c r="J318" s="78">
        <v>1</v>
      </c>
      <c r="K318" s="78"/>
      <c r="L318" s="78" t="s">
        <v>1459</v>
      </c>
      <c r="M318" s="91" t="s">
        <v>1460</v>
      </c>
      <c r="N318" s="77" t="s">
        <v>1239</v>
      </c>
      <c r="O318" s="71">
        <v>1</v>
      </c>
      <c r="P318" s="71">
        <v>8</v>
      </c>
      <c r="Q318" s="85">
        <v>4</v>
      </c>
      <c r="R318" s="85">
        <v>1</v>
      </c>
      <c r="S318" s="85">
        <v>25</v>
      </c>
      <c r="T318" s="87">
        <v>14</v>
      </c>
      <c r="U318" s="86">
        <v>11</v>
      </c>
      <c r="V318" s="86">
        <v>23</v>
      </c>
      <c r="W318" s="30">
        <f t="shared" si="23"/>
        <v>13</v>
      </c>
      <c r="X318" s="78">
        <v>9.81</v>
      </c>
      <c r="Y318" s="77">
        <v>75</v>
      </c>
      <c r="Z318" s="47" t="s">
        <v>1424</v>
      </c>
      <c r="AA318" s="77">
        <v>44.5</v>
      </c>
      <c r="AB318" s="77">
        <v>17</v>
      </c>
      <c r="AC318" s="18" t="s">
        <v>53</v>
      </c>
      <c r="AD318" s="9">
        <v>-0.25634206900000001</v>
      </c>
      <c r="AE318" s="9">
        <v>0.23532291</v>
      </c>
      <c r="AF318" s="9">
        <v>0.57688403730000004</v>
      </c>
      <c r="AG318" s="6" t="str">
        <f t="shared" si="20"/>
        <v>Normal</v>
      </c>
      <c r="AH318" s="7" t="str">
        <f t="shared" si="21"/>
        <v>BB Normal</v>
      </c>
      <c r="AI318" s="8" t="str">
        <f t="shared" si="22"/>
        <v>Normal</v>
      </c>
    </row>
    <row r="319" spans="1:35" ht="15.6">
      <c r="A319" s="35"/>
      <c r="B319" s="98" t="s">
        <v>198</v>
      </c>
      <c r="C319" s="98" t="s">
        <v>1461</v>
      </c>
      <c r="D319" s="98" t="s">
        <v>48</v>
      </c>
      <c r="E319" s="99">
        <v>1</v>
      </c>
      <c r="F319" s="51" t="s">
        <v>1462</v>
      </c>
      <c r="G319" s="99" t="s">
        <v>1463</v>
      </c>
      <c r="H319" s="99">
        <v>3</v>
      </c>
      <c r="I319" s="99">
        <v>48</v>
      </c>
      <c r="J319" s="99">
        <v>1</v>
      </c>
      <c r="K319" s="99"/>
      <c r="L319" s="99" t="s">
        <v>1464</v>
      </c>
      <c r="M319" s="101" t="s">
        <v>1465</v>
      </c>
      <c r="N319" s="102" t="s">
        <v>1239</v>
      </c>
      <c r="O319" s="51">
        <v>3</v>
      </c>
      <c r="P319" s="51">
        <v>8</v>
      </c>
      <c r="Q319" s="51">
        <v>4</v>
      </c>
      <c r="R319" s="51">
        <v>1</v>
      </c>
      <c r="S319" s="51">
        <v>25</v>
      </c>
      <c r="T319" s="99">
        <v>8</v>
      </c>
      <c r="U319" s="102">
        <v>11</v>
      </c>
      <c r="V319" s="51">
        <v>23</v>
      </c>
      <c r="W319" s="30">
        <f t="shared" si="23"/>
        <v>13</v>
      </c>
      <c r="X319" s="99">
        <v>9.3000000000000007</v>
      </c>
      <c r="Y319" s="102">
        <v>71.5</v>
      </c>
      <c r="Z319" s="51" t="s">
        <v>1424</v>
      </c>
      <c r="AA319" s="102">
        <v>42.3</v>
      </c>
      <c r="AB319" s="102">
        <v>15.17</v>
      </c>
      <c r="AC319" s="18" t="s">
        <v>53</v>
      </c>
      <c r="AD319" s="9">
        <v>-0.46719268139999998</v>
      </c>
      <c r="AE319" s="9">
        <v>-9.2643335069999999E-2</v>
      </c>
      <c r="AF319" s="9">
        <v>0.31133046850000001</v>
      </c>
      <c r="AG319" s="6" t="str">
        <f t="shared" si="20"/>
        <v>Normal</v>
      </c>
      <c r="AH319" s="7" t="str">
        <f t="shared" si="21"/>
        <v>BB Normal</v>
      </c>
      <c r="AI319" s="8" t="str">
        <f t="shared" si="22"/>
        <v>Normal</v>
      </c>
    </row>
    <row r="320" spans="1:35" ht="15.6">
      <c r="A320" s="35"/>
      <c r="B320" s="67" t="s">
        <v>36</v>
      </c>
      <c r="C320" s="67" t="s">
        <v>1466</v>
      </c>
      <c r="D320" s="89" t="s">
        <v>48</v>
      </c>
      <c r="E320" s="78">
        <v>1</v>
      </c>
      <c r="F320" s="47"/>
      <c r="G320" s="78" t="s">
        <v>1467</v>
      </c>
      <c r="H320" s="78">
        <v>3</v>
      </c>
      <c r="I320" s="78">
        <v>50</v>
      </c>
      <c r="J320" s="78">
        <v>1</v>
      </c>
      <c r="K320" s="78"/>
      <c r="L320" s="78" t="s">
        <v>1468</v>
      </c>
      <c r="M320" s="91" t="s">
        <v>1469</v>
      </c>
      <c r="N320" s="77" t="s">
        <v>1239</v>
      </c>
      <c r="O320" s="71">
        <v>1</v>
      </c>
      <c r="P320" s="71">
        <v>8</v>
      </c>
      <c r="Q320" s="85">
        <v>4</v>
      </c>
      <c r="R320" s="85">
        <v>1</v>
      </c>
      <c r="S320" s="85">
        <v>25</v>
      </c>
      <c r="T320" s="87">
        <v>23</v>
      </c>
      <c r="U320" s="86">
        <v>12</v>
      </c>
      <c r="V320" s="88">
        <v>23</v>
      </c>
      <c r="W320" s="30">
        <f t="shared" si="23"/>
        <v>12</v>
      </c>
      <c r="X320" s="78">
        <v>9.3000000000000007</v>
      </c>
      <c r="Y320" s="77">
        <v>76.5</v>
      </c>
      <c r="Z320" s="47" t="s">
        <v>1424</v>
      </c>
      <c r="AA320" s="77">
        <v>43.4</v>
      </c>
      <c r="AB320" s="108">
        <v>45732</v>
      </c>
      <c r="AC320" s="18" t="s">
        <v>53</v>
      </c>
      <c r="AD320" s="9">
        <v>-0.9299229094</v>
      </c>
      <c r="AE320" s="9">
        <v>-1.2983194570000001</v>
      </c>
      <c r="AF320" s="9">
        <v>-1.1208137760000001</v>
      </c>
      <c r="AG320" s="6" t="str">
        <f t="shared" si="20"/>
        <v>Normal</v>
      </c>
      <c r="AH320" s="7" t="str">
        <f t="shared" si="21"/>
        <v>BB Normal</v>
      </c>
      <c r="AI320" s="8" t="str">
        <f t="shared" si="22"/>
        <v>Normal</v>
      </c>
    </row>
    <row r="321" spans="1:35" ht="15.6">
      <c r="A321" s="35"/>
      <c r="B321" s="67" t="s">
        <v>198</v>
      </c>
      <c r="C321" s="67" t="s">
        <v>1470</v>
      </c>
      <c r="D321" s="89" t="s">
        <v>37</v>
      </c>
      <c r="E321" s="78">
        <v>2</v>
      </c>
      <c r="F321" s="47"/>
      <c r="G321" s="78" t="s">
        <v>1471</v>
      </c>
      <c r="H321" s="90">
        <v>45691</v>
      </c>
      <c r="I321" s="78">
        <v>50</v>
      </c>
      <c r="J321" s="78">
        <v>1</v>
      </c>
      <c r="K321" s="78"/>
      <c r="L321" s="78" t="s">
        <v>1472</v>
      </c>
      <c r="M321" s="91" t="s">
        <v>1473</v>
      </c>
      <c r="N321" s="77" t="s">
        <v>1239</v>
      </c>
      <c r="O321" s="71">
        <v>1</v>
      </c>
      <c r="P321" s="71">
        <v>8</v>
      </c>
      <c r="Q321" s="85">
        <v>4</v>
      </c>
      <c r="R321" s="85">
        <v>1</v>
      </c>
      <c r="S321" s="85">
        <v>25</v>
      </c>
      <c r="T321" s="87">
        <v>13</v>
      </c>
      <c r="U321" s="86">
        <v>1</v>
      </c>
      <c r="V321" s="88">
        <v>24</v>
      </c>
      <c r="W321" s="30">
        <f t="shared" si="23"/>
        <v>11</v>
      </c>
      <c r="X321" s="78">
        <v>7.7</v>
      </c>
      <c r="Y321" s="77">
        <v>69</v>
      </c>
      <c r="Z321" s="47" t="s">
        <v>1424</v>
      </c>
      <c r="AA321" s="77">
        <v>45.5</v>
      </c>
      <c r="AB321" s="77">
        <v>15.5</v>
      </c>
      <c r="AC321" s="18" t="s">
        <v>53</v>
      </c>
      <c r="AD321" s="9">
        <v>-0.62306468680000004</v>
      </c>
      <c r="AE321" s="9">
        <v>-0.58113056789999995</v>
      </c>
      <c r="AF321" s="9">
        <v>-0.29685188159999998</v>
      </c>
      <c r="AG321" s="6" t="str">
        <f t="shared" si="20"/>
        <v>Normal</v>
      </c>
      <c r="AH321" s="7" t="str">
        <f t="shared" si="21"/>
        <v>BB Normal</v>
      </c>
      <c r="AI321" s="8" t="str">
        <f t="shared" si="22"/>
        <v>Normal</v>
      </c>
    </row>
    <row r="322" spans="1:35" ht="15.6">
      <c r="A322" s="35"/>
      <c r="B322" s="67" t="s">
        <v>44</v>
      </c>
      <c r="C322" s="67" t="s">
        <v>1474</v>
      </c>
      <c r="D322" s="89" t="s">
        <v>37</v>
      </c>
      <c r="E322" s="78">
        <v>2</v>
      </c>
      <c r="F322" s="49" t="s">
        <v>1475</v>
      </c>
      <c r="G322" s="78" t="s">
        <v>1476</v>
      </c>
      <c r="H322" s="90">
        <v>45902</v>
      </c>
      <c r="I322" s="78">
        <v>49</v>
      </c>
      <c r="J322" s="78">
        <v>1</v>
      </c>
      <c r="K322" s="78"/>
      <c r="L322" s="78" t="s">
        <v>1477</v>
      </c>
      <c r="M322" s="91" t="s">
        <v>1478</v>
      </c>
      <c r="N322" s="77" t="s">
        <v>1239</v>
      </c>
      <c r="O322" s="71">
        <v>2</v>
      </c>
      <c r="P322" s="71">
        <v>8</v>
      </c>
      <c r="Q322" s="85">
        <v>4</v>
      </c>
      <c r="R322" s="85">
        <v>1</v>
      </c>
      <c r="S322" s="85">
        <v>25</v>
      </c>
      <c r="T322" s="87">
        <v>23</v>
      </c>
      <c r="U322" s="86">
        <v>1</v>
      </c>
      <c r="V322" s="88">
        <v>24</v>
      </c>
      <c r="W322" s="30">
        <f t="shared" si="23"/>
        <v>11</v>
      </c>
      <c r="X322" s="78">
        <v>6.92</v>
      </c>
      <c r="Y322" s="77">
        <v>68.5</v>
      </c>
      <c r="Z322" s="47" t="s">
        <v>1424</v>
      </c>
      <c r="AA322" s="77">
        <v>42</v>
      </c>
      <c r="AB322" s="77">
        <v>15</v>
      </c>
      <c r="AC322" s="18" t="s">
        <v>53</v>
      </c>
      <c r="AD322" s="9">
        <v>0.85311179739999998</v>
      </c>
      <c r="AE322" s="9">
        <v>-0.67203811300000005</v>
      </c>
      <c r="AF322" s="9">
        <v>-1.8028723849999999</v>
      </c>
      <c r="AG322" s="6" t="str">
        <f t="shared" si="20"/>
        <v>Normal</v>
      </c>
      <c r="AH322" s="7" t="str">
        <f t="shared" si="21"/>
        <v>BB Normal</v>
      </c>
      <c r="AI322" s="8" t="str">
        <f t="shared" si="22"/>
        <v>Normal</v>
      </c>
    </row>
    <row r="323" spans="1:35" ht="15.6">
      <c r="A323" s="35"/>
      <c r="B323" s="98" t="s">
        <v>292</v>
      </c>
      <c r="C323" s="98" t="s">
        <v>1479</v>
      </c>
      <c r="D323" s="98" t="s">
        <v>37</v>
      </c>
      <c r="E323" s="99">
        <v>2</v>
      </c>
      <c r="F323" s="51"/>
      <c r="G323" s="99" t="s">
        <v>1480</v>
      </c>
      <c r="H323" s="100">
        <v>45902</v>
      </c>
      <c r="I323" s="99">
        <v>49</v>
      </c>
      <c r="J323" s="99">
        <v>1</v>
      </c>
      <c r="K323" s="99"/>
      <c r="L323" s="99" t="s">
        <v>1481</v>
      </c>
      <c r="M323" s="101" t="s">
        <v>1482</v>
      </c>
      <c r="N323" s="102" t="s">
        <v>1239</v>
      </c>
      <c r="O323" s="51">
        <v>3</v>
      </c>
      <c r="P323" s="51">
        <v>8</v>
      </c>
      <c r="Q323" s="51">
        <v>4</v>
      </c>
      <c r="R323" s="51">
        <v>1</v>
      </c>
      <c r="S323" s="51">
        <v>25</v>
      </c>
      <c r="T323" s="99">
        <v>12</v>
      </c>
      <c r="U323" s="102">
        <v>1</v>
      </c>
      <c r="V323" s="51">
        <v>24</v>
      </c>
      <c r="W323" s="30">
        <f t="shared" si="23"/>
        <v>11</v>
      </c>
      <c r="X323" s="99">
        <v>9.6</v>
      </c>
      <c r="Y323" s="102">
        <v>67.7</v>
      </c>
      <c r="Z323" s="51" t="s">
        <v>1424</v>
      </c>
      <c r="AA323" s="102">
        <v>42.3</v>
      </c>
      <c r="AB323" s="102">
        <v>14.5</v>
      </c>
      <c r="AC323" s="18" t="s">
        <v>53</v>
      </c>
      <c r="AD323" s="9">
        <v>0.36528360059999998</v>
      </c>
      <c r="AE323" s="9">
        <v>0.5394291242</v>
      </c>
      <c r="AF323" s="9">
        <v>0.48648791860000001</v>
      </c>
      <c r="AG323" s="6" t="str">
        <f t="shared" si="20"/>
        <v>Normal</v>
      </c>
      <c r="AH323" s="7" t="str">
        <f t="shared" si="21"/>
        <v>BB Normal</v>
      </c>
      <c r="AI323" s="8" t="str">
        <f t="shared" si="22"/>
        <v>Normal</v>
      </c>
    </row>
    <row r="324" spans="1:35" ht="15.6">
      <c r="A324" s="35"/>
      <c r="B324" s="67" t="s">
        <v>36</v>
      </c>
      <c r="C324" s="67" t="s">
        <v>1483</v>
      </c>
      <c r="D324" s="89" t="s">
        <v>37</v>
      </c>
      <c r="E324" s="78">
        <v>2</v>
      </c>
      <c r="F324" s="47"/>
      <c r="G324" s="78" t="s">
        <v>1484</v>
      </c>
      <c r="H324" s="90">
        <v>45691</v>
      </c>
      <c r="I324" s="78">
        <v>50</v>
      </c>
      <c r="J324" s="35">
        <v>1</v>
      </c>
      <c r="K324" s="78"/>
      <c r="L324" s="78" t="s">
        <v>1485</v>
      </c>
      <c r="M324" s="91" t="s">
        <v>1486</v>
      </c>
      <c r="N324" s="77" t="s">
        <v>1239</v>
      </c>
      <c r="O324" s="71">
        <v>4</v>
      </c>
      <c r="P324" s="71">
        <v>8</v>
      </c>
      <c r="Q324" s="85">
        <v>4</v>
      </c>
      <c r="R324" s="85">
        <v>1</v>
      </c>
      <c r="S324" s="85">
        <v>25</v>
      </c>
      <c r="T324" s="87">
        <v>24</v>
      </c>
      <c r="U324" s="86">
        <v>2</v>
      </c>
      <c r="V324" s="88">
        <v>24</v>
      </c>
      <c r="W324" s="30">
        <f t="shared" si="23"/>
        <v>10</v>
      </c>
      <c r="X324" s="78">
        <v>7.18</v>
      </c>
      <c r="Y324" s="77">
        <v>70.2</v>
      </c>
      <c r="Z324" s="47" t="s">
        <v>1424</v>
      </c>
      <c r="AA324" s="77">
        <v>43.5</v>
      </c>
      <c r="AB324" s="77">
        <v>14.3</v>
      </c>
      <c r="AC324" s="18" t="s">
        <v>53</v>
      </c>
      <c r="AD324" s="9">
        <v>-1.300319094</v>
      </c>
      <c r="AE324" s="9">
        <v>-0.55543470009999996</v>
      </c>
      <c r="AF324" s="9">
        <v>0.33768640329999999</v>
      </c>
      <c r="AG324" s="6" t="str">
        <f t="shared" ref="AG324:AG381" si="24">IF(Y324&gt;0,IF(AD324&lt;-3,"S.Pendek",IF(AD324&lt;-2,"Pendek",IF(AD324&lt;=3,"Normal","Tinggi")))," ")</f>
        <v>Normal</v>
      </c>
      <c r="AH324" s="7" t="str">
        <f t="shared" ref="AH324:AH381" si="25">IF(X324&gt;0,IF(AE324&lt;-3,"BB S.Krg",IF(AE324&lt;-2,"BB Krg",IF(AE324&lt;=1,"BB Normal","Ris Lbh")))," ")</f>
        <v>BB Normal</v>
      </c>
      <c r="AI324" s="8" t="str">
        <f t="shared" ref="AI324:AI381" si="26">IF(X324&gt;0,IF(Y324&gt;0,IF(AF324&lt;-3,"Gz.Brk",IF(AF324&lt;-2,"Gz.Krg",IF(AF324&lt;=1,"Normal",IF(AF324&lt;=2,"R.Gz.Lbh",IF(AF324&lt;=3,"Gz.Lbh","Obesitas")))))," "),"")</f>
        <v>Normal</v>
      </c>
    </row>
    <row r="325" spans="1:35" ht="15.6">
      <c r="A325" s="35"/>
      <c r="B325" s="67" t="s">
        <v>292</v>
      </c>
      <c r="C325" s="67" t="s">
        <v>1487</v>
      </c>
      <c r="D325" s="107" t="s">
        <v>48</v>
      </c>
      <c r="E325" s="78">
        <v>1</v>
      </c>
      <c r="F325" s="47" t="s">
        <v>1488</v>
      </c>
      <c r="G325" s="78" t="s">
        <v>1489</v>
      </c>
      <c r="H325" s="78">
        <v>3.1</v>
      </c>
      <c r="I325" s="78">
        <v>50</v>
      </c>
      <c r="J325" s="78">
        <v>1</v>
      </c>
      <c r="K325" s="78"/>
      <c r="L325" s="78" t="s">
        <v>1490</v>
      </c>
      <c r="M325" s="91" t="s">
        <v>1491</v>
      </c>
      <c r="N325" s="77" t="s">
        <v>1239</v>
      </c>
      <c r="O325" s="71">
        <v>3</v>
      </c>
      <c r="P325" s="71">
        <v>8</v>
      </c>
      <c r="Q325" s="85">
        <v>4</v>
      </c>
      <c r="R325" s="85">
        <v>1</v>
      </c>
      <c r="S325" s="85">
        <v>25</v>
      </c>
      <c r="T325" s="87">
        <v>13</v>
      </c>
      <c r="U325" s="86">
        <v>2</v>
      </c>
      <c r="V325" s="88">
        <v>24</v>
      </c>
      <c r="W325" s="30">
        <f t="shared" si="23"/>
        <v>10</v>
      </c>
      <c r="X325" s="78">
        <v>6.92</v>
      </c>
      <c r="Y325" s="77">
        <v>68.5</v>
      </c>
      <c r="Z325" s="77" t="s">
        <v>43</v>
      </c>
      <c r="AA325" s="77"/>
      <c r="AB325" s="77"/>
      <c r="AC325" s="18" t="s">
        <v>53</v>
      </c>
      <c r="AD325" s="9">
        <v>-0.78896071440000004</v>
      </c>
      <c r="AE325" s="9">
        <v>-2.0292517999999999</v>
      </c>
      <c r="AF325" s="9">
        <v>-1.541106691</v>
      </c>
      <c r="AG325" s="6" t="str">
        <f t="shared" si="24"/>
        <v>Normal</v>
      </c>
      <c r="AH325" s="7" t="str">
        <f t="shared" si="25"/>
        <v>BB Krg</v>
      </c>
      <c r="AI325" s="8" t="str">
        <f t="shared" si="26"/>
        <v>Normal</v>
      </c>
    </row>
    <row r="326" spans="1:35" ht="15.6">
      <c r="A326" s="35"/>
      <c r="B326" s="98" t="s">
        <v>292</v>
      </c>
      <c r="C326" s="98" t="s">
        <v>1492</v>
      </c>
      <c r="D326" s="109" t="s">
        <v>37</v>
      </c>
      <c r="E326" s="99">
        <v>2</v>
      </c>
      <c r="F326" s="51"/>
      <c r="G326" s="99" t="s">
        <v>1493</v>
      </c>
      <c r="H326" s="100">
        <v>45691</v>
      </c>
      <c r="I326" s="99">
        <v>50</v>
      </c>
      <c r="J326" s="99">
        <v>1</v>
      </c>
      <c r="K326" s="99"/>
      <c r="L326" s="99" t="s">
        <v>1494</v>
      </c>
      <c r="M326" s="101" t="s">
        <v>1495</v>
      </c>
      <c r="N326" s="102" t="s">
        <v>1239</v>
      </c>
      <c r="O326" s="51">
        <v>4</v>
      </c>
      <c r="P326" s="51">
        <v>8</v>
      </c>
      <c r="Q326" s="51">
        <v>4</v>
      </c>
      <c r="R326" s="51">
        <v>1</v>
      </c>
      <c r="S326" s="51">
        <v>25</v>
      </c>
      <c r="T326" s="99">
        <v>6</v>
      </c>
      <c r="U326" s="102">
        <v>3</v>
      </c>
      <c r="V326" s="51">
        <v>24</v>
      </c>
      <c r="W326" s="30">
        <f t="shared" si="23"/>
        <v>9</v>
      </c>
      <c r="X326" s="99">
        <v>7.9</v>
      </c>
      <c r="Y326" s="102">
        <v>64.7</v>
      </c>
      <c r="Z326" s="51" t="s">
        <v>1424</v>
      </c>
      <c r="AA326" s="110">
        <v>41.7</v>
      </c>
      <c r="AB326" s="102">
        <v>16</v>
      </c>
      <c r="AC326" s="18" t="s">
        <v>53</v>
      </c>
      <c r="AD326" s="9">
        <v>-0.94270517399999998</v>
      </c>
      <c r="AE326" s="9">
        <v>-1.4114402239999999</v>
      </c>
      <c r="AF326" s="9">
        <v>-1.1208137760000001</v>
      </c>
      <c r="AG326" s="6" t="str">
        <f t="shared" si="24"/>
        <v>Normal</v>
      </c>
      <c r="AH326" s="7" t="str">
        <f t="shared" si="25"/>
        <v>BB Normal</v>
      </c>
      <c r="AI326" s="8" t="str">
        <f t="shared" si="26"/>
        <v>Normal</v>
      </c>
    </row>
    <row r="327" spans="1:35" ht="15.6">
      <c r="A327" s="35"/>
      <c r="B327" s="98" t="s">
        <v>198</v>
      </c>
      <c r="C327" s="98" t="s">
        <v>1496</v>
      </c>
      <c r="D327" s="109" t="s">
        <v>48</v>
      </c>
      <c r="E327" s="99">
        <v>1</v>
      </c>
      <c r="F327" s="51"/>
      <c r="G327" s="99" t="s">
        <v>1497</v>
      </c>
      <c r="H327" s="100">
        <v>45691</v>
      </c>
      <c r="I327" s="99">
        <v>50</v>
      </c>
      <c r="J327" s="99">
        <v>1</v>
      </c>
      <c r="K327" s="99"/>
      <c r="L327" s="99" t="s">
        <v>1498</v>
      </c>
      <c r="M327" s="99"/>
      <c r="N327" s="102" t="s">
        <v>1239</v>
      </c>
      <c r="O327" s="51"/>
      <c r="P327" s="51">
        <v>8</v>
      </c>
      <c r="Q327" s="51">
        <v>4</v>
      </c>
      <c r="R327" s="51">
        <v>1</v>
      </c>
      <c r="S327" s="51">
        <v>25</v>
      </c>
      <c r="T327" s="99">
        <v>8</v>
      </c>
      <c r="U327" s="102">
        <v>3</v>
      </c>
      <c r="V327" s="51">
        <v>24</v>
      </c>
      <c r="W327" s="30">
        <f t="shared" si="23"/>
        <v>9</v>
      </c>
      <c r="X327" s="99">
        <v>7.16</v>
      </c>
      <c r="Y327" s="102">
        <v>67.5</v>
      </c>
      <c r="Z327" s="51" t="s">
        <v>1424</v>
      </c>
      <c r="AA327" s="110">
        <v>44.5</v>
      </c>
      <c r="AB327" s="102">
        <v>14</v>
      </c>
      <c r="AC327" s="18" t="s">
        <v>53</v>
      </c>
      <c r="AD327" s="9">
        <v>-0.92968948439999999</v>
      </c>
      <c r="AE327" s="9">
        <v>-0.25925712270000001</v>
      </c>
      <c r="AF327" s="9">
        <v>-0.5415732942</v>
      </c>
      <c r="AG327" s="6" t="str">
        <f t="shared" si="24"/>
        <v>Normal</v>
      </c>
      <c r="AH327" s="7" t="str">
        <f t="shared" si="25"/>
        <v>BB Normal</v>
      </c>
      <c r="AI327" s="8" t="str">
        <f t="shared" si="26"/>
        <v>Normal</v>
      </c>
    </row>
    <row r="328" spans="1:35" ht="15.6">
      <c r="A328" s="35"/>
      <c r="B328" s="67" t="s">
        <v>198</v>
      </c>
      <c r="C328" s="67" t="s">
        <v>1499</v>
      </c>
      <c r="D328" s="107" t="s">
        <v>37</v>
      </c>
      <c r="E328" s="78">
        <v>2</v>
      </c>
      <c r="F328" s="47"/>
      <c r="G328" s="78" t="s">
        <v>1500</v>
      </c>
      <c r="H328" s="90">
        <v>45871</v>
      </c>
      <c r="I328" s="78">
        <v>48</v>
      </c>
      <c r="J328" s="78">
        <v>1</v>
      </c>
      <c r="K328" s="78"/>
      <c r="L328" s="78" t="s">
        <v>1501</v>
      </c>
      <c r="M328" s="78"/>
      <c r="N328" s="77" t="s">
        <v>1239</v>
      </c>
      <c r="O328" s="71">
        <v>2</v>
      </c>
      <c r="P328" s="71">
        <v>8</v>
      </c>
      <c r="Q328" s="85">
        <v>4</v>
      </c>
      <c r="R328" s="85">
        <v>1</v>
      </c>
      <c r="S328" s="85">
        <v>25</v>
      </c>
      <c r="T328" s="87">
        <v>27</v>
      </c>
      <c r="U328" s="86">
        <v>3</v>
      </c>
      <c r="V328" s="88">
        <v>24</v>
      </c>
      <c r="W328" s="30">
        <f t="shared" si="23"/>
        <v>9</v>
      </c>
      <c r="X328" s="90">
        <v>45938</v>
      </c>
      <c r="Y328" s="77">
        <v>68</v>
      </c>
      <c r="Z328" s="47" t="s">
        <v>1424</v>
      </c>
      <c r="AA328" s="73">
        <v>42.5</v>
      </c>
      <c r="AB328" s="77">
        <v>15.6</v>
      </c>
      <c r="AC328" s="18" t="s">
        <v>53</v>
      </c>
      <c r="AD328" s="9">
        <v>-1.1145523450000001</v>
      </c>
      <c r="AE328" s="9">
        <v>-0.1223510392</v>
      </c>
      <c r="AF328" s="9">
        <v>0.2068849418</v>
      </c>
      <c r="AG328" s="6" t="str">
        <f t="shared" si="24"/>
        <v>Normal</v>
      </c>
      <c r="AH328" s="7" t="str">
        <f t="shared" si="25"/>
        <v>BB Normal</v>
      </c>
      <c r="AI328" s="8" t="str">
        <f t="shared" si="26"/>
        <v>Normal</v>
      </c>
    </row>
    <row r="329" spans="1:35" ht="15.6">
      <c r="A329" s="35"/>
      <c r="B329" s="67"/>
      <c r="C329" s="67" t="s">
        <v>1502</v>
      </c>
      <c r="D329" s="107" t="s">
        <v>48</v>
      </c>
      <c r="E329" s="78">
        <v>1</v>
      </c>
      <c r="F329" s="47"/>
      <c r="G329" s="78" t="s">
        <v>1503</v>
      </c>
      <c r="H329" s="78"/>
      <c r="I329" s="78"/>
      <c r="J329" s="78">
        <v>1</v>
      </c>
      <c r="K329" s="78"/>
      <c r="L329" s="78" t="s">
        <v>1504</v>
      </c>
      <c r="M329" s="78"/>
      <c r="N329" s="77" t="s">
        <v>1239</v>
      </c>
      <c r="O329" s="71"/>
      <c r="P329" s="71">
        <v>8</v>
      </c>
      <c r="Q329" s="85">
        <v>4</v>
      </c>
      <c r="R329" s="85">
        <v>1</v>
      </c>
      <c r="S329" s="85">
        <v>25</v>
      </c>
      <c r="T329" s="87">
        <v>22</v>
      </c>
      <c r="U329" s="86">
        <v>3</v>
      </c>
      <c r="V329" s="88">
        <v>24</v>
      </c>
      <c r="W329" s="30">
        <f t="shared" si="23"/>
        <v>9</v>
      </c>
      <c r="X329" s="78">
        <v>7.73</v>
      </c>
      <c r="Y329" s="77">
        <v>68.7</v>
      </c>
      <c r="Z329" s="47" t="s">
        <v>1424</v>
      </c>
      <c r="AA329" s="73">
        <v>43</v>
      </c>
      <c r="AB329" s="77">
        <v>14.5</v>
      </c>
      <c r="AC329" s="18" t="s">
        <v>53</v>
      </c>
      <c r="AD329" s="9">
        <v>-0.183523148</v>
      </c>
      <c r="AE329" s="9">
        <v>0.81848189090000001</v>
      </c>
      <c r="AF329" s="9">
        <v>-0.44396097140000002</v>
      </c>
      <c r="AG329" s="6" t="str">
        <f t="shared" si="24"/>
        <v>Normal</v>
      </c>
      <c r="AH329" s="7" t="str">
        <f t="shared" si="25"/>
        <v>BB Normal</v>
      </c>
      <c r="AI329" s="8" t="str">
        <f t="shared" si="26"/>
        <v>Normal</v>
      </c>
    </row>
    <row r="330" spans="1:35" ht="15.6">
      <c r="A330" s="35"/>
      <c r="B330" s="67"/>
      <c r="C330" s="67" t="s">
        <v>1505</v>
      </c>
      <c r="D330" s="89" t="s">
        <v>48</v>
      </c>
      <c r="E330" s="78">
        <v>1</v>
      </c>
      <c r="F330" s="49" t="s">
        <v>1506</v>
      </c>
      <c r="G330" s="78" t="s">
        <v>1507</v>
      </c>
      <c r="H330" s="78">
        <v>3.4</v>
      </c>
      <c r="I330" s="78">
        <v>50</v>
      </c>
      <c r="J330" s="78">
        <v>1</v>
      </c>
      <c r="K330" s="78"/>
      <c r="L330" s="78" t="s">
        <v>1508</v>
      </c>
      <c r="M330" s="91" t="s">
        <v>1509</v>
      </c>
      <c r="N330" s="77" t="s">
        <v>1239</v>
      </c>
      <c r="O330" s="71">
        <v>4</v>
      </c>
      <c r="P330" s="71">
        <v>8</v>
      </c>
      <c r="Q330" s="85">
        <v>4</v>
      </c>
      <c r="R330" s="85">
        <v>1</v>
      </c>
      <c r="S330" s="85">
        <v>25</v>
      </c>
      <c r="T330" s="87">
        <v>30</v>
      </c>
      <c r="U330" s="86">
        <v>4</v>
      </c>
      <c r="V330" s="88">
        <v>24</v>
      </c>
      <c r="W330" s="30">
        <f t="shared" si="23"/>
        <v>8</v>
      </c>
      <c r="X330" s="78">
        <v>6.92</v>
      </c>
      <c r="Y330" s="77">
        <v>68.5</v>
      </c>
      <c r="Z330" s="47" t="s">
        <v>43</v>
      </c>
      <c r="AA330" s="73"/>
      <c r="AB330" s="77"/>
      <c r="AC330" s="18" t="s">
        <v>53</v>
      </c>
      <c r="AD330" s="9">
        <v>-1.397766262</v>
      </c>
      <c r="AE330" s="9">
        <v>-2.4838347039999999</v>
      </c>
      <c r="AF330" s="9">
        <v>4.566085341</v>
      </c>
      <c r="AG330" s="6" t="str">
        <f t="shared" si="24"/>
        <v>Normal</v>
      </c>
      <c r="AH330" s="7" t="str">
        <f t="shared" si="25"/>
        <v>BB Krg</v>
      </c>
      <c r="AI330" s="8" t="str">
        <f t="shared" si="26"/>
        <v>Obesitas</v>
      </c>
    </row>
    <row r="331" spans="1:35" ht="15.6">
      <c r="A331" s="35"/>
      <c r="B331" s="98" t="s">
        <v>44</v>
      </c>
      <c r="C331" s="98" t="s">
        <v>1510</v>
      </c>
      <c r="D331" s="98" t="s">
        <v>37</v>
      </c>
      <c r="E331" s="99">
        <v>2</v>
      </c>
      <c r="F331" s="51"/>
      <c r="G331" s="99" t="s">
        <v>1511</v>
      </c>
      <c r="H331" s="99">
        <v>3.67</v>
      </c>
      <c r="I331" s="99">
        <v>54</v>
      </c>
      <c r="J331" s="99">
        <v>1</v>
      </c>
      <c r="K331" s="99"/>
      <c r="L331" s="99" t="s">
        <v>1512</v>
      </c>
      <c r="M331" s="101" t="s">
        <v>1513</v>
      </c>
      <c r="N331" s="102" t="s">
        <v>1239</v>
      </c>
      <c r="O331" s="51">
        <v>3</v>
      </c>
      <c r="P331" s="51">
        <v>8</v>
      </c>
      <c r="Q331" s="51">
        <v>4</v>
      </c>
      <c r="R331" s="51">
        <v>1</v>
      </c>
      <c r="S331" s="51">
        <v>25</v>
      </c>
      <c r="T331" s="99">
        <v>19</v>
      </c>
      <c r="U331" s="102">
        <v>5</v>
      </c>
      <c r="V331" s="51">
        <v>24</v>
      </c>
      <c r="W331" s="30">
        <f t="shared" si="23"/>
        <v>7</v>
      </c>
      <c r="X331" s="99">
        <v>7.2</v>
      </c>
      <c r="Y331" s="102">
        <v>62.5</v>
      </c>
      <c r="Z331" s="102" t="s">
        <v>131</v>
      </c>
      <c r="AA331" s="110">
        <v>42</v>
      </c>
      <c r="AB331" s="102">
        <v>15.2</v>
      </c>
      <c r="AC331" s="18" t="s">
        <v>53</v>
      </c>
      <c r="AD331" s="9">
        <v>0.2434503908</v>
      </c>
      <c r="AE331" s="9">
        <v>0.47225187029999999</v>
      </c>
      <c r="AF331" s="9">
        <v>0.57688403730000004</v>
      </c>
      <c r="AG331" s="6" t="str">
        <f t="shared" si="24"/>
        <v>Normal</v>
      </c>
      <c r="AH331" s="7" t="str">
        <f t="shared" si="25"/>
        <v>BB Normal</v>
      </c>
      <c r="AI331" s="8" t="str">
        <f t="shared" si="26"/>
        <v>Normal</v>
      </c>
    </row>
    <row r="332" spans="1:35" ht="15.6">
      <c r="A332" s="35"/>
      <c r="B332" s="67" t="s">
        <v>44</v>
      </c>
      <c r="C332" s="67" t="s">
        <v>1514</v>
      </c>
      <c r="D332" s="89" t="s">
        <v>48</v>
      </c>
      <c r="E332" s="78">
        <v>1</v>
      </c>
      <c r="F332" s="47"/>
      <c r="G332" s="78" t="s">
        <v>1515</v>
      </c>
      <c r="H332" s="90">
        <v>45691</v>
      </c>
      <c r="I332" s="78">
        <v>50</v>
      </c>
      <c r="J332" s="78">
        <v>1</v>
      </c>
      <c r="K332" s="78"/>
      <c r="L332" s="78" t="s">
        <v>1516</v>
      </c>
      <c r="M332" s="78"/>
      <c r="N332" s="77" t="s">
        <v>1239</v>
      </c>
      <c r="O332" s="71">
        <v>4</v>
      </c>
      <c r="P332" s="71">
        <v>8</v>
      </c>
      <c r="Q332" s="85">
        <v>4</v>
      </c>
      <c r="R332" s="85">
        <v>1</v>
      </c>
      <c r="S332" s="85">
        <v>25</v>
      </c>
      <c r="T332" s="87">
        <v>25</v>
      </c>
      <c r="U332" s="86">
        <v>5</v>
      </c>
      <c r="V332" s="88">
        <v>24</v>
      </c>
      <c r="W332" s="30">
        <f t="shared" si="23"/>
        <v>7</v>
      </c>
      <c r="X332" s="78">
        <v>6.92</v>
      </c>
      <c r="Y332" s="77">
        <v>68.5</v>
      </c>
      <c r="Z332" s="77" t="s">
        <v>43</v>
      </c>
      <c r="AA332" s="73"/>
      <c r="AB332" s="77"/>
      <c r="AC332" s="18" t="s">
        <v>53</v>
      </c>
      <c r="AD332" s="9">
        <v>-0.78866532840000003</v>
      </c>
      <c r="AE332" s="9">
        <v>-0.92736489649999998</v>
      </c>
      <c r="AF332" s="9">
        <v>0.31133046850000001</v>
      </c>
      <c r="AG332" s="6" t="str">
        <f t="shared" si="24"/>
        <v>Normal</v>
      </c>
      <c r="AH332" s="7" t="str">
        <f t="shared" si="25"/>
        <v>BB Normal</v>
      </c>
      <c r="AI332" s="8" t="str">
        <f t="shared" si="26"/>
        <v>Normal</v>
      </c>
    </row>
    <row r="333" spans="1:35" ht="15.6">
      <c r="A333" s="35"/>
      <c r="B333" s="67" t="s">
        <v>36</v>
      </c>
      <c r="C333" s="67" t="s">
        <v>1517</v>
      </c>
      <c r="D333" s="89" t="s">
        <v>48</v>
      </c>
      <c r="E333" s="78">
        <v>1</v>
      </c>
      <c r="F333" s="47"/>
      <c r="G333" s="78" t="s">
        <v>1518</v>
      </c>
      <c r="H333" s="78">
        <v>3</v>
      </c>
      <c r="I333" s="78">
        <v>49</v>
      </c>
      <c r="J333" s="78">
        <v>1</v>
      </c>
      <c r="K333" s="78"/>
      <c r="L333" s="78" t="s">
        <v>1519</v>
      </c>
      <c r="M333" s="91" t="s">
        <v>1520</v>
      </c>
      <c r="N333" s="77" t="s">
        <v>1239</v>
      </c>
      <c r="O333" s="71">
        <v>4</v>
      </c>
      <c r="P333" s="71">
        <v>8</v>
      </c>
      <c r="Q333" s="85">
        <v>4</v>
      </c>
      <c r="R333" s="85">
        <v>1</v>
      </c>
      <c r="S333" s="85">
        <v>25</v>
      </c>
      <c r="T333" s="87">
        <v>27</v>
      </c>
      <c r="U333" s="86">
        <v>5</v>
      </c>
      <c r="V333" s="88">
        <v>24</v>
      </c>
      <c r="W333" s="30">
        <f t="shared" si="23"/>
        <v>7</v>
      </c>
      <c r="X333" s="78">
        <v>6.95</v>
      </c>
      <c r="Y333" s="77">
        <v>66.599999999999994</v>
      </c>
      <c r="Z333" s="77" t="s">
        <v>131</v>
      </c>
      <c r="AA333" s="73">
        <v>42.5</v>
      </c>
      <c r="AB333" s="77">
        <v>15</v>
      </c>
      <c r="AC333" s="18" t="s">
        <v>53</v>
      </c>
      <c r="AD333" s="9">
        <v>-0.42472051119999998</v>
      </c>
      <c r="AE333" s="9">
        <v>-0.2442103192</v>
      </c>
      <c r="AF333" s="9">
        <v>-1.1208137760000001</v>
      </c>
      <c r="AG333" s="6" t="str">
        <f t="shared" si="24"/>
        <v>Normal</v>
      </c>
      <c r="AH333" s="7" t="str">
        <f t="shared" si="25"/>
        <v>BB Normal</v>
      </c>
      <c r="AI333" s="8" t="str">
        <f t="shared" si="26"/>
        <v>Normal</v>
      </c>
    </row>
    <row r="334" spans="1:35" ht="15.6">
      <c r="A334" s="35"/>
      <c r="B334" s="67"/>
      <c r="C334" s="67" t="s">
        <v>1521</v>
      </c>
      <c r="D334" s="89" t="s">
        <v>48</v>
      </c>
      <c r="E334" s="78">
        <v>1</v>
      </c>
      <c r="F334" s="47"/>
      <c r="G334" s="78" t="s">
        <v>1522</v>
      </c>
      <c r="H334" s="78"/>
      <c r="I334" s="78"/>
      <c r="J334" s="78">
        <v>1</v>
      </c>
      <c r="K334" s="78"/>
      <c r="L334" s="78" t="s">
        <v>1523</v>
      </c>
      <c r="M334" s="91" t="s">
        <v>1524</v>
      </c>
      <c r="N334" s="77" t="s">
        <v>1239</v>
      </c>
      <c r="O334" s="71">
        <v>3</v>
      </c>
      <c r="P334" s="71">
        <v>8</v>
      </c>
      <c r="Q334" s="85">
        <v>4</v>
      </c>
      <c r="R334" s="85">
        <v>1</v>
      </c>
      <c r="S334" s="85">
        <v>25</v>
      </c>
      <c r="T334" s="87">
        <v>30</v>
      </c>
      <c r="U334" s="86">
        <v>5</v>
      </c>
      <c r="V334" s="88">
        <v>24</v>
      </c>
      <c r="W334" s="30">
        <f t="shared" si="23"/>
        <v>7</v>
      </c>
      <c r="X334" s="78">
        <v>7.65</v>
      </c>
      <c r="Y334" s="77">
        <v>65.3</v>
      </c>
      <c r="Z334" s="77" t="s">
        <v>131</v>
      </c>
      <c r="AA334" s="73">
        <v>41.2</v>
      </c>
      <c r="AB334" s="77">
        <v>14.6</v>
      </c>
      <c r="AC334" s="18" t="s">
        <v>53</v>
      </c>
      <c r="AD334" s="9">
        <v>-1.3546885710000001</v>
      </c>
      <c r="AE334" s="9">
        <v>-1.864453447</v>
      </c>
      <c r="AF334" s="9">
        <v>-0.29685188159999998</v>
      </c>
      <c r="AG334" s="6" t="str">
        <f t="shared" si="24"/>
        <v>Normal</v>
      </c>
      <c r="AH334" s="7" t="str">
        <f t="shared" si="25"/>
        <v>BB Normal</v>
      </c>
      <c r="AI334" s="8" t="str">
        <f t="shared" si="26"/>
        <v>Normal</v>
      </c>
    </row>
    <row r="335" spans="1:35" ht="15.6">
      <c r="A335" s="35"/>
      <c r="B335" s="67"/>
      <c r="C335" s="67" t="s">
        <v>1517</v>
      </c>
      <c r="D335" s="89" t="s">
        <v>37</v>
      </c>
      <c r="E335" s="78">
        <v>2</v>
      </c>
      <c r="F335" s="47"/>
      <c r="G335" s="78" t="s">
        <v>1525</v>
      </c>
      <c r="H335" s="78"/>
      <c r="I335" s="78"/>
      <c r="J335" s="78">
        <v>1</v>
      </c>
      <c r="K335" s="78"/>
      <c r="L335" s="78" t="s">
        <v>1526</v>
      </c>
      <c r="M335" s="91" t="s">
        <v>1527</v>
      </c>
      <c r="N335" s="77" t="s">
        <v>1239</v>
      </c>
      <c r="O335" s="71">
        <v>3</v>
      </c>
      <c r="P335" s="71">
        <v>8</v>
      </c>
      <c r="Q335" s="85">
        <v>4</v>
      </c>
      <c r="R335" s="85">
        <v>1</v>
      </c>
      <c r="S335" s="85">
        <v>25</v>
      </c>
      <c r="T335" s="87">
        <v>27</v>
      </c>
      <c r="U335" s="86">
        <v>5</v>
      </c>
      <c r="V335" s="88">
        <v>24</v>
      </c>
      <c r="W335" s="30">
        <f t="shared" si="23"/>
        <v>7</v>
      </c>
      <c r="X335" s="78">
        <v>7.2</v>
      </c>
      <c r="Y335" s="77">
        <v>63.5</v>
      </c>
      <c r="Z335" s="77" t="s">
        <v>131</v>
      </c>
      <c r="AA335" s="73">
        <v>41.8</v>
      </c>
      <c r="AB335" s="77">
        <v>15.2</v>
      </c>
      <c r="AC335" s="18" t="s">
        <v>53</v>
      </c>
      <c r="AD335" s="9">
        <v>-0.89475396429999998</v>
      </c>
      <c r="AE335" s="9">
        <v>0.1133375495</v>
      </c>
      <c r="AF335" s="9">
        <v>-1.8028723849999999</v>
      </c>
      <c r="AG335" s="6" t="str">
        <f t="shared" si="24"/>
        <v>Normal</v>
      </c>
      <c r="AH335" s="7" t="str">
        <f t="shared" si="25"/>
        <v>BB Normal</v>
      </c>
      <c r="AI335" s="8" t="str">
        <f t="shared" si="26"/>
        <v>Normal</v>
      </c>
    </row>
    <row r="336" spans="1:35" ht="15.6">
      <c r="A336" s="35"/>
      <c r="B336" s="67"/>
      <c r="C336" s="67" t="s">
        <v>1521</v>
      </c>
      <c r="D336" s="89" t="s">
        <v>48</v>
      </c>
      <c r="E336" s="78">
        <v>1</v>
      </c>
      <c r="F336" s="47"/>
      <c r="G336" s="78" t="s">
        <v>1528</v>
      </c>
      <c r="H336" s="78"/>
      <c r="I336" s="78"/>
      <c r="J336" s="78">
        <v>1</v>
      </c>
      <c r="K336" s="78"/>
      <c r="L336" s="78" t="s">
        <v>1529</v>
      </c>
      <c r="M336" s="91" t="s">
        <v>1530</v>
      </c>
      <c r="N336" s="77" t="s">
        <v>1239</v>
      </c>
      <c r="O336" s="71">
        <v>1</v>
      </c>
      <c r="P336" s="71">
        <v>8</v>
      </c>
      <c r="Q336" s="85">
        <v>4</v>
      </c>
      <c r="R336" s="85">
        <v>1</v>
      </c>
      <c r="S336" s="85">
        <v>25</v>
      </c>
      <c r="T336" s="87">
        <v>30</v>
      </c>
      <c r="U336" s="86">
        <v>5</v>
      </c>
      <c r="V336" s="88">
        <v>24</v>
      </c>
      <c r="W336" s="30">
        <f t="shared" si="23"/>
        <v>7</v>
      </c>
      <c r="X336" s="78">
        <v>8.24</v>
      </c>
      <c r="Y336" s="77">
        <v>69.8</v>
      </c>
      <c r="Z336" s="77" t="s">
        <v>131</v>
      </c>
      <c r="AA336" s="73">
        <v>43</v>
      </c>
      <c r="AB336" s="77">
        <v>15</v>
      </c>
      <c r="AC336" s="18" t="s">
        <v>53</v>
      </c>
      <c r="AD336" s="9">
        <v>1.072682849</v>
      </c>
      <c r="AE336" s="9">
        <v>-1.086014526</v>
      </c>
      <c r="AF336" s="9">
        <v>0.48648791860000001</v>
      </c>
      <c r="AG336" s="6" t="str">
        <f t="shared" si="24"/>
        <v>Normal</v>
      </c>
      <c r="AH336" s="7" t="str">
        <f t="shared" si="25"/>
        <v>BB Normal</v>
      </c>
      <c r="AI336" s="8" t="str">
        <f t="shared" si="26"/>
        <v>Normal</v>
      </c>
    </row>
    <row r="337" spans="1:35" ht="15.6">
      <c r="A337" s="35"/>
      <c r="B337" s="67"/>
      <c r="C337" s="67" t="s">
        <v>1531</v>
      </c>
      <c r="D337" s="89" t="s">
        <v>48</v>
      </c>
      <c r="E337" s="78">
        <v>1</v>
      </c>
      <c r="F337" s="47"/>
      <c r="G337" s="78" t="s">
        <v>1532</v>
      </c>
      <c r="H337" s="78"/>
      <c r="I337" s="78"/>
      <c r="J337" s="78">
        <v>1</v>
      </c>
      <c r="K337" s="78"/>
      <c r="L337" s="78" t="s">
        <v>1533</v>
      </c>
      <c r="M337" s="78"/>
      <c r="N337" s="77" t="s">
        <v>1239</v>
      </c>
      <c r="O337" s="71">
        <v>1</v>
      </c>
      <c r="P337" s="71">
        <v>8</v>
      </c>
      <c r="Q337" s="85">
        <v>4</v>
      </c>
      <c r="R337" s="85">
        <v>1</v>
      </c>
      <c r="S337" s="85">
        <v>25</v>
      </c>
      <c r="T337" s="87">
        <v>6</v>
      </c>
      <c r="U337" s="86">
        <v>6</v>
      </c>
      <c r="V337" s="88">
        <v>24</v>
      </c>
      <c r="W337" s="30">
        <f t="shared" si="23"/>
        <v>6</v>
      </c>
      <c r="X337" s="78">
        <v>7.72</v>
      </c>
      <c r="Y337" s="77">
        <v>65.2</v>
      </c>
      <c r="Z337" s="77" t="s">
        <v>131</v>
      </c>
      <c r="AA337" s="73">
        <v>42.3</v>
      </c>
      <c r="AB337" s="77">
        <v>16.2</v>
      </c>
      <c r="AC337" s="18" t="s">
        <v>53</v>
      </c>
      <c r="AD337" s="9">
        <v>2.623369689</v>
      </c>
      <c r="AE337" s="9">
        <v>0.80604420259999998</v>
      </c>
      <c r="AF337" s="9">
        <v>0.5394291242</v>
      </c>
      <c r="AG337" s="6" t="str">
        <f t="shared" si="24"/>
        <v>Normal</v>
      </c>
      <c r="AH337" s="7" t="str">
        <f t="shared" si="25"/>
        <v>BB Normal</v>
      </c>
      <c r="AI337" s="8" t="str">
        <f t="shared" si="26"/>
        <v>Normal</v>
      </c>
    </row>
    <row r="338" spans="1:35" ht="15.6">
      <c r="A338" s="35"/>
      <c r="B338" s="98" t="s">
        <v>44</v>
      </c>
      <c r="C338" s="98" t="s">
        <v>1534</v>
      </c>
      <c r="D338" s="98" t="s">
        <v>37</v>
      </c>
      <c r="E338" s="99">
        <v>2</v>
      </c>
      <c r="F338" s="51"/>
      <c r="G338" s="99" t="s">
        <v>1535</v>
      </c>
      <c r="H338" s="100">
        <v>45719</v>
      </c>
      <c r="I338" s="99">
        <v>48</v>
      </c>
      <c r="J338" s="99">
        <v>1</v>
      </c>
      <c r="K338" s="99"/>
      <c r="L338" s="99" t="s">
        <v>1536</v>
      </c>
      <c r="M338" s="101" t="s">
        <v>1537</v>
      </c>
      <c r="N338" s="102" t="s">
        <v>1239</v>
      </c>
      <c r="O338" s="51">
        <v>4</v>
      </c>
      <c r="P338" s="51">
        <v>8</v>
      </c>
      <c r="Q338" s="51">
        <v>4</v>
      </c>
      <c r="R338" s="51">
        <v>1</v>
      </c>
      <c r="S338" s="51">
        <v>25</v>
      </c>
      <c r="T338" s="99">
        <v>9</v>
      </c>
      <c r="U338" s="102">
        <v>6</v>
      </c>
      <c r="V338" s="51">
        <v>24</v>
      </c>
      <c r="W338" s="30">
        <f t="shared" si="23"/>
        <v>6</v>
      </c>
      <c r="X338" s="99">
        <v>6.6</v>
      </c>
      <c r="Y338" s="102">
        <v>61.2</v>
      </c>
      <c r="Z338" s="102" t="s">
        <v>131</v>
      </c>
      <c r="AA338" s="110">
        <v>4.8</v>
      </c>
      <c r="AB338" s="102">
        <v>14.8</v>
      </c>
      <c r="AC338" s="18" t="s">
        <v>53</v>
      </c>
      <c r="AD338" s="9">
        <v>-0.60419261619999998</v>
      </c>
      <c r="AE338" s="9">
        <v>9.4879313189999995E-2</v>
      </c>
      <c r="AF338" s="9">
        <v>-0.55543470009999996</v>
      </c>
      <c r="AG338" s="6" t="str">
        <f t="shared" si="24"/>
        <v>Normal</v>
      </c>
      <c r="AH338" s="7" t="str">
        <f t="shared" si="25"/>
        <v>BB Normal</v>
      </c>
      <c r="AI338" s="8" t="str">
        <f t="shared" si="26"/>
        <v>Normal</v>
      </c>
    </row>
    <row r="339" spans="1:35" ht="15.6">
      <c r="A339" s="35"/>
      <c r="B339" s="67" t="s">
        <v>44</v>
      </c>
      <c r="C339" s="67" t="s">
        <v>1538</v>
      </c>
      <c r="D339" s="89" t="s">
        <v>48</v>
      </c>
      <c r="E339" s="78">
        <v>1</v>
      </c>
      <c r="F339" s="49" t="s">
        <v>1539</v>
      </c>
      <c r="G339" s="78" t="s">
        <v>1540</v>
      </c>
      <c r="H339" s="90">
        <v>45749</v>
      </c>
      <c r="I339" s="78"/>
      <c r="J339" s="78">
        <v>1</v>
      </c>
      <c r="K339" s="78"/>
      <c r="L339" s="78" t="s">
        <v>1541</v>
      </c>
      <c r="M339" s="78"/>
      <c r="N339" s="77" t="s">
        <v>1239</v>
      </c>
      <c r="O339" s="71">
        <v>1</v>
      </c>
      <c r="P339" s="71">
        <v>8</v>
      </c>
      <c r="Q339" s="85">
        <v>4</v>
      </c>
      <c r="R339" s="85">
        <v>1</v>
      </c>
      <c r="S339" s="85">
        <v>25</v>
      </c>
      <c r="T339" s="87">
        <v>20</v>
      </c>
      <c r="U339" s="86">
        <v>7</v>
      </c>
      <c r="V339" s="88">
        <v>24</v>
      </c>
      <c r="W339" s="30">
        <f t="shared" si="23"/>
        <v>5</v>
      </c>
      <c r="X339" s="78">
        <v>6.74</v>
      </c>
      <c r="Y339" s="77">
        <v>63.4</v>
      </c>
      <c r="Z339" s="77" t="s">
        <v>131</v>
      </c>
      <c r="AA339" s="73">
        <v>41</v>
      </c>
      <c r="AB339" s="77">
        <v>15.5</v>
      </c>
      <c r="AC339" s="18" t="s">
        <v>53</v>
      </c>
      <c r="AD339" s="9">
        <v>-0.83337105850000004</v>
      </c>
      <c r="AE339" s="9">
        <v>-0.74041959859999995</v>
      </c>
      <c r="AF339" s="9">
        <v>1.2210489099999999</v>
      </c>
      <c r="AG339" s="6" t="str">
        <f t="shared" si="24"/>
        <v>Normal</v>
      </c>
      <c r="AH339" s="7" t="str">
        <f t="shared" si="25"/>
        <v>BB Normal</v>
      </c>
      <c r="AI339" s="8" t="str">
        <f t="shared" si="26"/>
        <v>R.Gz.Lbh</v>
      </c>
    </row>
    <row r="340" spans="1:35" ht="15.6">
      <c r="A340" s="35"/>
      <c r="B340" s="67"/>
      <c r="C340" s="67" t="s">
        <v>1542</v>
      </c>
      <c r="D340" s="89" t="s">
        <v>37</v>
      </c>
      <c r="E340" s="78">
        <v>2</v>
      </c>
      <c r="F340" s="49" t="s">
        <v>1543</v>
      </c>
      <c r="G340" s="78" t="s">
        <v>1544</v>
      </c>
      <c r="H340" s="78"/>
      <c r="I340" s="78"/>
      <c r="J340" s="78">
        <v>1</v>
      </c>
      <c r="K340" s="78"/>
      <c r="L340" s="78" t="s">
        <v>1545</v>
      </c>
      <c r="M340" s="91" t="s">
        <v>1546</v>
      </c>
      <c r="N340" s="77" t="s">
        <v>1239</v>
      </c>
      <c r="O340" s="71">
        <v>3</v>
      </c>
      <c r="P340" s="71">
        <v>8</v>
      </c>
      <c r="Q340" s="85">
        <v>4</v>
      </c>
      <c r="R340" s="85">
        <v>1</v>
      </c>
      <c r="S340" s="85">
        <v>25</v>
      </c>
      <c r="T340" s="87">
        <v>1</v>
      </c>
      <c r="U340" s="86">
        <v>8</v>
      </c>
      <c r="V340" s="88">
        <v>24</v>
      </c>
      <c r="W340" s="30">
        <f t="shared" si="23"/>
        <v>5</v>
      </c>
      <c r="X340" s="78">
        <v>6.78</v>
      </c>
      <c r="Y340" s="77">
        <v>64.5</v>
      </c>
      <c r="Z340" s="77" t="s">
        <v>131</v>
      </c>
      <c r="AA340" s="73">
        <v>41.2</v>
      </c>
      <c r="AB340" s="77">
        <v>15</v>
      </c>
      <c r="AC340" s="18" t="s">
        <v>53</v>
      </c>
      <c r="AD340" s="9">
        <v>-1.054239215</v>
      </c>
      <c r="AE340" s="9">
        <v>-1.592062138</v>
      </c>
      <c r="AF340" s="9">
        <v>2.5298765049999998</v>
      </c>
      <c r="AG340" s="6" t="str">
        <f t="shared" si="24"/>
        <v>Normal</v>
      </c>
      <c r="AH340" s="7" t="str">
        <f t="shared" si="25"/>
        <v>BB Normal</v>
      </c>
      <c r="AI340" s="8" t="str">
        <f t="shared" si="26"/>
        <v>Gz.Lbh</v>
      </c>
    </row>
    <row r="341" spans="1:35" ht="15.6">
      <c r="A341" s="35"/>
      <c r="B341" s="67"/>
      <c r="C341" s="67" t="s">
        <v>1547</v>
      </c>
      <c r="D341" s="89" t="s">
        <v>37</v>
      </c>
      <c r="E341" s="78">
        <v>2</v>
      </c>
      <c r="F341" s="47"/>
      <c r="G341" s="78" t="s">
        <v>1548</v>
      </c>
      <c r="H341" s="78">
        <v>3.25</v>
      </c>
      <c r="I341" s="78">
        <v>48</v>
      </c>
      <c r="J341" s="78">
        <v>1</v>
      </c>
      <c r="K341" s="78"/>
      <c r="L341" s="78" t="s">
        <v>1549</v>
      </c>
      <c r="M341" s="91" t="s">
        <v>1550</v>
      </c>
      <c r="N341" s="77" t="s">
        <v>1239</v>
      </c>
      <c r="O341" s="71">
        <v>2</v>
      </c>
      <c r="P341" s="71">
        <v>8</v>
      </c>
      <c r="Q341" s="85">
        <v>4</v>
      </c>
      <c r="R341" s="85">
        <v>1</v>
      </c>
      <c r="S341" s="85">
        <v>25</v>
      </c>
      <c r="T341" s="87">
        <v>7</v>
      </c>
      <c r="U341" s="86">
        <v>10</v>
      </c>
      <c r="V341" s="88">
        <v>24</v>
      </c>
      <c r="W341" s="30">
        <f t="shared" si="23"/>
        <v>2</v>
      </c>
      <c r="X341" s="78">
        <v>6</v>
      </c>
      <c r="Y341" s="77">
        <v>61</v>
      </c>
      <c r="Z341" s="77" t="s">
        <v>131</v>
      </c>
      <c r="AA341" s="73">
        <v>40</v>
      </c>
      <c r="AB341" s="77">
        <v>14</v>
      </c>
      <c r="AC341" s="18" t="s">
        <v>53</v>
      </c>
      <c r="AD341" s="9">
        <v>-0.74111765080000003</v>
      </c>
      <c r="AE341" s="9">
        <v>-1.182390359</v>
      </c>
      <c r="AF341" s="9">
        <v>-1.236476943</v>
      </c>
      <c r="AG341" s="6" t="str">
        <f t="shared" si="24"/>
        <v>Normal</v>
      </c>
      <c r="AH341" s="7" t="str">
        <f t="shared" si="25"/>
        <v>BB Normal</v>
      </c>
      <c r="AI341" s="8" t="str">
        <f t="shared" si="26"/>
        <v>Normal</v>
      </c>
    </row>
    <row r="342" spans="1:35" ht="15.6">
      <c r="A342" s="35"/>
      <c r="B342" s="33" t="s">
        <v>198</v>
      </c>
      <c r="C342" s="33" t="s">
        <v>734</v>
      </c>
      <c r="D342" s="34" t="s">
        <v>37</v>
      </c>
      <c r="E342" s="31">
        <v>2</v>
      </c>
      <c r="F342" s="58" t="s">
        <v>1551</v>
      </c>
      <c r="G342" s="31" t="s">
        <v>1552</v>
      </c>
      <c r="H342" s="31">
        <v>2.8</v>
      </c>
      <c r="I342" s="31">
        <v>29</v>
      </c>
      <c r="J342" s="31">
        <v>1</v>
      </c>
      <c r="K342" s="31" t="s">
        <v>40</v>
      </c>
      <c r="L342" s="31" t="s">
        <v>1553</v>
      </c>
      <c r="M342" s="58" t="s">
        <v>223</v>
      </c>
      <c r="N342" s="31" t="s">
        <v>1554</v>
      </c>
      <c r="O342" s="31">
        <v>3</v>
      </c>
      <c r="P342" s="31">
        <v>1</v>
      </c>
      <c r="Q342" s="36">
        <v>22</v>
      </c>
      <c r="R342" s="36">
        <v>1</v>
      </c>
      <c r="S342" s="36">
        <v>25</v>
      </c>
      <c r="T342" s="37">
        <v>11</v>
      </c>
      <c r="U342" s="37">
        <v>2</v>
      </c>
      <c r="V342" s="37">
        <v>20</v>
      </c>
      <c r="W342" s="30">
        <v>59</v>
      </c>
      <c r="X342" s="31">
        <v>11.1</v>
      </c>
      <c r="Y342" s="31">
        <v>96.6</v>
      </c>
      <c r="Z342" s="31" t="s">
        <v>43</v>
      </c>
      <c r="AA342" s="31">
        <v>49</v>
      </c>
      <c r="AB342" s="31">
        <v>13</v>
      </c>
      <c r="AC342" s="18" t="s">
        <v>53</v>
      </c>
      <c r="AD342" s="9">
        <v>-2.4419863730000002</v>
      </c>
      <c r="AE342" s="9">
        <v>-1.903826013</v>
      </c>
      <c r="AF342" s="9">
        <v>8.4531443670000008E-3</v>
      </c>
      <c r="AG342" s="6" t="str">
        <f t="shared" si="24"/>
        <v>Pendek</v>
      </c>
      <c r="AH342" s="7" t="str">
        <f t="shared" si="25"/>
        <v>BB Normal</v>
      </c>
      <c r="AI342" s="8" t="str">
        <f t="shared" si="26"/>
        <v>Normal</v>
      </c>
    </row>
    <row r="343" spans="1:35" ht="15.6">
      <c r="A343" s="35"/>
      <c r="B343" s="33" t="s">
        <v>36</v>
      </c>
      <c r="C343" s="33" t="s">
        <v>1555</v>
      </c>
      <c r="D343" s="34" t="s">
        <v>37</v>
      </c>
      <c r="E343" s="31">
        <v>2</v>
      </c>
      <c r="F343" s="58" t="s">
        <v>1556</v>
      </c>
      <c r="G343" s="31" t="s">
        <v>1557</v>
      </c>
      <c r="H343" s="31">
        <v>2.8</v>
      </c>
      <c r="I343" s="31">
        <v>29</v>
      </c>
      <c r="J343" s="31">
        <v>1</v>
      </c>
      <c r="K343" s="31" t="s">
        <v>40</v>
      </c>
      <c r="L343" s="31" t="s">
        <v>1558</v>
      </c>
      <c r="M343" s="58" t="s">
        <v>1559</v>
      </c>
      <c r="N343" s="31" t="s">
        <v>1554</v>
      </c>
      <c r="O343" s="15">
        <v>1</v>
      </c>
      <c r="P343" s="38">
        <v>1</v>
      </c>
      <c r="Q343" s="36">
        <v>22</v>
      </c>
      <c r="R343" s="36">
        <v>1</v>
      </c>
      <c r="S343" s="36">
        <v>25</v>
      </c>
      <c r="T343" s="39">
        <v>17</v>
      </c>
      <c r="U343" s="37">
        <v>3</v>
      </c>
      <c r="V343" s="40">
        <v>20</v>
      </c>
      <c r="W343" s="30">
        <v>58</v>
      </c>
      <c r="X343" s="31">
        <v>15.2</v>
      </c>
      <c r="Y343" s="31">
        <v>105</v>
      </c>
      <c r="Z343" s="31" t="s">
        <v>43</v>
      </c>
      <c r="AA343" s="31">
        <v>56</v>
      </c>
      <c r="AB343" s="31">
        <v>15</v>
      </c>
      <c r="AC343" s="18" t="s">
        <v>53</v>
      </c>
      <c r="AD343" s="9">
        <v>-0.24446635629999999</v>
      </c>
      <c r="AE343" s="9">
        <v>1.571784471E-3</v>
      </c>
      <c r="AF343" s="9">
        <v>-2.2622906610000002</v>
      </c>
      <c r="AG343" s="6" t="str">
        <f t="shared" si="24"/>
        <v>Normal</v>
      </c>
      <c r="AH343" s="7" t="str">
        <f t="shared" si="25"/>
        <v>BB Normal</v>
      </c>
      <c r="AI343" s="8" t="str">
        <f t="shared" si="26"/>
        <v>Gz.Krg</v>
      </c>
    </row>
    <row r="344" spans="1:35" ht="15.6">
      <c r="A344" s="35"/>
      <c r="B344" s="33" t="s">
        <v>44</v>
      </c>
      <c r="C344" s="33" t="s">
        <v>1252</v>
      </c>
      <c r="D344" s="41" t="s">
        <v>37</v>
      </c>
      <c r="E344" s="42">
        <v>2</v>
      </c>
      <c r="F344" s="58" t="s">
        <v>1560</v>
      </c>
      <c r="G344" s="42" t="s">
        <v>1561</v>
      </c>
      <c r="H344" s="42">
        <v>3</v>
      </c>
      <c r="I344" s="42">
        <v>50</v>
      </c>
      <c r="J344" s="42">
        <v>1</v>
      </c>
      <c r="K344" s="42" t="s">
        <v>40</v>
      </c>
      <c r="L344" s="42" t="s">
        <v>1562</v>
      </c>
      <c r="M344" s="42"/>
      <c r="N344" s="42" t="s">
        <v>1554</v>
      </c>
      <c r="O344" s="43">
        <v>3</v>
      </c>
      <c r="P344" s="17">
        <v>1</v>
      </c>
      <c r="Q344" s="36">
        <v>22</v>
      </c>
      <c r="R344" s="36">
        <v>1</v>
      </c>
      <c r="S344" s="36">
        <v>25</v>
      </c>
      <c r="T344" s="39">
        <v>1</v>
      </c>
      <c r="U344" s="37">
        <v>4</v>
      </c>
      <c r="V344" s="40">
        <v>20</v>
      </c>
      <c r="W344" s="30">
        <v>57</v>
      </c>
      <c r="X344" s="31">
        <v>13.7</v>
      </c>
      <c r="Y344" s="31">
        <v>96.8</v>
      </c>
      <c r="Z344" s="31" t="s">
        <v>43</v>
      </c>
      <c r="AA344" s="31">
        <v>51</v>
      </c>
      <c r="AB344" s="31">
        <v>17</v>
      </c>
      <c r="AC344" s="18" t="s">
        <v>53</v>
      </c>
      <c r="AD344" s="9">
        <v>9.8152294809999999E-2</v>
      </c>
      <c r="AE344" s="9">
        <v>-0.1745880897</v>
      </c>
      <c r="AF344" s="9">
        <v>-2.0885723650000001</v>
      </c>
      <c r="AG344" s="6" t="str">
        <f t="shared" si="24"/>
        <v>Normal</v>
      </c>
      <c r="AH344" s="7" t="str">
        <f t="shared" si="25"/>
        <v>BB Normal</v>
      </c>
      <c r="AI344" s="8" t="str">
        <f t="shared" si="26"/>
        <v>Gz.Krg</v>
      </c>
    </row>
    <row r="345" spans="1:35" ht="15.6">
      <c r="A345" s="35"/>
      <c r="B345" s="33" t="s">
        <v>292</v>
      </c>
      <c r="C345" s="33" t="s">
        <v>1563</v>
      </c>
      <c r="D345" s="44" t="s">
        <v>37</v>
      </c>
      <c r="E345" s="42">
        <v>2</v>
      </c>
      <c r="F345" s="58" t="s">
        <v>1564</v>
      </c>
      <c r="G345" s="45" t="s">
        <v>1565</v>
      </c>
      <c r="H345" s="45">
        <v>3.4</v>
      </c>
      <c r="I345" s="45">
        <v>52</v>
      </c>
      <c r="J345" s="45">
        <v>1</v>
      </c>
      <c r="K345" s="45" t="s">
        <v>40</v>
      </c>
      <c r="L345" s="45" t="s">
        <v>1566</v>
      </c>
      <c r="M345" s="81" t="s">
        <v>1567</v>
      </c>
      <c r="N345" s="42" t="s">
        <v>1554</v>
      </c>
      <c r="O345" s="38">
        <v>1</v>
      </c>
      <c r="P345" s="38">
        <v>1</v>
      </c>
      <c r="Q345" s="36">
        <v>22</v>
      </c>
      <c r="R345" s="36">
        <v>1</v>
      </c>
      <c r="S345" s="36">
        <v>25</v>
      </c>
      <c r="T345" s="46">
        <v>5</v>
      </c>
      <c r="U345" s="46">
        <v>4</v>
      </c>
      <c r="V345" s="46">
        <v>20</v>
      </c>
      <c r="W345" s="30">
        <v>57</v>
      </c>
      <c r="X345" s="31">
        <v>17.8</v>
      </c>
      <c r="Y345" s="31">
        <v>107</v>
      </c>
      <c r="Z345" s="31" t="s">
        <v>43</v>
      </c>
      <c r="AA345" s="31">
        <v>51</v>
      </c>
      <c r="AB345" s="31">
        <v>17</v>
      </c>
      <c r="AC345" s="18" t="s">
        <v>53</v>
      </c>
      <c r="AD345" s="9">
        <v>-0.49216492820000002</v>
      </c>
      <c r="AE345" s="9">
        <v>2.550320986</v>
      </c>
      <c r="AF345" s="9">
        <v>0.2068849418</v>
      </c>
      <c r="AG345" s="6" t="str">
        <f t="shared" si="24"/>
        <v>Normal</v>
      </c>
      <c r="AH345" s="7" t="str">
        <f t="shared" si="25"/>
        <v>Ris Lbh</v>
      </c>
      <c r="AI345" s="8" t="str">
        <f t="shared" si="26"/>
        <v>Normal</v>
      </c>
    </row>
    <row r="346" spans="1:35" ht="15.6">
      <c r="A346" s="35"/>
      <c r="B346" s="33" t="s">
        <v>640</v>
      </c>
      <c r="C346" s="33" t="s">
        <v>1568</v>
      </c>
      <c r="D346" s="44" t="s">
        <v>48</v>
      </c>
      <c r="E346" s="42">
        <v>1</v>
      </c>
      <c r="F346" s="58" t="s">
        <v>1569</v>
      </c>
      <c r="G346" s="45" t="s">
        <v>1570</v>
      </c>
      <c r="H346" s="45">
        <v>3</v>
      </c>
      <c r="I346" s="45">
        <v>50</v>
      </c>
      <c r="J346" s="45">
        <v>1</v>
      </c>
      <c r="K346" s="45" t="s">
        <v>40</v>
      </c>
      <c r="L346" s="45" t="s">
        <v>1571</v>
      </c>
      <c r="M346" s="81" t="s">
        <v>1572</v>
      </c>
      <c r="N346" s="42" t="s">
        <v>1554</v>
      </c>
      <c r="O346" s="38">
        <v>2</v>
      </c>
      <c r="P346" s="38">
        <v>1</v>
      </c>
      <c r="Q346" s="36">
        <v>22</v>
      </c>
      <c r="R346" s="36">
        <v>1</v>
      </c>
      <c r="S346" s="36">
        <v>25</v>
      </c>
      <c r="T346" s="46">
        <v>10</v>
      </c>
      <c r="U346" s="46">
        <v>4</v>
      </c>
      <c r="V346" s="46">
        <v>20</v>
      </c>
      <c r="W346" s="30">
        <v>57</v>
      </c>
      <c r="X346" s="31">
        <v>17.5</v>
      </c>
      <c r="Y346" s="31">
        <v>109</v>
      </c>
      <c r="Z346" s="31" t="s">
        <v>43</v>
      </c>
      <c r="AA346" s="31">
        <v>52</v>
      </c>
      <c r="AB346" s="31">
        <v>17</v>
      </c>
      <c r="AC346" s="18" t="s">
        <v>53</v>
      </c>
      <c r="AD346" s="9">
        <v>9.8152294809999999E-2</v>
      </c>
      <c r="AE346" s="9">
        <v>-0.1745880897</v>
      </c>
      <c r="AF346" s="9">
        <v>-0.44396097140000002</v>
      </c>
      <c r="AG346" s="6" t="str">
        <f t="shared" si="24"/>
        <v>Normal</v>
      </c>
      <c r="AH346" s="7" t="str">
        <f t="shared" si="25"/>
        <v>BB Normal</v>
      </c>
      <c r="AI346" s="8" t="str">
        <f t="shared" si="26"/>
        <v>Normal</v>
      </c>
    </row>
    <row r="347" spans="1:35" ht="15.6">
      <c r="A347" s="35"/>
      <c r="B347" s="33" t="s">
        <v>1573</v>
      </c>
      <c r="C347" s="33" t="s">
        <v>239</v>
      </c>
      <c r="D347" s="41" t="s">
        <v>48</v>
      </c>
      <c r="E347" s="42">
        <v>1</v>
      </c>
      <c r="F347" s="58" t="s">
        <v>1574</v>
      </c>
      <c r="G347" s="42" t="s">
        <v>1575</v>
      </c>
      <c r="H347" s="42">
        <v>3</v>
      </c>
      <c r="I347" s="42">
        <v>50</v>
      </c>
      <c r="J347" s="42">
        <v>1</v>
      </c>
      <c r="K347" s="42" t="s">
        <v>40</v>
      </c>
      <c r="L347" s="42" t="s">
        <v>1576</v>
      </c>
      <c r="M347" s="80" t="s">
        <v>223</v>
      </c>
      <c r="N347" s="42" t="s">
        <v>1554</v>
      </c>
      <c r="O347" s="43">
        <v>1</v>
      </c>
      <c r="P347" s="17">
        <v>1</v>
      </c>
      <c r="Q347" s="36">
        <v>22</v>
      </c>
      <c r="R347" s="36">
        <v>1</v>
      </c>
      <c r="S347" s="36">
        <v>25</v>
      </c>
      <c r="T347" s="39">
        <v>27</v>
      </c>
      <c r="U347" s="37">
        <v>6</v>
      </c>
      <c r="V347" s="37">
        <v>20</v>
      </c>
      <c r="W347" s="30">
        <v>54</v>
      </c>
      <c r="X347" s="31">
        <v>24.5</v>
      </c>
      <c r="Y347" s="31">
        <v>105</v>
      </c>
      <c r="Z347" s="31" t="s">
        <v>43</v>
      </c>
      <c r="AA347" s="31">
        <v>53</v>
      </c>
      <c r="AB347" s="31">
        <v>21</v>
      </c>
      <c r="AC347" s="18" t="s">
        <v>53</v>
      </c>
      <c r="AD347" s="9">
        <v>-0.49216492820000002</v>
      </c>
      <c r="AE347" s="9">
        <v>2.550320986</v>
      </c>
      <c r="AF347" s="9">
        <v>4.566085341</v>
      </c>
      <c r="AG347" s="6" t="str">
        <f t="shared" si="24"/>
        <v>Normal</v>
      </c>
      <c r="AH347" s="7" t="str">
        <f t="shared" si="25"/>
        <v>Ris Lbh</v>
      </c>
      <c r="AI347" s="8" t="str">
        <f t="shared" si="26"/>
        <v>Obesitas</v>
      </c>
    </row>
    <row r="348" spans="1:35" ht="15.6">
      <c r="A348" s="35"/>
      <c r="B348" s="33" t="s">
        <v>1577</v>
      </c>
      <c r="C348" s="33" t="s">
        <v>1578</v>
      </c>
      <c r="D348" s="41" t="s">
        <v>48</v>
      </c>
      <c r="E348" s="42">
        <v>1</v>
      </c>
      <c r="F348" s="58" t="s">
        <v>1579</v>
      </c>
      <c r="G348" s="42" t="s">
        <v>1580</v>
      </c>
      <c r="H348" s="42">
        <v>31</v>
      </c>
      <c r="I348" s="42">
        <v>51</v>
      </c>
      <c r="J348" s="42">
        <v>1</v>
      </c>
      <c r="K348" s="42" t="s">
        <v>40</v>
      </c>
      <c r="L348" s="42" t="s">
        <v>1581</v>
      </c>
      <c r="M348" s="80" t="s">
        <v>1582</v>
      </c>
      <c r="N348" s="42" t="s">
        <v>1554</v>
      </c>
      <c r="O348" s="43">
        <v>1</v>
      </c>
      <c r="P348" s="17">
        <v>1</v>
      </c>
      <c r="Q348" s="36">
        <v>22</v>
      </c>
      <c r="R348" s="36">
        <v>1</v>
      </c>
      <c r="S348" s="36">
        <v>25</v>
      </c>
      <c r="T348" s="39">
        <v>4</v>
      </c>
      <c r="U348" s="37">
        <v>7</v>
      </c>
      <c r="V348" s="37">
        <v>20</v>
      </c>
      <c r="W348" s="30">
        <v>54</v>
      </c>
      <c r="X348" s="31">
        <v>18</v>
      </c>
      <c r="Y348" s="31">
        <v>106</v>
      </c>
      <c r="Z348" s="31" t="s">
        <v>43</v>
      </c>
      <c r="AA348" s="31">
        <v>51</v>
      </c>
      <c r="AB348" s="31">
        <v>19</v>
      </c>
      <c r="AC348" s="18" t="s">
        <v>53</v>
      </c>
      <c r="AD348" s="9">
        <v>-0.25634206900000001</v>
      </c>
      <c r="AE348" s="9">
        <v>0.23532291</v>
      </c>
      <c r="AF348" s="9">
        <v>0.57688403730000004</v>
      </c>
      <c r="AG348" s="6" t="str">
        <f t="shared" si="24"/>
        <v>Normal</v>
      </c>
      <c r="AH348" s="7" t="str">
        <f t="shared" si="25"/>
        <v>BB Normal</v>
      </c>
      <c r="AI348" s="8" t="str">
        <f t="shared" si="26"/>
        <v>Normal</v>
      </c>
    </row>
    <row r="349" spans="1:35" ht="15.6">
      <c r="A349" s="35"/>
      <c r="B349" s="33" t="s">
        <v>1583</v>
      </c>
      <c r="C349" s="33" t="s">
        <v>1584</v>
      </c>
      <c r="D349" s="41" t="s">
        <v>48</v>
      </c>
      <c r="E349" s="42">
        <v>1</v>
      </c>
      <c r="F349" s="58" t="s">
        <v>1585</v>
      </c>
      <c r="G349" s="42" t="s">
        <v>1586</v>
      </c>
      <c r="H349" s="42">
        <v>3.2</v>
      </c>
      <c r="I349" s="42">
        <v>28</v>
      </c>
      <c r="J349" s="42">
        <v>1</v>
      </c>
      <c r="K349" s="42" t="s">
        <v>40</v>
      </c>
      <c r="L349" s="42" t="s">
        <v>1587</v>
      </c>
      <c r="M349" s="80" t="s">
        <v>1588</v>
      </c>
      <c r="N349" s="42" t="s">
        <v>1554</v>
      </c>
      <c r="O349" s="43">
        <v>1</v>
      </c>
      <c r="P349" s="17">
        <v>1</v>
      </c>
      <c r="Q349" s="36">
        <v>22</v>
      </c>
      <c r="R349" s="36">
        <v>1</v>
      </c>
      <c r="S349" s="36">
        <v>25</v>
      </c>
      <c r="T349" s="39">
        <v>24</v>
      </c>
      <c r="U349" s="37">
        <v>9</v>
      </c>
      <c r="V349" s="37">
        <v>20</v>
      </c>
      <c r="W349" s="30">
        <v>51</v>
      </c>
      <c r="X349" s="31">
        <v>16.8</v>
      </c>
      <c r="Y349" s="31">
        <v>103.5</v>
      </c>
      <c r="Z349" s="31" t="s">
        <v>43</v>
      </c>
      <c r="AA349" s="31">
        <v>51</v>
      </c>
      <c r="AB349" s="31">
        <v>17</v>
      </c>
      <c r="AC349" s="18" t="s">
        <v>53</v>
      </c>
      <c r="AD349" s="9">
        <v>-0.46719268139999998</v>
      </c>
      <c r="AE349" s="9">
        <v>-9.2643335069999999E-2</v>
      </c>
      <c r="AF349" s="9">
        <v>0.31133046850000001</v>
      </c>
      <c r="AG349" s="6" t="str">
        <f t="shared" si="24"/>
        <v>Normal</v>
      </c>
      <c r="AH349" s="7" t="str">
        <f t="shared" si="25"/>
        <v>BB Normal</v>
      </c>
      <c r="AI349" s="8" t="str">
        <f t="shared" si="26"/>
        <v>Normal</v>
      </c>
    </row>
    <row r="350" spans="1:35" ht="15.6">
      <c r="A350" s="35"/>
      <c r="B350" s="33" t="s">
        <v>1589</v>
      </c>
      <c r="C350" s="33" t="s">
        <v>1590</v>
      </c>
      <c r="D350" s="41" t="s">
        <v>37</v>
      </c>
      <c r="E350" s="42">
        <v>2</v>
      </c>
      <c r="F350" s="58" t="s">
        <v>1591</v>
      </c>
      <c r="G350" s="42" t="s">
        <v>1592</v>
      </c>
      <c r="H350" s="42">
        <v>2.9</v>
      </c>
      <c r="I350" s="42">
        <v>29</v>
      </c>
      <c r="J350" s="42">
        <v>1</v>
      </c>
      <c r="K350" s="42" t="s">
        <v>40</v>
      </c>
      <c r="L350" s="42" t="s">
        <v>1593</v>
      </c>
      <c r="M350" s="80" t="s">
        <v>1594</v>
      </c>
      <c r="N350" s="42" t="s">
        <v>1554</v>
      </c>
      <c r="O350" s="43">
        <v>2</v>
      </c>
      <c r="P350" s="17">
        <v>1</v>
      </c>
      <c r="Q350" s="36">
        <v>22</v>
      </c>
      <c r="R350" s="36">
        <v>1</v>
      </c>
      <c r="S350" s="36">
        <v>25</v>
      </c>
      <c r="T350" s="39">
        <v>20</v>
      </c>
      <c r="U350" s="37">
        <v>1</v>
      </c>
      <c r="V350" s="37">
        <v>20</v>
      </c>
      <c r="W350" s="30">
        <v>60</v>
      </c>
      <c r="X350" s="31">
        <v>15.2</v>
      </c>
      <c r="Y350" s="31">
        <v>105</v>
      </c>
      <c r="Z350" s="31" t="s">
        <v>43</v>
      </c>
      <c r="AA350" s="31">
        <v>48</v>
      </c>
      <c r="AB350" s="31">
        <v>17</v>
      </c>
      <c r="AC350" s="18" t="s">
        <v>53</v>
      </c>
      <c r="AD350" s="9">
        <v>-0.9299229094</v>
      </c>
      <c r="AE350" s="9">
        <v>-1.2983194570000001</v>
      </c>
      <c r="AF350" s="9">
        <v>-1.1208137760000001</v>
      </c>
      <c r="AG350" s="6" t="str">
        <f t="shared" si="24"/>
        <v>Normal</v>
      </c>
      <c r="AH350" s="7" t="str">
        <f t="shared" si="25"/>
        <v>BB Normal</v>
      </c>
      <c r="AI350" s="8" t="str">
        <f t="shared" si="26"/>
        <v>Normal</v>
      </c>
    </row>
    <row r="351" spans="1:35" ht="15.6">
      <c r="A351" s="35"/>
      <c r="B351" s="33" t="s">
        <v>1595</v>
      </c>
      <c r="C351" s="33" t="s">
        <v>1596</v>
      </c>
      <c r="D351" s="41" t="s">
        <v>48</v>
      </c>
      <c r="E351" s="42">
        <v>1</v>
      </c>
      <c r="F351" s="58" t="s">
        <v>1597</v>
      </c>
      <c r="G351" s="42" t="s">
        <v>1598</v>
      </c>
      <c r="H351" s="42">
        <v>3</v>
      </c>
      <c r="I351" s="42">
        <v>50</v>
      </c>
      <c r="J351" s="42">
        <v>1</v>
      </c>
      <c r="K351" s="42" t="s">
        <v>40</v>
      </c>
      <c r="L351" s="42" t="s">
        <v>1599</v>
      </c>
      <c r="M351" s="42"/>
      <c r="N351" s="42" t="s">
        <v>1554</v>
      </c>
      <c r="O351" s="43">
        <v>2</v>
      </c>
      <c r="P351" s="17">
        <v>1</v>
      </c>
      <c r="Q351" s="36">
        <v>22</v>
      </c>
      <c r="R351" s="36">
        <v>1</v>
      </c>
      <c r="S351" s="36">
        <v>25</v>
      </c>
      <c r="T351" s="39">
        <v>3</v>
      </c>
      <c r="U351" s="37">
        <v>3</v>
      </c>
      <c r="V351" s="37">
        <v>21</v>
      </c>
      <c r="W351" s="30">
        <v>46</v>
      </c>
      <c r="X351" s="31">
        <v>15</v>
      </c>
      <c r="Y351" s="31">
        <v>100</v>
      </c>
      <c r="Z351" s="31" t="s">
        <v>43</v>
      </c>
      <c r="AA351" s="31">
        <v>53</v>
      </c>
      <c r="AB351" s="31">
        <v>17</v>
      </c>
      <c r="AC351" s="18" t="s">
        <v>53</v>
      </c>
      <c r="AD351" s="9">
        <v>-0.62306468680000004</v>
      </c>
      <c r="AE351" s="9">
        <v>-0.58113056789999995</v>
      </c>
      <c r="AF351" s="9">
        <v>-0.29685188159999998</v>
      </c>
      <c r="AG351" s="6" t="str">
        <f t="shared" si="24"/>
        <v>Normal</v>
      </c>
      <c r="AH351" s="7" t="str">
        <f t="shared" si="25"/>
        <v>BB Normal</v>
      </c>
      <c r="AI351" s="8" t="str">
        <f t="shared" si="26"/>
        <v>Normal</v>
      </c>
    </row>
    <row r="352" spans="1:35" ht="15.6">
      <c r="A352" s="35"/>
      <c r="B352" s="33" t="s">
        <v>1600</v>
      </c>
      <c r="C352" s="33" t="s">
        <v>1601</v>
      </c>
      <c r="D352" s="41" t="s">
        <v>48</v>
      </c>
      <c r="E352" s="42">
        <v>1</v>
      </c>
      <c r="F352" s="58" t="s">
        <v>1602</v>
      </c>
      <c r="G352" s="42" t="s">
        <v>1603</v>
      </c>
      <c r="H352" s="42">
        <v>2.9</v>
      </c>
      <c r="I352" s="42">
        <v>29</v>
      </c>
      <c r="J352" s="42">
        <v>1</v>
      </c>
      <c r="K352" s="42" t="s">
        <v>40</v>
      </c>
      <c r="L352" s="42" t="s">
        <v>1604</v>
      </c>
      <c r="M352" s="80" t="s">
        <v>1605</v>
      </c>
      <c r="N352" s="42" t="s">
        <v>1554</v>
      </c>
      <c r="O352" s="43">
        <v>2</v>
      </c>
      <c r="P352" s="17">
        <v>1</v>
      </c>
      <c r="Q352" s="36">
        <v>22</v>
      </c>
      <c r="R352" s="36">
        <v>1</v>
      </c>
      <c r="S352" s="36">
        <v>25</v>
      </c>
      <c r="T352" s="39">
        <v>9</v>
      </c>
      <c r="U352" s="37">
        <v>3</v>
      </c>
      <c r="V352" s="37">
        <v>21</v>
      </c>
      <c r="W352" s="30">
        <v>46</v>
      </c>
      <c r="X352" s="31">
        <v>14.8</v>
      </c>
      <c r="Y352" s="31">
        <v>106</v>
      </c>
      <c r="Z352" s="31" t="s">
        <v>43</v>
      </c>
      <c r="AA352" s="31">
        <v>50</v>
      </c>
      <c r="AB352" s="31">
        <v>18</v>
      </c>
      <c r="AC352" s="18" t="s">
        <v>53</v>
      </c>
      <c r="AD352" s="9">
        <v>0.85311179739999998</v>
      </c>
      <c r="AE352" s="9">
        <v>-0.67203811300000005</v>
      </c>
      <c r="AF352" s="9">
        <v>-1.8028723849999999</v>
      </c>
      <c r="AG352" s="6" t="str">
        <f t="shared" si="24"/>
        <v>Normal</v>
      </c>
      <c r="AH352" s="7" t="str">
        <f t="shared" si="25"/>
        <v>BB Normal</v>
      </c>
      <c r="AI352" s="8" t="str">
        <f t="shared" si="26"/>
        <v>Normal</v>
      </c>
    </row>
    <row r="353" spans="1:35" ht="15.6">
      <c r="A353" s="35"/>
      <c r="B353" s="33" t="s">
        <v>1606</v>
      </c>
      <c r="C353" s="33" t="s">
        <v>1596</v>
      </c>
      <c r="D353" s="41" t="s">
        <v>37</v>
      </c>
      <c r="E353" s="42">
        <v>2</v>
      </c>
      <c r="F353" s="58" t="s">
        <v>1607</v>
      </c>
      <c r="G353" s="42" t="s">
        <v>1608</v>
      </c>
      <c r="H353" s="42">
        <v>29</v>
      </c>
      <c r="I353" s="42">
        <v>50</v>
      </c>
      <c r="J353" s="42">
        <v>1</v>
      </c>
      <c r="K353" s="42" t="s">
        <v>1609</v>
      </c>
      <c r="L353" s="42" t="s">
        <v>1610</v>
      </c>
      <c r="M353" s="42"/>
      <c r="N353" s="42" t="s">
        <v>1554</v>
      </c>
      <c r="O353" s="43">
        <v>1</v>
      </c>
      <c r="P353" s="17">
        <v>1</v>
      </c>
      <c r="Q353" s="36">
        <v>22</v>
      </c>
      <c r="R353" s="36">
        <v>1</v>
      </c>
      <c r="S353" s="36">
        <v>25</v>
      </c>
      <c r="T353" s="39">
        <v>3</v>
      </c>
      <c r="U353" s="37">
        <v>3</v>
      </c>
      <c r="V353" s="37">
        <v>21</v>
      </c>
      <c r="W353" s="30">
        <v>46</v>
      </c>
      <c r="X353" s="31">
        <v>17</v>
      </c>
      <c r="Y353" s="31">
        <v>103.5</v>
      </c>
      <c r="Z353" s="31" t="s">
        <v>43</v>
      </c>
      <c r="AA353" s="31">
        <v>49</v>
      </c>
      <c r="AB353" s="31">
        <v>17</v>
      </c>
      <c r="AC353" s="18" t="s">
        <v>53</v>
      </c>
      <c r="AD353" s="9">
        <v>0.36528360059999998</v>
      </c>
      <c r="AE353" s="9">
        <v>0.5394291242</v>
      </c>
      <c r="AF353" s="9">
        <v>0.48648791860000001</v>
      </c>
      <c r="AG353" s="6" t="str">
        <f t="shared" si="24"/>
        <v>Normal</v>
      </c>
      <c r="AH353" s="7" t="str">
        <f t="shared" si="25"/>
        <v>BB Normal</v>
      </c>
      <c r="AI353" s="8" t="str">
        <f t="shared" si="26"/>
        <v>Normal</v>
      </c>
    </row>
    <row r="354" spans="1:35" ht="15.6">
      <c r="A354" s="35"/>
      <c r="B354" s="33" t="s">
        <v>1611</v>
      </c>
      <c r="C354" s="33" t="s">
        <v>440</v>
      </c>
      <c r="D354" s="41" t="s">
        <v>37</v>
      </c>
      <c r="E354" s="42">
        <v>2</v>
      </c>
      <c r="F354" s="58" t="s">
        <v>1612</v>
      </c>
      <c r="G354" s="42" t="s">
        <v>1613</v>
      </c>
      <c r="H354" s="42">
        <v>2.9</v>
      </c>
      <c r="I354" s="42">
        <v>28</v>
      </c>
      <c r="J354" s="42">
        <v>1</v>
      </c>
      <c r="K354" s="42" t="s">
        <v>40</v>
      </c>
      <c r="L354" s="42" t="s">
        <v>1614</v>
      </c>
      <c r="M354" s="80" t="s">
        <v>1615</v>
      </c>
      <c r="N354" s="42" t="s">
        <v>1554</v>
      </c>
      <c r="O354" s="43">
        <v>1</v>
      </c>
      <c r="P354" s="17">
        <v>1</v>
      </c>
      <c r="Q354" s="36">
        <v>22</v>
      </c>
      <c r="R354" s="36">
        <v>1</v>
      </c>
      <c r="S354" s="36">
        <v>25</v>
      </c>
      <c r="T354" s="39">
        <v>19</v>
      </c>
      <c r="U354" s="37">
        <v>5</v>
      </c>
      <c r="V354" s="37">
        <v>21</v>
      </c>
      <c r="W354" s="30">
        <v>44</v>
      </c>
      <c r="X354" s="31">
        <v>14.3</v>
      </c>
      <c r="Y354" s="31">
        <v>95</v>
      </c>
      <c r="Z354" s="31" t="s">
        <v>43</v>
      </c>
      <c r="AA354" s="31">
        <v>49</v>
      </c>
      <c r="AB354" s="31">
        <v>15</v>
      </c>
      <c r="AC354" s="18" t="s">
        <v>53</v>
      </c>
      <c r="AD354" s="9">
        <v>-1.300319094</v>
      </c>
      <c r="AE354" s="9">
        <v>-0.55543470009999996</v>
      </c>
      <c r="AF354" s="9">
        <v>0.33768640329999999</v>
      </c>
      <c r="AG354" s="6" t="str">
        <f t="shared" si="24"/>
        <v>Normal</v>
      </c>
      <c r="AH354" s="7" t="str">
        <f t="shared" si="25"/>
        <v>BB Normal</v>
      </c>
      <c r="AI354" s="8" t="str">
        <f t="shared" si="26"/>
        <v>Normal</v>
      </c>
    </row>
    <row r="355" spans="1:35" ht="15.6">
      <c r="A355" s="35"/>
      <c r="B355" s="33" t="s">
        <v>1616</v>
      </c>
      <c r="C355" s="33" t="s">
        <v>1617</v>
      </c>
      <c r="D355" s="41" t="s">
        <v>37</v>
      </c>
      <c r="E355" s="42">
        <v>2</v>
      </c>
      <c r="F355" s="58" t="s">
        <v>1618</v>
      </c>
      <c r="G355" s="42" t="s">
        <v>1619</v>
      </c>
      <c r="H355" s="42">
        <v>3.2</v>
      </c>
      <c r="I355" s="42">
        <v>50</v>
      </c>
      <c r="J355" s="42">
        <v>1</v>
      </c>
      <c r="K355" s="42" t="s">
        <v>40</v>
      </c>
      <c r="L355" s="42" t="s">
        <v>1620</v>
      </c>
      <c r="M355" s="80" t="s">
        <v>223</v>
      </c>
      <c r="N355" s="42" t="s">
        <v>1554</v>
      </c>
      <c r="O355" s="43">
        <v>3</v>
      </c>
      <c r="P355" s="17">
        <v>1</v>
      </c>
      <c r="Q355" s="36">
        <v>22</v>
      </c>
      <c r="R355" s="36">
        <v>1</v>
      </c>
      <c r="S355" s="36">
        <v>25</v>
      </c>
      <c r="T355" s="39">
        <v>1</v>
      </c>
      <c r="U355" s="37">
        <v>12</v>
      </c>
      <c r="V355" s="37">
        <v>21</v>
      </c>
      <c r="W355" s="30">
        <v>37</v>
      </c>
      <c r="X355" s="31">
        <v>16.5</v>
      </c>
      <c r="Y355" s="31">
        <v>97.5</v>
      </c>
      <c r="Z355" s="31" t="s">
        <v>43</v>
      </c>
      <c r="AA355" s="31">
        <v>52</v>
      </c>
      <c r="AB355" s="31">
        <v>18</v>
      </c>
      <c r="AC355" s="18" t="s">
        <v>53</v>
      </c>
      <c r="AD355" s="9">
        <v>0.32834093269999998</v>
      </c>
      <c r="AE355" s="9">
        <v>1.2210489099999999</v>
      </c>
      <c r="AF355" s="9">
        <v>1.463675619</v>
      </c>
      <c r="AG355" s="6" t="str">
        <f t="shared" si="24"/>
        <v>Normal</v>
      </c>
      <c r="AH355" s="7" t="str">
        <f t="shared" si="25"/>
        <v>Ris Lbh</v>
      </c>
      <c r="AI355" s="8" t="str">
        <f t="shared" si="26"/>
        <v>R.Gz.Lbh</v>
      </c>
    </row>
    <row r="356" spans="1:35" ht="15.6">
      <c r="A356" s="35"/>
      <c r="B356" s="33" t="s">
        <v>1621</v>
      </c>
      <c r="C356" s="33" t="s">
        <v>1622</v>
      </c>
      <c r="D356" s="41" t="s">
        <v>37</v>
      </c>
      <c r="E356" s="42">
        <v>2</v>
      </c>
      <c r="F356" s="58" t="s">
        <v>1623</v>
      </c>
      <c r="G356" s="42" t="s">
        <v>1624</v>
      </c>
      <c r="H356" s="42">
        <v>3.3</v>
      </c>
      <c r="I356" s="42">
        <v>52</v>
      </c>
      <c r="J356" s="42">
        <v>1</v>
      </c>
      <c r="K356" s="42" t="s">
        <v>40</v>
      </c>
      <c r="L356" s="42" t="s">
        <v>1625</v>
      </c>
      <c r="M356" s="80" t="s">
        <v>1626</v>
      </c>
      <c r="N356" s="42" t="s">
        <v>1554</v>
      </c>
      <c r="O356" s="17">
        <v>2</v>
      </c>
      <c r="P356" s="17">
        <v>1</v>
      </c>
      <c r="Q356" s="36">
        <v>22</v>
      </c>
      <c r="R356" s="36">
        <v>1</v>
      </c>
      <c r="S356" s="36">
        <v>25</v>
      </c>
      <c r="T356" s="39">
        <v>30</v>
      </c>
      <c r="U356" s="37">
        <v>9</v>
      </c>
      <c r="V356" s="37">
        <v>22</v>
      </c>
      <c r="W356" s="30">
        <v>27</v>
      </c>
      <c r="X356" s="31">
        <v>16.8</v>
      </c>
      <c r="Y356" s="31">
        <v>100</v>
      </c>
      <c r="Z356" s="31" t="s">
        <v>43</v>
      </c>
      <c r="AA356" s="31">
        <v>49</v>
      </c>
      <c r="AB356" s="31">
        <v>18</v>
      </c>
      <c r="AC356" s="18" t="s">
        <v>53</v>
      </c>
      <c r="AD356" s="9">
        <v>3.245337159</v>
      </c>
      <c r="AE356" s="9">
        <v>2.5298765049999998</v>
      </c>
      <c r="AF356" s="9">
        <v>1.132266851</v>
      </c>
      <c r="AG356" s="6" t="str">
        <f t="shared" si="24"/>
        <v>Tinggi</v>
      </c>
      <c r="AH356" s="7" t="str">
        <f t="shared" si="25"/>
        <v>Ris Lbh</v>
      </c>
      <c r="AI356" s="8" t="str">
        <f t="shared" si="26"/>
        <v>R.Gz.Lbh</v>
      </c>
    </row>
    <row r="357" spans="1:35" ht="15.6">
      <c r="A357" s="35"/>
      <c r="B357" s="33" t="s">
        <v>1627</v>
      </c>
      <c r="C357" s="33" t="s">
        <v>1628</v>
      </c>
      <c r="D357" s="41" t="s">
        <v>48</v>
      </c>
      <c r="E357" s="42">
        <v>1</v>
      </c>
      <c r="F357" s="58" t="s">
        <v>1629</v>
      </c>
      <c r="G357" s="42" t="s">
        <v>1630</v>
      </c>
      <c r="H357" s="42">
        <v>3</v>
      </c>
      <c r="I357" s="42">
        <v>50</v>
      </c>
      <c r="J357" s="42">
        <v>1</v>
      </c>
      <c r="K357" s="42" t="s">
        <v>40</v>
      </c>
      <c r="L357" s="42" t="s">
        <v>1631</v>
      </c>
      <c r="M357" s="42"/>
      <c r="N357" s="42" t="s">
        <v>1632</v>
      </c>
      <c r="O357" s="43">
        <v>1</v>
      </c>
      <c r="P357" s="17">
        <v>1</v>
      </c>
      <c r="Q357" s="36">
        <v>22</v>
      </c>
      <c r="R357" s="36">
        <v>1</v>
      </c>
      <c r="S357" s="36">
        <v>25</v>
      </c>
      <c r="T357" s="39">
        <v>13</v>
      </c>
      <c r="U357" s="37">
        <v>4</v>
      </c>
      <c r="V357" s="37">
        <v>22</v>
      </c>
      <c r="W357" s="30">
        <v>33</v>
      </c>
      <c r="X357" s="42">
        <v>12</v>
      </c>
      <c r="Y357" s="32">
        <v>83.5</v>
      </c>
      <c r="Z357" s="32" t="s">
        <v>43</v>
      </c>
      <c r="AA357" s="32">
        <v>49</v>
      </c>
      <c r="AB357" s="32">
        <v>14.5</v>
      </c>
      <c r="AC357" s="18" t="s">
        <v>53</v>
      </c>
      <c r="AD357" s="9">
        <v>-3.018764601</v>
      </c>
      <c r="AE357" s="9">
        <v>-1.236476943</v>
      </c>
      <c r="AF357" s="9">
        <v>0.74538060539999995</v>
      </c>
      <c r="AG357" s="6" t="str">
        <f t="shared" si="24"/>
        <v>S.Pendek</v>
      </c>
      <c r="AH357" s="7" t="str">
        <f t="shared" si="25"/>
        <v>BB Normal</v>
      </c>
      <c r="AI357" s="8" t="str">
        <f t="shared" si="26"/>
        <v>Normal</v>
      </c>
    </row>
    <row r="358" spans="1:35" ht="15.6">
      <c r="A358" s="35"/>
      <c r="B358" s="33" t="s">
        <v>1633</v>
      </c>
      <c r="C358" s="33" t="s">
        <v>1634</v>
      </c>
      <c r="D358" s="41" t="s">
        <v>37</v>
      </c>
      <c r="E358" s="42">
        <v>2</v>
      </c>
      <c r="F358" s="58" t="s">
        <v>1618</v>
      </c>
      <c r="G358" s="42" t="s">
        <v>1635</v>
      </c>
      <c r="H358" s="42">
        <v>3.2</v>
      </c>
      <c r="I358" s="42">
        <v>51</v>
      </c>
      <c r="J358" s="42">
        <v>1</v>
      </c>
      <c r="K358" s="42" t="s">
        <v>40</v>
      </c>
      <c r="L358" s="42" t="s">
        <v>1636</v>
      </c>
      <c r="M358" s="80" t="s">
        <v>1637</v>
      </c>
      <c r="N358" s="42" t="s">
        <v>1632</v>
      </c>
      <c r="O358" s="43">
        <v>2</v>
      </c>
      <c r="P358" s="17">
        <v>1</v>
      </c>
      <c r="Q358" s="36">
        <v>22</v>
      </c>
      <c r="R358" s="36">
        <v>1</v>
      </c>
      <c r="S358" s="36">
        <v>25</v>
      </c>
      <c r="T358" s="39">
        <v>25</v>
      </c>
      <c r="U358" s="37">
        <v>5</v>
      </c>
      <c r="V358" s="37">
        <v>22</v>
      </c>
      <c r="W358" s="30">
        <v>31</v>
      </c>
      <c r="X358" s="31">
        <v>13.1</v>
      </c>
      <c r="Y358" s="31">
        <v>93</v>
      </c>
      <c r="Z358" s="31" t="s">
        <v>43</v>
      </c>
      <c r="AA358" s="31">
        <v>48</v>
      </c>
      <c r="AB358" s="31">
        <v>16</v>
      </c>
      <c r="AC358" s="18" t="s">
        <v>53</v>
      </c>
      <c r="AD358" s="9">
        <v>0.2301921385</v>
      </c>
      <c r="AE358" s="9">
        <v>8.4531443670000008E-3</v>
      </c>
      <c r="AF358" s="9">
        <v>-0.2552534635</v>
      </c>
      <c r="AG358" s="6" t="str">
        <f t="shared" si="24"/>
        <v>Normal</v>
      </c>
      <c r="AH358" s="7" t="str">
        <f t="shared" si="25"/>
        <v>BB Normal</v>
      </c>
      <c r="AI358" s="8" t="str">
        <f t="shared" si="26"/>
        <v>Normal</v>
      </c>
    </row>
    <row r="359" spans="1:35" ht="15.6">
      <c r="A359" s="35"/>
      <c r="B359" s="33" t="s">
        <v>1638</v>
      </c>
      <c r="C359" s="33" t="s">
        <v>1639</v>
      </c>
      <c r="D359" s="41" t="s">
        <v>48</v>
      </c>
      <c r="E359" s="42">
        <v>1</v>
      </c>
      <c r="F359" s="58" t="s">
        <v>1640</v>
      </c>
      <c r="G359" s="42" t="s">
        <v>1641</v>
      </c>
      <c r="H359" s="42">
        <v>3</v>
      </c>
      <c r="I359" s="42">
        <v>50</v>
      </c>
      <c r="J359" s="42">
        <v>1</v>
      </c>
      <c r="K359" s="42" t="s">
        <v>40</v>
      </c>
      <c r="L359" s="42" t="s">
        <v>1642</v>
      </c>
      <c r="M359" s="80" t="s">
        <v>1643</v>
      </c>
      <c r="N359" s="42" t="s">
        <v>1632</v>
      </c>
      <c r="O359" s="43">
        <v>1</v>
      </c>
      <c r="P359" s="17">
        <v>1</v>
      </c>
      <c r="Q359" s="36">
        <v>22</v>
      </c>
      <c r="R359" s="36">
        <v>1</v>
      </c>
      <c r="S359" s="36">
        <v>25</v>
      </c>
      <c r="T359" s="39">
        <v>2</v>
      </c>
      <c r="U359" s="37">
        <v>6</v>
      </c>
      <c r="V359" s="37">
        <v>22</v>
      </c>
      <c r="W359" s="30">
        <v>31</v>
      </c>
      <c r="X359" s="31">
        <v>10.4</v>
      </c>
      <c r="Y359" s="31">
        <v>82.5</v>
      </c>
      <c r="Z359" s="31" t="s">
        <v>43</v>
      </c>
      <c r="AA359" s="31">
        <v>48</v>
      </c>
      <c r="AB359" s="31">
        <v>16</v>
      </c>
      <c r="AC359" s="18" t="s">
        <v>53</v>
      </c>
      <c r="AD359" s="9">
        <v>-3.0498275119999998</v>
      </c>
      <c r="AE359" s="9">
        <v>-2.2622906610000002</v>
      </c>
      <c r="AF359" s="9">
        <v>-0.8013521079</v>
      </c>
      <c r="AG359" s="6" t="str">
        <f t="shared" si="24"/>
        <v>S.Pendek</v>
      </c>
      <c r="AH359" s="7" t="str">
        <f t="shared" si="25"/>
        <v>BB Krg</v>
      </c>
      <c r="AI359" s="8" t="str">
        <f t="shared" si="26"/>
        <v>Normal</v>
      </c>
    </row>
    <row r="360" spans="1:35" ht="15.6">
      <c r="A360" s="35"/>
      <c r="B360" s="33" t="s">
        <v>1644</v>
      </c>
      <c r="C360" s="33" t="s">
        <v>1645</v>
      </c>
      <c r="D360" s="41" t="s">
        <v>48</v>
      </c>
      <c r="E360" s="42">
        <v>1</v>
      </c>
      <c r="F360" s="58" t="s">
        <v>1646</v>
      </c>
      <c r="G360" s="42" t="s">
        <v>1647</v>
      </c>
      <c r="H360" s="42">
        <v>2.9</v>
      </c>
      <c r="I360" s="42">
        <v>29</v>
      </c>
      <c r="J360" s="42">
        <v>1</v>
      </c>
      <c r="K360" s="42" t="s">
        <v>40</v>
      </c>
      <c r="L360" s="42" t="s">
        <v>1648</v>
      </c>
      <c r="M360" s="42"/>
      <c r="N360" s="42" t="s">
        <v>1632</v>
      </c>
      <c r="O360" s="43">
        <v>2</v>
      </c>
      <c r="P360" s="17">
        <v>1</v>
      </c>
      <c r="Q360" s="36">
        <v>22</v>
      </c>
      <c r="R360" s="36">
        <v>1</v>
      </c>
      <c r="S360" s="36">
        <v>25</v>
      </c>
      <c r="T360" s="39">
        <v>6</v>
      </c>
      <c r="U360" s="37">
        <v>6</v>
      </c>
      <c r="V360" s="37">
        <v>22</v>
      </c>
      <c r="W360" s="30">
        <v>31</v>
      </c>
      <c r="X360" s="42">
        <v>10.6</v>
      </c>
      <c r="Y360" s="32">
        <v>88</v>
      </c>
      <c r="Z360" s="31" t="s">
        <v>43</v>
      </c>
      <c r="AA360" s="32">
        <v>47</v>
      </c>
      <c r="AB360" s="32">
        <v>14</v>
      </c>
      <c r="AC360" s="18" t="s">
        <v>53</v>
      </c>
      <c r="AD360" s="9">
        <v>-1.452648639</v>
      </c>
      <c r="AE360" s="9">
        <v>-2.0885723650000001</v>
      </c>
      <c r="AF360" s="9">
        <v>-2.0308202039999999</v>
      </c>
      <c r="AG360" s="6" t="str">
        <f t="shared" si="24"/>
        <v>Normal</v>
      </c>
      <c r="AH360" s="7" t="str">
        <f t="shared" si="25"/>
        <v>BB Krg</v>
      </c>
      <c r="AI360" s="8" t="str">
        <f t="shared" si="26"/>
        <v>Gz.Krg</v>
      </c>
    </row>
    <row r="361" spans="1:35" ht="15.6">
      <c r="A361" s="35"/>
      <c r="B361" s="33" t="s">
        <v>1649</v>
      </c>
      <c r="C361" s="33" t="s">
        <v>1650</v>
      </c>
      <c r="D361" s="41" t="s">
        <v>37</v>
      </c>
      <c r="E361" s="42">
        <v>2</v>
      </c>
      <c r="F361" s="58" t="s">
        <v>1651</v>
      </c>
      <c r="G361" s="42" t="s">
        <v>1652</v>
      </c>
      <c r="H361" s="42">
        <v>2.8</v>
      </c>
      <c r="I361" s="42">
        <v>29</v>
      </c>
      <c r="J361" s="42">
        <v>1</v>
      </c>
      <c r="K361" s="42" t="s">
        <v>40</v>
      </c>
      <c r="L361" s="42" t="s">
        <v>1653</v>
      </c>
      <c r="M361" s="80" t="s">
        <v>1654</v>
      </c>
      <c r="N361" s="42" t="s">
        <v>1632</v>
      </c>
      <c r="O361" s="43">
        <v>2</v>
      </c>
      <c r="P361" s="17">
        <v>1</v>
      </c>
      <c r="Q361" s="36">
        <v>22</v>
      </c>
      <c r="R361" s="36">
        <v>1</v>
      </c>
      <c r="S361" s="36">
        <v>25</v>
      </c>
      <c r="T361" s="39">
        <v>19</v>
      </c>
      <c r="U361" s="37">
        <v>9</v>
      </c>
      <c r="V361" s="37">
        <v>22</v>
      </c>
      <c r="W361" s="30">
        <v>28</v>
      </c>
      <c r="X361" s="42">
        <v>9.4</v>
      </c>
      <c r="Y361" s="32">
        <v>83</v>
      </c>
      <c r="Z361" s="31" t="s">
        <v>43</v>
      </c>
      <c r="AA361" s="32">
        <v>46</v>
      </c>
      <c r="AB361" s="32">
        <v>14</v>
      </c>
      <c r="AC361" s="18" t="s">
        <v>53</v>
      </c>
      <c r="AD361" s="9">
        <v>-1.80303686</v>
      </c>
      <c r="AE361" s="9">
        <v>-2.1884324980000001</v>
      </c>
      <c r="AF361" s="9">
        <v>-1.746124666</v>
      </c>
      <c r="AG361" s="6" t="str">
        <f t="shared" si="24"/>
        <v>Normal</v>
      </c>
      <c r="AH361" s="7" t="str">
        <f t="shared" si="25"/>
        <v>BB Krg</v>
      </c>
      <c r="AI361" s="8" t="str">
        <f t="shared" si="26"/>
        <v>Normal</v>
      </c>
    </row>
    <row r="362" spans="1:35" ht="15.6">
      <c r="A362" s="35"/>
      <c r="B362" s="33" t="s">
        <v>198</v>
      </c>
      <c r="C362" s="33" t="s">
        <v>1655</v>
      </c>
      <c r="D362" s="41" t="s">
        <v>48</v>
      </c>
      <c r="E362" s="42">
        <v>1</v>
      </c>
      <c r="F362" s="58" t="s">
        <v>1656</v>
      </c>
      <c r="G362" s="42" t="s">
        <v>1657</v>
      </c>
      <c r="H362" s="42">
        <v>3</v>
      </c>
      <c r="I362" s="42">
        <v>50</v>
      </c>
      <c r="J362" s="42">
        <v>1</v>
      </c>
      <c r="K362" s="42" t="s">
        <v>40</v>
      </c>
      <c r="L362" s="42" t="s">
        <v>1658</v>
      </c>
      <c r="M362" s="80" t="s">
        <v>1659</v>
      </c>
      <c r="N362" s="42" t="s">
        <v>1632</v>
      </c>
      <c r="O362" s="43">
        <v>1</v>
      </c>
      <c r="P362" s="17">
        <v>1</v>
      </c>
      <c r="Q362" s="36">
        <v>22</v>
      </c>
      <c r="R362" s="36">
        <v>1</v>
      </c>
      <c r="S362" s="36">
        <v>25</v>
      </c>
      <c r="T362" s="39">
        <v>29</v>
      </c>
      <c r="U362" s="37">
        <v>12</v>
      </c>
      <c r="V362" s="37">
        <v>22</v>
      </c>
      <c r="W362" s="30">
        <v>24</v>
      </c>
      <c r="X362" s="42">
        <v>10</v>
      </c>
      <c r="Y362" s="32">
        <v>81.5</v>
      </c>
      <c r="Z362" s="31" t="s">
        <v>43</v>
      </c>
      <c r="AA362" s="32">
        <v>47.5</v>
      </c>
      <c r="AB362" s="32">
        <v>13</v>
      </c>
      <c r="AC362" s="18" t="s">
        <v>53</v>
      </c>
      <c r="AD362" s="9">
        <v>-2.0304579500000002</v>
      </c>
      <c r="AE362" s="9">
        <v>-1.8124375690000001</v>
      </c>
      <c r="AF362" s="9">
        <v>-1.0475319949999999</v>
      </c>
      <c r="AG362" s="6" t="str">
        <f t="shared" si="24"/>
        <v>Pendek</v>
      </c>
      <c r="AH362" s="7" t="str">
        <f t="shared" si="25"/>
        <v>BB Normal</v>
      </c>
      <c r="AI362" s="8" t="str">
        <f t="shared" si="26"/>
        <v>Normal</v>
      </c>
    </row>
    <row r="363" spans="1:35" ht="15.6">
      <c r="A363" s="35"/>
      <c r="B363" s="33" t="s">
        <v>198</v>
      </c>
      <c r="C363" s="33" t="s">
        <v>1660</v>
      </c>
      <c r="D363" s="41" t="s">
        <v>37</v>
      </c>
      <c r="E363" s="42">
        <v>2</v>
      </c>
      <c r="F363" s="58" t="s">
        <v>1661</v>
      </c>
      <c r="G363" s="42" t="s">
        <v>1662</v>
      </c>
      <c r="H363" s="42">
        <v>2.7</v>
      </c>
      <c r="I363" s="42">
        <v>47</v>
      </c>
      <c r="J363" s="42">
        <v>1</v>
      </c>
      <c r="K363" s="42" t="s">
        <v>40</v>
      </c>
      <c r="L363" s="42" t="s">
        <v>1576</v>
      </c>
      <c r="M363" s="80" t="s">
        <v>1663</v>
      </c>
      <c r="N363" s="42" t="s">
        <v>1632</v>
      </c>
      <c r="O363" s="43">
        <v>3</v>
      </c>
      <c r="P363" s="17">
        <v>1</v>
      </c>
      <c r="Q363" s="36">
        <v>22</v>
      </c>
      <c r="R363" s="36">
        <v>1</v>
      </c>
      <c r="S363" s="36">
        <v>25</v>
      </c>
      <c r="T363" s="39">
        <v>7</v>
      </c>
      <c r="U363" s="37">
        <v>2</v>
      </c>
      <c r="V363" s="37">
        <v>23</v>
      </c>
      <c r="W363" s="30">
        <v>23</v>
      </c>
      <c r="X363" s="42">
        <v>9</v>
      </c>
      <c r="Y363" s="32">
        <v>77.900000000000006</v>
      </c>
      <c r="Z363" s="32" t="s">
        <v>131</v>
      </c>
      <c r="AA363" s="32">
        <v>47</v>
      </c>
      <c r="AB363" s="32">
        <v>15</v>
      </c>
      <c r="AC363" s="18" t="s">
        <v>53</v>
      </c>
      <c r="AD363" s="9">
        <v>-2.4115208560000001</v>
      </c>
      <c r="AE363" s="9">
        <v>-1.9632199779999999</v>
      </c>
      <c r="AF363" s="9">
        <v>-0.85432808380000003</v>
      </c>
      <c r="AG363" s="6" t="str">
        <f t="shared" si="24"/>
        <v>Pendek</v>
      </c>
      <c r="AH363" s="7" t="str">
        <f t="shared" si="25"/>
        <v>BB Normal</v>
      </c>
      <c r="AI363" s="8" t="str">
        <f t="shared" si="26"/>
        <v>Normal</v>
      </c>
    </row>
    <row r="364" spans="1:35" ht="15.6">
      <c r="A364" s="35"/>
      <c r="B364" s="33" t="s">
        <v>198</v>
      </c>
      <c r="C364" s="33" t="s">
        <v>1664</v>
      </c>
      <c r="D364" s="41" t="s">
        <v>48</v>
      </c>
      <c r="E364" s="42">
        <v>1</v>
      </c>
      <c r="F364" s="58" t="s">
        <v>1665</v>
      </c>
      <c r="G364" s="42" t="s">
        <v>1666</v>
      </c>
      <c r="H364" s="42">
        <v>3</v>
      </c>
      <c r="I364" s="42">
        <v>50</v>
      </c>
      <c r="J364" s="42">
        <v>1</v>
      </c>
      <c r="K364" s="42" t="s">
        <v>40</v>
      </c>
      <c r="L364" s="42" t="s">
        <v>1667</v>
      </c>
      <c r="M364" s="80" t="s">
        <v>1668</v>
      </c>
      <c r="N364" s="42" t="s">
        <v>1632</v>
      </c>
      <c r="O364" s="43">
        <v>3</v>
      </c>
      <c r="P364" s="17">
        <v>1</v>
      </c>
      <c r="Q364" s="36">
        <v>22</v>
      </c>
      <c r="R364" s="36">
        <v>1</v>
      </c>
      <c r="S364" s="36">
        <v>25</v>
      </c>
      <c r="T364" s="39">
        <v>30</v>
      </c>
      <c r="U364" s="37">
        <v>3</v>
      </c>
      <c r="V364" s="37">
        <v>23</v>
      </c>
      <c r="W364" s="30">
        <v>21</v>
      </c>
      <c r="X364" s="42">
        <v>16.8</v>
      </c>
      <c r="Y364" s="32">
        <v>86.8</v>
      </c>
      <c r="Z364" s="32" t="s">
        <v>131</v>
      </c>
      <c r="AA364" s="32">
        <v>53</v>
      </c>
      <c r="AB364" s="32">
        <v>21.5</v>
      </c>
      <c r="AC364" s="18" t="s">
        <v>53</v>
      </c>
      <c r="AD364" s="9">
        <v>0.31607673870000003</v>
      </c>
      <c r="AE364" s="9">
        <v>3.1908095950000002</v>
      </c>
      <c r="AF364" s="9">
        <v>4.3340306880000004</v>
      </c>
      <c r="AG364" s="6" t="str">
        <f t="shared" si="24"/>
        <v>Normal</v>
      </c>
      <c r="AH364" s="7" t="str">
        <f t="shared" si="25"/>
        <v>Ris Lbh</v>
      </c>
      <c r="AI364" s="8" t="str">
        <f t="shared" si="26"/>
        <v>Obesitas</v>
      </c>
    </row>
    <row r="365" spans="1:35" ht="15.6">
      <c r="A365" s="35"/>
      <c r="B365" s="33" t="s">
        <v>36</v>
      </c>
      <c r="C365" s="33" t="s">
        <v>1669</v>
      </c>
      <c r="D365" s="41" t="s">
        <v>48</v>
      </c>
      <c r="E365" s="42">
        <v>1</v>
      </c>
      <c r="F365" s="58" t="s">
        <v>1670</v>
      </c>
      <c r="G365" s="42" t="s">
        <v>1671</v>
      </c>
      <c r="H365" s="42">
        <v>2.9</v>
      </c>
      <c r="I365" s="42">
        <v>50</v>
      </c>
      <c r="J365" s="42">
        <v>1</v>
      </c>
      <c r="K365" s="42" t="s">
        <v>40</v>
      </c>
      <c r="L365" s="42" t="s">
        <v>1672</v>
      </c>
      <c r="M365" s="80" t="s">
        <v>1673</v>
      </c>
      <c r="N365" s="42" t="s">
        <v>1632</v>
      </c>
      <c r="O365" s="43">
        <v>1</v>
      </c>
      <c r="P365" s="17">
        <v>1</v>
      </c>
      <c r="Q365" s="36">
        <v>22</v>
      </c>
      <c r="R365" s="36">
        <v>1</v>
      </c>
      <c r="S365" s="36">
        <v>25</v>
      </c>
      <c r="T365" s="39">
        <v>17</v>
      </c>
      <c r="U365" s="37">
        <v>6</v>
      </c>
      <c r="V365" s="37">
        <v>23</v>
      </c>
      <c r="W365" s="30">
        <v>19</v>
      </c>
      <c r="X365" s="42">
        <v>9.6</v>
      </c>
      <c r="Y365" s="32">
        <v>78.5</v>
      </c>
      <c r="Z365" s="32" t="s">
        <v>131</v>
      </c>
      <c r="AA365" s="32">
        <v>48</v>
      </c>
      <c r="AB365" s="32">
        <v>16</v>
      </c>
      <c r="AC365" s="18" t="s">
        <v>53</v>
      </c>
      <c r="AD365" s="9">
        <v>-1.787876077</v>
      </c>
      <c r="AE365" s="9">
        <v>-1.3682834020000001</v>
      </c>
      <c r="AF365" s="9">
        <v>-0.72608939770000003</v>
      </c>
      <c r="AG365" s="6" t="str">
        <f t="shared" si="24"/>
        <v>Normal</v>
      </c>
      <c r="AH365" s="7" t="str">
        <f t="shared" si="25"/>
        <v>BB Normal</v>
      </c>
      <c r="AI365" s="8" t="str">
        <f t="shared" si="26"/>
        <v>Normal</v>
      </c>
    </row>
    <row r="366" spans="1:35" ht="15.6">
      <c r="A366" s="35"/>
      <c r="B366" s="33" t="s">
        <v>640</v>
      </c>
      <c r="C366" s="33" t="s">
        <v>1674</v>
      </c>
      <c r="D366" s="41" t="s">
        <v>48</v>
      </c>
      <c r="E366" s="42">
        <v>1</v>
      </c>
      <c r="F366" s="31"/>
      <c r="G366" s="42" t="s">
        <v>1675</v>
      </c>
      <c r="H366" s="42">
        <v>2.8</v>
      </c>
      <c r="I366" s="42">
        <v>29</v>
      </c>
      <c r="J366" s="42">
        <v>1</v>
      </c>
      <c r="K366" s="42" t="s">
        <v>40</v>
      </c>
      <c r="L366" s="42" t="s">
        <v>1553</v>
      </c>
      <c r="M366" s="42"/>
      <c r="N366" s="42" t="s">
        <v>1632</v>
      </c>
      <c r="O366" s="43">
        <v>3</v>
      </c>
      <c r="P366" s="17">
        <v>1</v>
      </c>
      <c r="Q366" s="36">
        <v>22</v>
      </c>
      <c r="R366" s="36">
        <v>1</v>
      </c>
      <c r="S366" s="36">
        <v>25</v>
      </c>
      <c r="T366" s="39">
        <v>24</v>
      </c>
      <c r="U366" s="37">
        <v>6</v>
      </c>
      <c r="V366" s="37">
        <v>23</v>
      </c>
      <c r="W366" s="30">
        <v>18</v>
      </c>
      <c r="X366" s="42">
        <v>8</v>
      </c>
      <c r="Y366" s="32">
        <v>79</v>
      </c>
      <c r="Z366" s="32" t="s">
        <v>131</v>
      </c>
      <c r="AA366" s="32">
        <v>45</v>
      </c>
      <c r="AB366" s="32">
        <v>13</v>
      </c>
      <c r="AC366" s="18" t="s">
        <v>53</v>
      </c>
      <c r="AD366" s="9">
        <v>-1.536101699</v>
      </c>
      <c r="AE366" s="9">
        <v>-2.9658841790000001</v>
      </c>
      <c r="AF366" s="9">
        <v>-3.129825447</v>
      </c>
      <c r="AG366" s="6" t="str">
        <f t="shared" si="24"/>
        <v>Normal</v>
      </c>
      <c r="AH366" s="7" t="str">
        <f t="shared" si="25"/>
        <v>BB Krg</v>
      </c>
      <c r="AI366" s="8" t="str">
        <f t="shared" si="26"/>
        <v>Gz.Brk</v>
      </c>
    </row>
    <row r="367" spans="1:35" ht="15.6">
      <c r="A367" s="35"/>
      <c r="B367" s="33" t="s">
        <v>44</v>
      </c>
      <c r="C367" s="33" t="s">
        <v>1676</v>
      </c>
      <c r="D367" s="41" t="s">
        <v>48</v>
      </c>
      <c r="E367" s="42">
        <v>1</v>
      </c>
      <c r="F367" s="58" t="s">
        <v>1677</v>
      </c>
      <c r="G367" s="42" t="s">
        <v>1678</v>
      </c>
      <c r="H367" s="42">
        <v>3</v>
      </c>
      <c r="I367" s="42">
        <v>50</v>
      </c>
      <c r="J367" s="42">
        <v>1</v>
      </c>
      <c r="K367" s="42" t="s">
        <v>40</v>
      </c>
      <c r="L367" s="42" t="s">
        <v>1679</v>
      </c>
      <c r="M367" s="80" t="s">
        <v>1680</v>
      </c>
      <c r="N367" s="42" t="s">
        <v>1632</v>
      </c>
      <c r="O367" s="43">
        <v>1</v>
      </c>
      <c r="P367" s="17">
        <v>1</v>
      </c>
      <c r="Q367" s="36">
        <v>22</v>
      </c>
      <c r="R367" s="36">
        <v>1</v>
      </c>
      <c r="S367" s="36">
        <v>25</v>
      </c>
      <c r="T367" s="39">
        <v>2</v>
      </c>
      <c r="U367" s="37">
        <v>8</v>
      </c>
      <c r="V367" s="37">
        <v>23</v>
      </c>
      <c r="W367" s="30">
        <v>17</v>
      </c>
      <c r="X367" s="42">
        <v>9</v>
      </c>
      <c r="Y367" s="32">
        <v>79</v>
      </c>
      <c r="Z367" s="32" t="s">
        <v>131</v>
      </c>
      <c r="AA367" s="32">
        <v>46</v>
      </c>
      <c r="AB367" s="32">
        <v>16</v>
      </c>
      <c r="AC367" s="18" t="s">
        <v>53</v>
      </c>
      <c r="AD367" s="9">
        <v>-1.104185038</v>
      </c>
      <c r="AE367" s="9">
        <v>-1.7056263519999999</v>
      </c>
      <c r="AF367" s="9">
        <v>-1.647633229</v>
      </c>
      <c r="AG367" s="6" t="str">
        <f t="shared" si="24"/>
        <v>Normal</v>
      </c>
      <c r="AH367" s="7" t="str">
        <f t="shared" si="25"/>
        <v>BB Normal</v>
      </c>
      <c r="AI367" s="8" t="str">
        <f t="shared" si="26"/>
        <v>Normal</v>
      </c>
    </row>
    <row r="368" spans="1:35" ht="15.6">
      <c r="A368" s="35"/>
      <c r="B368" s="33" t="s">
        <v>198</v>
      </c>
      <c r="C368" s="33" t="s">
        <v>1207</v>
      </c>
      <c r="D368" s="41" t="s">
        <v>37</v>
      </c>
      <c r="E368" s="42">
        <v>2</v>
      </c>
      <c r="F368" s="58" t="s">
        <v>1681</v>
      </c>
      <c r="G368" s="42" t="s">
        <v>1682</v>
      </c>
      <c r="H368" s="42">
        <v>2.9</v>
      </c>
      <c r="I368" s="42">
        <v>50</v>
      </c>
      <c r="J368" s="42">
        <v>1</v>
      </c>
      <c r="K368" s="42" t="s">
        <v>40</v>
      </c>
      <c r="L368" s="42" t="s">
        <v>1683</v>
      </c>
      <c r="M368" s="80" t="s">
        <v>1684</v>
      </c>
      <c r="N368" s="42" t="s">
        <v>1632</v>
      </c>
      <c r="O368" s="43">
        <v>1</v>
      </c>
      <c r="P368" s="17">
        <v>1</v>
      </c>
      <c r="Q368" s="36">
        <v>22</v>
      </c>
      <c r="R368" s="36">
        <v>1</v>
      </c>
      <c r="S368" s="36">
        <v>25</v>
      </c>
      <c r="T368" s="39">
        <v>16</v>
      </c>
      <c r="U368" s="37">
        <v>10</v>
      </c>
      <c r="V368" s="37">
        <v>23</v>
      </c>
      <c r="W368" s="30">
        <v>15</v>
      </c>
      <c r="X368" s="42">
        <v>7.8</v>
      </c>
      <c r="Y368" s="32">
        <v>78</v>
      </c>
      <c r="Z368" s="32" t="s">
        <v>131</v>
      </c>
      <c r="AA368" s="32">
        <v>44</v>
      </c>
      <c r="AB368" s="32">
        <v>14</v>
      </c>
      <c r="AC368" s="18" t="s">
        <v>53</v>
      </c>
      <c r="AD368" s="9">
        <v>8.2254192899999995E-2</v>
      </c>
      <c r="AE368" s="9">
        <v>-1.694545524</v>
      </c>
      <c r="AF368" s="9">
        <v>-2.556259448</v>
      </c>
      <c r="AG368" s="6" t="str">
        <f t="shared" si="24"/>
        <v>Normal</v>
      </c>
      <c r="AH368" s="7" t="str">
        <f t="shared" si="25"/>
        <v>BB Normal</v>
      </c>
      <c r="AI368" s="8" t="str">
        <f t="shared" si="26"/>
        <v>Gz.Krg</v>
      </c>
    </row>
    <row r="369" spans="1:35" ht="15.6">
      <c r="A369" s="35"/>
      <c r="B369" s="33" t="s">
        <v>36</v>
      </c>
      <c r="C369" s="33" t="s">
        <v>1685</v>
      </c>
      <c r="D369" s="41" t="s">
        <v>48</v>
      </c>
      <c r="E369" s="42">
        <v>1</v>
      </c>
      <c r="F369" s="31"/>
      <c r="G369" s="42" t="s">
        <v>1686</v>
      </c>
      <c r="H369" s="42">
        <v>3.4</v>
      </c>
      <c r="I369" s="42">
        <v>52</v>
      </c>
      <c r="J369" s="42">
        <v>1</v>
      </c>
      <c r="K369" s="42" t="s">
        <v>40</v>
      </c>
      <c r="L369" s="42" t="s">
        <v>1587</v>
      </c>
      <c r="M369" s="80" t="s">
        <v>1687</v>
      </c>
      <c r="N369" s="42" t="s">
        <v>1632</v>
      </c>
      <c r="O369" s="43">
        <v>2</v>
      </c>
      <c r="P369" s="17">
        <v>1</v>
      </c>
      <c r="Q369" s="36">
        <v>22</v>
      </c>
      <c r="R369" s="36">
        <v>1</v>
      </c>
      <c r="S369" s="36">
        <v>25</v>
      </c>
      <c r="T369" s="39">
        <v>1</v>
      </c>
      <c r="U369" s="37">
        <v>12</v>
      </c>
      <c r="V369" s="37">
        <v>23</v>
      </c>
      <c r="W369" s="30">
        <v>13</v>
      </c>
      <c r="X369" s="42">
        <v>9</v>
      </c>
      <c r="Y369" s="32">
        <v>77</v>
      </c>
      <c r="Z369" s="32" t="s">
        <v>131</v>
      </c>
      <c r="AA369" s="32">
        <v>44.5</v>
      </c>
      <c r="AB369" s="32">
        <v>14</v>
      </c>
      <c r="AC369" s="18" t="s">
        <v>53</v>
      </c>
      <c r="AD369" s="9">
        <v>-0.30166111309999999</v>
      </c>
      <c r="AE369" s="9">
        <v>-0.99229210339999996</v>
      </c>
      <c r="AF369" s="9">
        <v>-1.1864656499999999</v>
      </c>
      <c r="AG369" s="6" t="str">
        <f t="shared" si="24"/>
        <v>Normal</v>
      </c>
      <c r="AH369" s="7" t="str">
        <f t="shared" si="25"/>
        <v>BB Normal</v>
      </c>
      <c r="AI369" s="8" t="str">
        <f t="shared" si="26"/>
        <v>Normal</v>
      </c>
    </row>
    <row r="370" spans="1:35" ht="15.6">
      <c r="A370" s="35"/>
      <c r="B370" s="33" t="s">
        <v>36</v>
      </c>
      <c r="C370" s="33" t="s">
        <v>1688</v>
      </c>
      <c r="D370" s="41" t="s">
        <v>48</v>
      </c>
      <c r="E370" s="42">
        <v>1</v>
      </c>
      <c r="F370" s="58" t="s">
        <v>1689</v>
      </c>
      <c r="G370" s="42" t="s">
        <v>1690</v>
      </c>
      <c r="H370" s="42">
        <v>2.9</v>
      </c>
      <c r="I370" s="42">
        <v>50</v>
      </c>
      <c r="J370" s="42">
        <v>1</v>
      </c>
      <c r="K370" s="42" t="s">
        <v>40</v>
      </c>
      <c r="L370" s="42" t="s">
        <v>1648</v>
      </c>
      <c r="M370" s="42"/>
      <c r="N370" s="42" t="s">
        <v>1632</v>
      </c>
      <c r="O370" s="43">
        <v>2</v>
      </c>
      <c r="P370" s="17">
        <v>1</v>
      </c>
      <c r="Q370" s="36">
        <v>22</v>
      </c>
      <c r="R370" s="36">
        <v>1</v>
      </c>
      <c r="S370" s="36">
        <v>25</v>
      </c>
      <c r="T370" s="39">
        <v>5</v>
      </c>
      <c r="U370" s="37">
        <v>1</v>
      </c>
      <c r="V370" s="37">
        <v>24</v>
      </c>
      <c r="W370" s="30">
        <v>12</v>
      </c>
      <c r="X370" s="42">
        <v>7.5</v>
      </c>
      <c r="Y370" s="32">
        <v>73</v>
      </c>
      <c r="Z370" s="32" t="s">
        <v>131</v>
      </c>
      <c r="AA370" s="32">
        <v>44</v>
      </c>
      <c r="AB370" s="32">
        <v>14.5</v>
      </c>
      <c r="AC370" s="18" t="s">
        <v>53</v>
      </c>
      <c r="AD370" s="9">
        <v>-1.4241406400000001</v>
      </c>
      <c r="AE370" s="9">
        <v>-2.4405333279999999</v>
      </c>
      <c r="AF370" s="9">
        <v>-2.4127376300000001</v>
      </c>
      <c r="AG370" s="6" t="str">
        <f t="shared" si="24"/>
        <v>Normal</v>
      </c>
      <c r="AH370" s="7" t="str">
        <f t="shared" si="25"/>
        <v>BB Krg</v>
      </c>
      <c r="AI370" s="8" t="str">
        <f t="shared" si="26"/>
        <v>Gz.Krg</v>
      </c>
    </row>
    <row r="371" spans="1:35" ht="15.6">
      <c r="A371" s="35"/>
      <c r="B371" s="33" t="s">
        <v>36</v>
      </c>
      <c r="C371" s="33" t="s">
        <v>1691</v>
      </c>
      <c r="D371" s="41" t="s">
        <v>48</v>
      </c>
      <c r="E371" s="42">
        <v>1</v>
      </c>
      <c r="F371" s="58" t="s">
        <v>1692</v>
      </c>
      <c r="G371" s="42" t="s">
        <v>1693</v>
      </c>
      <c r="H371" s="42">
        <v>3.2</v>
      </c>
      <c r="I371" s="42">
        <v>51</v>
      </c>
      <c r="J371" s="42">
        <v>1</v>
      </c>
      <c r="K371" s="42" t="s">
        <v>40</v>
      </c>
      <c r="L371" s="42" t="s">
        <v>1694</v>
      </c>
      <c r="M371" s="80" t="s">
        <v>1695</v>
      </c>
      <c r="N371" s="42" t="s">
        <v>1632</v>
      </c>
      <c r="O371" s="43">
        <v>3</v>
      </c>
      <c r="P371" s="17">
        <v>1</v>
      </c>
      <c r="Q371" s="36">
        <v>22</v>
      </c>
      <c r="R371" s="36">
        <v>1</v>
      </c>
      <c r="S371" s="36">
        <v>25</v>
      </c>
      <c r="T371" s="39">
        <v>28</v>
      </c>
      <c r="U371" s="37">
        <v>1</v>
      </c>
      <c r="V371" s="37">
        <v>24</v>
      </c>
      <c r="W371" s="30">
        <v>11</v>
      </c>
      <c r="X371" s="42">
        <v>10.4</v>
      </c>
      <c r="Y371" s="32">
        <v>73.2</v>
      </c>
      <c r="Z371" s="32" t="s">
        <v>131</v>
      </c>
      <c r="AA371" s="32">
        <v>45</v>
      </c>
      <c r="AB371" s="32">
        <v>17</v>
      </c>
      <c r="AC371" s="18" t="s">
        <v>53</v>
      </c>
      <c r="AD371" s="9">
        <v>-0.98674524129999996</v>
      </c>
      <c r="AE371" s="9">
        <v>0.68580525619999999</v>
      </c>
      <c r="AF371" s="9">
        <v>1.6301473719999999</v>
      </c>
      <c r="AG371" s="6" t="str">
        <f t="shared" si="24"/>
        <v>Normal</v>
      </c>
      <c r="AH371" s="7" t="str">
        <f t="shared" si="25"/>
        <v>BB Normal</v>
      </c>
      <c r="AI371" s="8" t="str">
        <f t="shared" si="26"/>
        <v>R.Gz.Lbh</v>
      </c>
    </row>
    <row r="372" spans="1:35" ht="15.6">
      <c r="A372" s="35"/>
      <c r="B372" s="33" t="s">
        <v>36</v>
      </c>
      <c r="C372" s="48" t="s">
        <v>1696</v>
      </c>
      <c r="D372" s="41" t="s">
        <v>37</v>
      </c>
      <c r="E372" s="42">
        <v>2</v>
      </c>
      <c r="F372" s="31"/>
      <c r="G372" s="42" t="s">
        <v>1697</v>
      </c>
      <c r="H372" s="42">
        <v>3.4</v>
      </c>
      <c r="I372" s="42">
        <v>51</v>
      </c>
      <c r="J372" s="42">
        <v>1</v>
      </c>
      <c r="K372" s="42" t="s">
        <v>40</v>
      </c>
      <c r="L372" s="42" t="s">
        <v>1698</v>
      </c>
      <c r="M372" s="80" t="s">
        <v>1699</v>
      </c>
      <c r="N372" s="42" t="s">
        <v>1632</v>
      </c>
      <c r="O372" s="43">
        <v>1</v>
      </c>
      <c r="P372" s="17">
        <v>1</v>
      </c>
      <c r="Q372" s="36">
        <v>22</v>
      </c>
      <c r="R372" s="36">
        <v>1</v>
      </c>
      <c r="S372" s="36">
        <v>25</v>
      </c>
      <c r="T372" s="39">
        <v>11</v>
      </c>
      <c r="U372" s="37">
        <v>1</v>
      </c>
      <c r="V372" s="37">
        <v>24</v>
      </c>
      <c r="W372" s="30">
        <v>12</v>
      </c>
      <c r="X372" s="43">
        <v>9.3000000000000007</v>
      </c>
      <c r="Y372" s="17">
        <v>74.5</v>
      </c>
      <c r="Z372" s="32" t="s">
        <v>131</v>
      </c>
      <c r="AA372" s="17">
        <v>47</v>
      </c>
      <c r="AB372" s="17">
        <v>15</v>
      </c>
      <c r="AC372" s="18" t="s">
        <v>53</v>
      </c>
      <c r="AD372" s="9">
        <v>1.029388008E-2</v>
      </c>
      <c r="AE372" s="9">
        <v>0.2384711092</v>
      </c>
      <c r="AF372" s="9">
        <v>0.30854749770000001</v>
      </c>
      <c r="AG372" s="6" t="str">
        <f t="shared" si="24"/>
        <v>Normal</v>
      </c>
      <c r="AH372" s="7" t="str">
        <f t="shared" si="25"/>
        <v>BB Normal</v>
      </c>
      <c r="AI372" s="8" t="str">
        <f t="shared" si="26"/>
        <v>Normal</v>
      </c>
    </row>
    <row r="373" spans="1:35" ht="15.6">
      <c r="A373" s="35"/>
      <c r="B373" s="33" t="s">
        <v>292</v>
      </c>
      <c r="C373" s="48" t="s">
        <v>1700</v>
      </c>
      <c r="D373" s="41" t="s">
        <v>37</v>
      </c>
      <c r="E373" s="42">
        <v>2</v>
      </c>
      <c r="F373" s="31"/>
      <c r="G373" s="42" t="s">
        <v>1701</v>
      </c>
      <c r="H373" s="42">
        <v>2.9</v>
      </c>
      <c r="I373" s="42">
        <v>50</v>
      </c>
      <c r="J373" s="42">
        <v>1</v>
      </c>
      <c r="K373" s="42" t="s">
        <v>40</v>
      </c>
      <c r="L373" s="42" t="s">
        <v>1702</v>
      </c>
      <c r="M373" s="42"/>
      <c r="N373" s="42" t="s">
        <v>1632</v>
      </c>
      <c r="O373" s="43">
        <v>3</v>
      </c>
      <c r="P373" s="17">
        <v>1</v>
      </c>
      <c r="Q373" s="36">
        <v>22</v>
      </c>
      <c r="R373" s="36">
        <v>1</v>
      </c>
      <c r="S373" s="36">
        <v>25</v>
      </c>
      <c r="T373" s="39">
        <v>17</v>
      </c>
      <c r="U373" s="37">
        <v>4</v>
      </c>
      <c r="V373" s="37">
        <v>24</v>
      </c>
      <c r="W373" s="30">
        <v>9</v>
      </c>
      <c r="X373" s="31">
        <v>6.6</v>
      </c>
      <c r="Y373" s="31">
        <v>68.5</v>
      </c>
      <c r="Z373" s="32" t="s">
        <v>131</v>
      </c>
      <c r="AA373" s="31">
        <v>44</v>
      </c>
      <c r="AB373" s="31">
        <v>14</v>
      </c>
      <c r="AC373" s="18" t="s">
        <v>53</v>
      </c>
      <c r="AD373" s="9">
        <v>-0.78551049969999998</v>
      </c>
      <c r="AE373" s="9">
        <v>-1.8611162889999999</v>
      </c>
      <c r="AF373" s="9">
        <v>-2.008396517</v>
      </c>
      <c r="AG373" s="6" t="str">
        <f t="shared" si="24"/>
        <v>Normal</v>
      </c>
      <c r="AH373" s="7" t="str">
        <f t="shared" si="25"/>
        <v>BB Normal</v>
      </c>
      <c r="AI373" s="8" t="str">
        <f t="shared" si="26"/>
        <v>Gz.Krg</v>
      </c>
    </row>
    <row r="374" spans="1:35" ht="15.6">
      <c r="A374" s="35"/>
      <c r="B374" s="33" t="s">
        <v>198</v>
      </c>
      <c r="C374" s="48" t="s">
        <v>1703</v>
      </c>
      <c r="D374" s="41" t="s">
        <v>48</v>
      </c>
      <c r="E374" s="42">
        <v>1</v>
      </c>
      <c r="F374" s="31"/>
      <c r="G374" s="42" t="s">
        <v>1704</v>
      </c>
      <c r="H374" s="42">
        <v>3.4</v>
      </c>
      <c r="I374" s="42">
        <v>52</v>
      </c>
      <c r="J374" s="42">
        <v>1</v>
      </c>
      <c r="K374" s="42" t="s">
        <v>40</v>
      </c>
      <c r="L374" s="42" t="s">
        <v>1705</v>
      </c>
      <c r="M374" s="42"/>
      <c r="N374" s="42" t="s">
        <v>1632</v>
      </c>
      <c r="O374" s="43">
        <v>2</v>
      </c>
      <c r="P374" s="17">
        <v>1</v>
      </c>
      <c r="Q374" s="36">
        <v>22</v>
      </c>
      <c r="R374" s="36">
        <v>1</v>
      </c>
      <c r="S374" s="36">
        <v>25</v>
      </c>
      <c r="T374" s="39">
        <v>4</v>
      </c>
      <c r="U374" s="37">
        <v>4</v>
      </c>
      <c r="V374" s="37">
        <v>24</v>
      </c>
      <c r="W374" s="30">
        <v>9</v>
      </c>
      <c r="X374" s="31">
        <v>10</v>
      </c>
      <c r="Y374" s="31">
        <v>73.5</v>
      </c>
      <c r="Z374" s="32" t="s">
        <v>131</v>
      </c>
      <c r="AA374" s="31">
        <v>45</v>
      </c>
      <c r="AB374" s="31">
        <v>17</v>
      </c>
      <c r="AC374" s="18" t="s">
        <v>53</v>
      </c>
      <c r="AD374" s="9">
        <v>0.3150790611</v>
      </c>
      <c r="AE374" s="9">
        <v>0.89430456359999999</v>
      </c>
      <c r="AF374" s="9">
        <v>1.0539283399999999</v>
      </c>
      <c r="AG374" s="6" t="str">
        <f t="shared" si="24"/>
        <v>Normal</v>
      </c>
      <c r="AH374" s="7" t="str">
        <f t="shared" si="25"/>
        <v>BB Normal</v>
      </c>
      <c r="AI374" s="8" t="str">
        <f t="shared" si="26"/>
        <v>R.Gz.Lbh</v>
      </c>
    </row>
    <row r="375" spans="1:35" ht="15.6">
      <c r="A375" s="35"/>
      <c r="B375" s="33" t="s">
        <v>198</v>
      </c>
      <c r="C375" s="48" t="s">
        <v>1706</v>
      </c>
      <c r="D375" s="41" t="s">
        <v>37</v>
      </c>
      <c r="E375" s="42">
        <v>2</v>
      </c>
      <c r="F375" s="31"/>
      <c r="G375" s="32" t="s">
        <v>1707</v>
      </c>
      <c r="H375" s="32">
        <v>2.9</v>
      </c>
      <c r="I375" s="32">
        <v>50</v>
      </c>
      <c r="J375" s="32">
        <v>1</v>
      </c>
      <c r="K375" s="32" t="s">
        <v>40</v>
      </c>
      <c r="L375" s="32" t="s">
        <v>1708</v>
      </c>
      <c r="M375" s="82" t="s">
        <v>1709</v>
      </c>
      <c r="N375" s="42" t="s">
        <v>1632</v>
      </c>
      <c r="O375" s="17">
        <v>1</v>
      </c>
      <c r="P375" s="17">
        <v>1</v>
      </c>
      <c r="Q375" s="36">
        <v>22</v>
      </c>
      <c r="R375" s="36">
        <v>1</v>
      </c>
      <c r="S375" s="36">
        <v>25</v>
      </c>
      <c r="T375" s="37">
        <v>21</v>
      </c>
      <c r="U375" s="37">
        <v>5</v>
      </c>
      <c r="V375" s="37">
        <v>24</v>
      </c>
      <c r="W375" s="30">
        <v>8</v>
      </c>
      <c r="X375" s="43">
        <v>7.8</v>
      </c>
      <c r="Y375" s="17">
        <v>71</v>
      </c>
      <c r="Z375" s="32" t="s">
        <v>131</v>
      </c>
      <c r="AA375" s="17">
        <v>43</v>
      </c>
      <c r="AB375" s="17">
        <v>13</v>
      </c>
      <c r="AC375" s="18" t="s">
        <v>53</v>
      </c>
      <c r="AD375" s="9">
        <v>0.9024338529</v>
      </c>
      <c r="AE375" s="9">
        <v>-0.17808580930000001</v>
      </c>
      <c r="AF375" s="9">
        <v>-0.80989828389999996</v>
      </c>
      <c r="AG375" s="6" t="str">
        <f t="shared" si="24"/>
        <v>Normal</v>
      </c>
      <c r="AH375" s="7" t="str">
        <f t="shared" si="25"/>
        <v>BB Normal</v>
      </c>
      <c r="AI375" s="8" t="str">
        <f t="shared" si="26"/>
        <v>Normal</v>
      </c>
    </row>
    <row r="376" spans="1:35" ht="15.6">
      <c r="A376" s="35"/>
      <c r="B376" s="33" t="s">
        <v>198</v>
      </c>
      <c r="C376" s="48" t="s">
        <v>1710</v>
      </c>
      <c r="D376" s="41" t="s">
        <v>37</v>
      </c>
      <c r="E376" s="42">
        <v>2</v>
      </c>
      <c r="F376" s="31"/>
      <c r="G376" s="42" t="s">
        <v>1711</v>
      </c>
      <c r="H376" s="42">
        <v>3</v>
      </c>
      <c r="I376" s="42">
        <v>43</v>
      </c>
      <c r="J376" s="42">
        <v>1</v>
      </c>
      <c r="K376" s="42" t="s">
        <v>40</v>
      </c>
      <c r="L376" s="42" t="s">
        <v>1712</v>
      </c>
      <c r="M376" s="80" t="s">
        <v>1713</v>
      </c>
      <c r="N376" s="42" t="s">
        <v>1632</v>
      </c>
      <c r="O376" s="43">
        <v>1</v>
      </c>
      <c r="P376" s="17">
        <v>1</v>
      </c>
      <c r="Q376" s="36">
        <v>22</v>
      </c>
      <c r="R376" s="36">
        <v>1</v>
      </c>
      <c r="S376" s="36">
        <v>25</v>
      </c>
      <c r="T376" s="39">
        <v>13</v>
      </c>
      <c r="U376" s="37">
        <v>6</v>
      </c>
      <c r="V376" s="37">
        <v>24</v>
      </c>
      <c r="W376" s="30">
        <v>7</v>
      </c>
      <c r="X376" s="42">
        <v>7</v>
      </c>
      <c r="Y376" s="32">
        <v>60</v>
      </c>
      <c r="Z376" s="32" t="s">
        <v>131</v>
      </c>
      <c r="AA376" s="32">
        <v>40</v>
      </c>
      <c r="AB376" s="32">
        <v>11</v>
      </c>
      <c r="AC376" s="18" t="s">
        <v>53</v>
      </c>
      <c r="AD376" s="9">
        <v>-3.3277095710000002</v>
      </c>
      <c r="AE376" s="9">
        <v>-0.82974075290000004</v>
      </c>
      <c r="AF376" s="9">
        <v>2.0851861349999998</v>
      </c>
      <c r="AG376" s="6" t="str">
        <f t="shared" si="24"/>
        <v>S.Pendek</v>
      </c>
      <c r="AH376" s="7" t="str">
        <f t="shared" si="25"/>
        <v>BB Normal</v>
      </c>
      <c r="AI376" s="8" t="str">
        <f t="shared" si="26"/>
        <v>Gz.Lbh</v>
      </c>
    </row>
    <row r="377" spans="1:35" ht="15.6">
      <c r="A377" s="35"/>
      <c r="B377" s="33" t="s">
        <v>44</v>
      </c>
      <c r="C377" s="48" t="s">
        <v>618</v>
      </c>
      <c r="D377" s="41" t="s">
        <v>48</v>
      </c>
      <c r="E377" s="42">
        <v>1</v>
      </c>
      <c r="F377" s="31"/>
      <c r="G377" s="42" t="s">
        <v>1714</v>
      </c>
      <c r="H377" s="42">
        <v>2.8</v>
      </c>
      <c r="I377" s="42">
        <v>49</v>
      </c>
      <c r="J377" s="42">
        <v>1</v>
      </c>
      <c r="K377" s="42" t="s">
        <v>40</v>
      </c>
      <c r="L377" s="42" t="s">
        <v>1571</v>
      </c>
      <c r="M377" s="80" t="s">
        <v>1572</v>
      </c>
      <c r="N377" s="42" t="s">
        <v>1632</v>
      </c>
      <c r="O377" s="43">
        <v>2</v>
      </c>
      <c r="P377" s="17">
        <v>1</v>
      </c>
      <c r="Q377" s="36">
        <v>22</v>
      </c>
      <c r="R377" s="36">
        <v>1</v>
      </c>
      <c r="S377" s="36">
        <v>25</v>
      </c>
      <c r="T377" s="39">
        <v>10</v>
      </c>
      <c r="U377" s="37">
        <v>10</v>
      </c>
      <c r="V377" s="37">
        <v>24</v>
      </c>
      <c r="W377" s="30">
        <v>3</v>
      </c>
      <c r="X377" s="42">
        <v>5.2</v>
      </c>
      <c r="Y377" s="32">
        <v>57</v>
      </c>
      <c r="Z377" s="32" t="s">
        <v>131</v>
      </c>
      <c r="AA377" s="32">
        <v>37</v>
      </c>
      <c r="AB377" s="32">
        <v>12.5</v>
      </c>
      <c r="AC377" s="18" t="s">
        <v>53</v>
      </c>
      <c r="AD377" s="9">
        <v>-2.642910294</v>
      </c>
      <c r="AE377" s="9">
        <v>-2.0828434150000001</v>
      </c>
      <c r="AF377" s="9">
        <v>0.25166184029999999</v>
      </c>
      <c r="AG377" s="6" t="str">
        <f t="shared" si="24"/>
        <v>Pendek</v>
      </c>
      <c r="AH377" s="7" t="str">
        <f t="shared" si="25"/>
        <v>BB Krg</v>
      </c>
      <c r="AI377" s="8" t="str">
        <f t="shared" si="26"/>
        <v>Normal</v>
      </c>
    </row>
    <row r="378" spans="1:35" ht="15.6">
      <c r="A378" s="35"/>
      <c r="B378" s="33" t="s">
        <v>36</v>
      </c>
      <c r="C378" s="48"/>
      <c r="D378" s="41" t="s">
        <v>48</v>
      </c>
      <c r="E378" s="42">
        <v>1</v>
      </c>
      <c r="F378" s="31"/>
      <c r="G378" s="42" t="s">
        <v>1715</v>
      </c>
      <c r="H378" s="42"/>
      <c r="I378" s="42"/>
      <c r="J378" s="42">
        <v>1</v>
      </c>
      <c r="K378" s="42" t="s">
        <v>40</v>
      </c>
      <c r="L378" s="42" t="s">
        <v>1716</v>
      </c>
      <c r="M378" s="42"/>
      <c r="N378" s="42" t="s">
        <v>1632</v>
      </c>
      <c r="O378" s="43">
        <v>1</v>
      </c>
      <c r="P378" s="17">
        <v>1</v>
      </c>
      <c r="Q378" s="36">
        <v>22</v>
      </c>
      <c r="R378" s="36">
        <v>1</v>
      </c>
      <c r="S378" s="36">
        <v>25</v>
      </c>
      <c r="T378" s="39">
        <v>20</v>
      </c>
      <c r="U378" s="37">
        <v>9</v>
      </c>
      <c r="V378" s="40">
        <v>24</v>
      </c>
      <c r="W378" s="30">
        <v>4</v>
      </c>
      <c r="X378" s="42">
        <v>6</v>
      </c>
      <c r="Y378" s="32">
        <v>65</v>
      </c>
      <c r="Z378" s="32" t="s">
        <v>131</v>
      </c>
      <c r="AA378" s="32">
        <v>40</v>
      </c>
      <c r="AB378" s="32">
        <v>14</v>
      </c>
      <c r="AC378" s="18" t="s">
        <v>53</v>
      </c>
      <c r="AD378" s="9">
        <v>0.46420415450000002</v>
      </c>
      <c r="AE378" s="9">
        <v>-1.409371234</v>
      </c>
      <c r="AF378" s="9">
        <v>-2.4211364369999999</v>
      </c>
      <c r="AG378" s="6" t="str">
        <f t="shared" si="24"/>
        <v>Normal</v>
      </c>
      <c r="AH378" s="7" t="str">
        <f t="shared" si="25"/>
        <v>BB Normal</v>
      </c>
      <c r="AI378" s="8" t="str">
        <f t="shared" si="26"/>
        <v>Gz.Krg</v>
      </c>
    </row>
    <row r="379" spans="1:35" ht="15.6">
      <c r="A379" s="35"/>
      <c r="B379" s="33" t="s">
        <v>44</v>
      </c>
      <c r="C379" s="48" t="s">
        <v>622</v>
      </c>
      <c r="D379" s="41" t="s">
        <v>48</v>
      </c>
      <c r="E379" s="42">
        <v>1</v>
      </c>
      <c r="F379" s="58" t="s">
        <v>1717</v>
      </c>
      <c r="G379" s="42" t="s">
        <v>1718</v>
      </c>
      <c r="H379" s="42"/>
      <c r="I379" s="42"/>
      <c r="J379" s="42">
        <v>1</v>
      </c>
      <c r="K379" s="42" t="s">
        <v>40</v>
      </c>
      <c r="L379" s="42" t="s">
        <v>1719</v>
      </c>
      <c r="M379" s="80" t="s">
        <v>1720</v>
      </c>
      <c r="N379" s="42" t="s">
        <v>1632</v>
      </c>
      <c r="O379" s="43">
        <v>2</v>
      </c>
      <c r="P379" s="17">
        <v>1</v>
      </c>
      <c r="Q379" s="36">
        <v>22</v>
      </c>
      <c r="R379" s="36">
        <v>1</v>
      </c>
      <c r="S379" s="36">
        <v>25</v>
      </c>
      <c r="T379" s="39">
        <v>9</v>
      </c>
      <c r="U379" s="37">
        <v>11</v>
      </c>
      <c r="V379" s="37">
        <v>24</v>
      </c>
      <c r="W379" s="30">
        <v>2</v>
      </c>
      <c r="X379" s="42">
        <v>4.9000000000000004</v>
      </c>
      <c r="Y379" s="32">
        <v>57</v>
      </c>
      <c r="Z379" s="32" t="s">
        <v>131</v>
      </c>
      <c r="AA379" s="32">
        <v>39</v>
      </c>
      <c r="AB379" s="32">
        <v>14</v>
      </c>
      <c r="AC379" s="18" t="s">
        <v>53</v>
      </c>
      <c r="AD379" s="9">
        <v>-1.339376275</v>
      </c>
      <c r="AE379" s="9">
        <v>-1.5021918080000001</v>
      </c>
      <c r="AF379" s="9">
        <v>-0.49371236860000001</v>
      </c>
      <c r="AG379" s="6" t="str">
        <f t="shared" si="24"/>
        <v>Normal</v>
      </c>
      <c r="AH379" s="7" t="str">
        <f t="shared" si="25"/>
        <v>BB Normal</v>
      </c>
      <c r="AI379" s="8" t="str">
        <f t="shared" si="26"/>
        <v>Normal</v>
      </c>
    </row>
    <row r="380" spans="1:35" ht="15.6">
      <c r="A380" s="35"/>
      <c r="B380" s="33" t="s">
        <v>36</v>
      </c>
      <c r="C380" s="48" t="s">
        <v>1721</v>
      </c>
      <c r="D380" s="41" t="s">
        <v>37</v>
      </c>
      <c r="E380" s="42">
        <v>2</v>
      </c>
      <c r="F380" s="31"/>
      <c r="G380" s="42" t="s">
        <v>1722</v>
      </c>
      <c r="H380" s="42">
        <v>3.2</v>
      </c>
      <c r="I380" s="42">
        <v>49</v>
      </c>
      <c r="J380" s="42">
        <v>1</v>
      </c>
      <c r="K380" s="42" t="s">
        <v>40</v>
      </c>
      <c r="L380" s="42" t="s">
        <v>1723</v>
      </c>
      <c r="M380" s="42"/>
      <c r="N380" s="42" t="s">
        <v>1632</v>
      </c>
      <c r="O380" s="43">
        <v>2</v>
      </c>
      <c r="P380" s="17">
        <v>1</v>
      </c>
      <c r="Q380" s="36">
        <v>22</v>
      </c>
      <c r="R380" s="36">
        <v>1</v>
      </c>
      <c r="S380" s="36">
        <v>25</v>
      </c>
      <c r="T380" s="39">
        <v>20</v>
      </c>
      <c r="U380" s="37">
        <v>11</v>
      </c>
      <c r="V380" s="37">
        <v>24</v>
      </c>
      <c r="W380" s="30">
        <v>2</v>
      </c>
      <c r="X380" s="42">
        <v>4.9000000000000004</v>
      </c>
      <c r="Y380" s="32">
        <v>56.7</v>
      </c>
      <c r="Z380" s="32" t="s">
        <v>131</v>
      </c>
      <c r="AA380" s="32">
        <v>39</v>
      </c>
      <c r="AB380" s="32">
        <v>25</v>
      </c>
      <c r="AC380" s="18" t="s">
        <v>53</v>
      </c>
      <c r="AD380" s="9">
        <v>-0.27070348109999998</v>
      </c>
      <c r="AE380" s="9">
        <v>-0.42324131879999999</v>
      </c>
      <c r="AF380" s="9">
        <v>-0.1817855468</v>
      </c>
      <c r="AG380" s="6" t="str">
        <f t="shared" si="24"/>
        <v>Normal</v>
      </c>
      <c r="AH380" s="7" t="str">
        <f t="shared" si="25"/>
        <v>BB Normal</v>
      </c>
      <c r="AI380" s="8" t="str">
        <f t="shared" si="26"/>
        <v>Normal</v>
      </c>
    </row>
    <row r="381" spans="1:35" ht="15.6">
      <c r="A381" s="35"/>
      <c r="B381" s="33" t="s">
        <v>36</v>
      </c>
      <c r="C381" s="48" t="s">
        <v>1724</v>
      </c>
      <c r="D381" s="41" t="s">
        <v>48</v>
      </c>
      <c r="E381" s="42">
        <v>1</v>
      </c>
      <c r="F381" s="31"/>
      <c r="G381" s="42" t="s">
        <v>1725</v>
      </c>
      <c r="H381" s="42">
        <v>31</v>
      </c>
      <c r="I381" s="42">
        <v>50</v>
      </c>
      <c r="J381" s="42">
        <v>1</v>
      </c>
      <c r="K381" s="42" t="s">
        <v>53</v>
      </c>
      <c r="L381" s="42" t="s">
        <v>1726</v>
      </c>
      <c r="M381" s="42"/>
      <c r="N381" s="42" t="s">
        <v>1727</v>
      </c>
      <c r="O381" s="43">
        <v>3</v>
      </c>
      <c r="P381" s="17">
        <v>1</v>
      </c>
      <c r="Q381" s="36">
        <v>22</v>
      </c>
      <c r="R381" s="36">
        <v>1</v>
      </c>
      <c r="S381" s="36">
        <v>25</v>
      </c>
      <c r="T381" s="39">
        <v>11</v>
      </c>
      <c r="U381" s="37">
        <v>10</v>
      </c>
      <c r="V381" s="37">
        <v>24</v>
      </c>
      <c r="W381" s="30">
        <v>3</v>
      </c>
      <c r="X381" s="42">
        <v>7.3</v>
      </c>
      <c r="Y381" s="32">
        <v>66</v>
      </c>
      <c r="Z381" s="32" t="s">
        <v>1728</v>
      </c>
      <c r="AA381" s="32">
        <v>44.5</v>
      </c>
      <c r="AB381" s="32">
        <v>14</v>
      </c>
      <c r="AC381" s="18" t="s">
        <v>53</v>
      </c>
      <c r="AD381" s="9">
        <v>1.767409352</v>
      </c>
      <c r="AE381" s="9">
        <v>0.83671350369999997</v>
      </c>
      <c r="AF381" s="9">
        <v>-0.31088290169999999</v>
      </c>
      <c r="AG381" s="6" t="str">
        <f t="shared" si="24"/>
        <v>Normal</v>
      </c>
      <c r="AH381" s="7" t="str">
        <f t="shared" si="25"/>
        <v>BB Normal</v>
      </c>
      <c r="AI381" s="8" t="str">
        <f t="shared" si="26"/>
        <v>Normal</v>
      </c>
    </row>
  </sheetData>
  <mergeCells count="24">
    <mergeCell ref="L1:L2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AG1:AI1"/>
    <mergeCell ref="M1:M2"/>
    <mergeCell ref="N1:N2"/>
    <mergeCell ref="O1:O2"/>
    <mergeCell ref="P1:P2"/>
    <mergeCell ref="Q1:S1"/>
    <mergeCell ref="T1:V1"/>
    <mergeCell ref="Z1:Z2"/>
    <mergeCell ref="AA1:AA2"/>
    <mergeCell ref="AB1:AB2"/>
    <mergeCell ref="AC1:AC2"/>
    <mergeCell ref="AD1:A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348D1-5E88-4DE1-A4DA-D41B62759170}">
  <dimension ref="A1:O1289"/>
  <sheetViews>
    <sheetView workbookViewId="0">
      <selection activeCell="O1289" sqref="A1:O1289"/>
    </sheetView>
  </sheetViews>
  <sheetFormatPr defaultRowHeight="14.4"/>
  <cols>
    <col min="4" max="4" width="10.5546875" bestFit="1" customWidth="1"/>
    <col min="6" max="6" width="8.77734375" bestFit="1" customWidth="1"/>
    <col min="15" max="15" width="14.5546875" bestFit="1" customWidth="1"/>
  </cols>
  <sheetData>
    <row r="1" spans="1:15" ht="28.8">
      <c r="A1" s="117" t="s">
        <v>1729</v>
      </c>
      <c r="B1" s="117" t="s">
        <v>1730</v>
      </c>
      <c r="C1" s="117" t="s">
        <v>1731</v>
      </c>
      <c r="D1" s="117" t="s">
        <v>1732</v>
      </c>
      <c r="E1" s="117" t="s">
        <v>1733</v>
      </c>
      <c r="F1" s="117" t="s">
        <v>1734</v>
      </c>
      <c r="G1" s="117" t="s">
        <v>14</v>
      </c>
      <c r="H1" s="117" t="s">
        <v>15</v>
      </c>
      <c r="I1" s="117" t="s">
        <v>1735</v>
      </c>
      <c r="J1" s="117" t="s">
        <v>1736</v>
      </c>
      <c r="K1" s="117" t="s">
        <v>1737</v>
      </c>
      <c r="L1" s="120" t="s">
        <v>1738</v>
      </c>
      <c r="M1" s="120" t="s">
        <v>1739</v>
      </c>
      <c r="N1" s="117" t="s">
        <v>1740</v>
      </c>
      <c r="O1" s="121" t="s">
        <v>1741</v>
      </c>
    </row>
    <row r="2" spans="1:15" ht="28.8">
      <c r="A2" s="118" t="s">
        <v>1742</v>
      </c>
      <c r="B2" s="118" t="s">
        <v>1743</v>
      </c>
      <c r="C2" s="118" t="s">
        <v>1744</v>
      </c>
      <c r="D2" s="119">
        <v>44078</v>
      </c>
      <c r="E2" s="118" t="s">
        <v>1745</v>
      </c>
      <c r="F2" s="118" t="s">
        <v>1746</v>
      </c>
      <c r="G2" s="118">
        <v>1</v>
      </c>
      <c r="H2" s="118">
        <v>2</v>
      </c>
      <c r="I2" s="118">
        <v>8.3000000000000007</v>
      </c>
      <c r="J2" s="118">
        <v>79.5</v>
      </c>
      <c r="K2" s="118"/>
      <c r="L2" s="122">
        <v>-1.62</v>
      </c>
      <c r="M2" s="122">
        <v>-0.16</v>
      </c>
      <c r="N2" s="118">
        <v>-2.15</v>
      </c>
      <c r="O2" s="123" t="s">
        <v>1747</v>
      </c>
    </row>
    <row r="3" spans="1:15" ht="28.8">
      <c r="A3" s="118" t="s">
        <v>1748</v>
      </c>
      <c r="B3" s="118" t="s">
        <v>1743</v>
      </c>
      <c r="C3" s="118" t="s">
        <v>1749</v>
      </c>
      <c r="D3" s="119">
        <v>43787</v>
      </c>
      <c r="E3" s="118" t="s">
        <v>1750</v>
      </c>
      <c r="F3" s="118" t="s">
        <v>1746</v>
      </c>
      <c r="G3" s="118">
        <v>4</v>
      </c>
      <c r="H3" s="118">
        <v>1</v>
      </c>
      <c r="I3" s="118">
        <v>9.6999999999999993</v>
      </c>
      <c r="J3" s="118">
        <v>85.6</v>
      </c>
      <c r="K3" s="118"/>
      <c r="L3" s="122">
        <v>-1.83</v>
      </c>
      <c r="M3" s="122">
        <v>-0.78</v>
      </c>
      <c r="N3" s="118">
        <v>-2.02</v>
      </c>
      <c r="O3" s="123" t="s">
        <v>1747</v>
      </c>
    </row>
    <row r="4" spans="1:15" ht="28.8">
      <c r="A4" s="118" t="s">
        <v>1751</v>
      </c>
      <c r="B4" s="118" t="s">
        <v>1752</v>
      </c>
      <c r="C4" s="118" t="s">
        <v>1749</v>
      </c>
      <c r="D4" s="119">
        <v>43636</v>
      </c>
      <c r="E4" s="118" t="s">
        <v>1753</v>
      </c>
      <c r="F4" s="118" t="s">
        <v>1746</v>
      </c>
      <c r="G4" s="118">
        <v>1</v>
      </c>
      <c r="H4" s="118">
        <v>2</v>
      </c>
      <c r="I4" s="118">
        <v>11</v>
      </c>
      <c r="J4" s="118">
        <v>92.5</v>
      </c>
      <c r="K4" s="118">
        <v>14.4</v>
      </c>
      <c r="L4" s="122">
        <v>-1.81</v>
      </c>
      <c r="M4" s="122">
        <v>-0.21</v>
      </c>
      <c r="N4" s="118">
        <v>-2.62</v>
      </c>
      <c r="O4" s="123" t="s">
        <v>1747</v>
      </c>
    </row>
    <row r="5" spans="1:15" ht="28.8">
      <c r="A5" s="118" t="s">
        <v>1754</v>
      </c>
      <c r="B5" s="118" t="s">
        <v>1752</v>
      </c>
      <c r="C5" s="118" t="s">
        <v>1755</v>
      </c>
      <c r="D5" s="119">
        <v>44477</v>
      </c>
      <c r="E5" s="118" t="s">
        <v>1756</v>
      </c>
      <c r="F5" s="118" t="s">
        <v>1746</v>
      </c>
      <c r="G5" s="118">
        <v>7</v>
      </c>
      <c r="H5" s="118">
        <v>1</v>
      </c>
      <c r="I5" s="118">
        <v>5.7</v>
      </c>
      <c r="J5" s="118">
        <v>57</v>
      </c>
      <c r="K5" s="118"/>
      <c r="L5" s="122">
        <v>-0.94</v>
      </c>
      <c r="M5" s="122">
        <v>-2.15</v>
      </c>
      <c r="N5" s="118">
        <v>1.23</v>
      </c>
      <c r="O5" s="123" t="s">
        <v>1757</v>
      </c>
    </row>
    <row r="6" spans="1:15" ht="28.8">
      <c r="A6" s="118" t="s">
        <v>1758</v>
      </c>
      <c r="B6" s="118" t="s">
        <v>1743</v>
      </c>
      <c r="C6" s="118" t="s">
        <v>1749</v>
      </c>
      <c r="D6" s="119">
        <v>43664</v>
      </c>
      <c r="E6" s="118" t="s">
        <v>1759</v>
      </c>
      <c r="F6" s="118" t="s">
        <v>1746</v>
      </c>
      <c r="G6" s="118">
        <v>1</v>
      </c>
      <c r="H6" s="118">
        <v>2</v>
      </c>
      <c r="I6" s="118">
        <v>8.6</v>
      </c>
      <c r="J6" s="118">
        <v>78.400000000000006</v>
      </c>
      <c r="K6" s="118">
        <v>13.5</v>
      </c>
      <c r="L6" s="122">
        <v>-3.26</v>
      </c>
      <c r="M6" s="122">
        <v>-3.67</v>
      </c>
      <c r="N6" s="118">
        <v>-1.47</v>
      </c>
      <c r="O6" s="123" t="s">
        <v>1760</v>
      </c>
    </row>
    <row r="7" spans="1:15" ht="28.8">
      <c r="A7" s="118" t="s">
        <v>1761</v>
      </c>
      <c r="B7" s="118" t="s">
        <v>1752</v>
      </c>
      <c r="C7" s="118" t="s">
        <v>1744</v>
      </c>
      <c r="D7" s="119">
        <v>43950</v>
      </c>
      <c r="E7" s="118" t="s">
        <v>1762</v>
      </c>
      <c r="F7" s="118" t="s">
        <v>1746</v>
      </c>
      <c r="G7" s="118">
        <v>5</v>
      </c>
      <c r="H7" s="118">
        <v>8</v>
      </c>
      <c r="I7" s="118">
        <v>8.9</v>
      </c>
      <c r="J7" s="118">
        <v>78</v>
      </c>
      <c r="K7" s="118">
        <v>14</v>
      </c>
      <c r="L7" s="122">
        <v>-2.2000000000000002</v>
      </c>
      <c r="M7" s="122">
        <v>-2.02</v>
      </c>
      <c r="N7" s="118">
        <v>-1.69</v>
      </c>
      <c r="O7" s="123" t="s">
        <v>1760</v>
      </c>
    </row>
    <row r="8" spans="1:15" ht="28.8">
      <c r="A8" s="118" t="s">
        <v>1763</v>
      </c>
      <c r="B8" s="118" t="s">
        <v>1752</v>
      </c>
      <c r="C8" s="118" t="s">
        <v>1749</v>
      </c>
      <c r="D8" s="119">
        <v>43790</v>
      </c>
      <c r="E8" s="118" t="s">
        <v>1764</v>
      </c>
      <c r="F8" s="118" t="s">
        <v>1746</v>
      </c>
      <c r="G8" s="118">
        <v>4</v>
      </c>
      <c r="H8" s="118">
        <v>7</v>
      </c>
      <c r="I8" s="118">
        <v>8.1999999999999993</v>
      </c>
      <c r="J8" s="118">
        <v>75</v>
      </c>
      <c r="K8" s="118">
        <v>14</v>
      </c>
      <c r="L8" s="122">
        <v>-3.58</v>
      </c>
      <c r="M8" s="122">
        <v>-4.26</v>
      </c>
      <c r="N8" s="118">
        <v>-2.0099999999999998</v>
      </c>
      <c r="O8" s="123" t="s">
        <v>1747</v>
      </c>
    </row>
    <row r="9" spans="1:15" ht="28.8">
      <c r="A9" s="118" t="s">
        <v>1765</v>
      </c>
      <c r="B9" s="118" t="s">
        <v>1743</v>
      </c>
      <c r="C9" s="118" t="s">
        <v>1749</v>
      </c>
      <c r="D9" s="119">
        <v>43782</v>
      </c>
      <c r="E9" s="118" t="s">
        <v>1766</v>
      </c>
      <c r="F9" s="118" t="s">
        <v>1746</v>
      </c>
      <c r="G9" s="118">
        <v>1</v>
      </c>
      <c r="H9" s="118">
        <v>8</v>
      </c>
      <c r="I9" s="118">
        <v>8.1999999999999993</v>
      </c>
      <c r="J9" s="118">
        <v>79</v>
      </c>
      <c r="K9" s="118">
        <v>13.5</v>
      </c>
      <c r="L9" s="122">
        <v>-3.12</v>
      </c>
      <c r="M9" s="122">
        <v>-2.48</v>
      </c>
      <c r="N9" s="118">
        <v>-2.34</v>
      </c>
      <c r="O9" s="123" t="s">
        <v>1747</v>
      </c>
    </row>
    <row r="10" spans="1:15" ht="57.6">
      <c r="A10" s="118" t="s">
        <v>1767</v>
      </c>
      <c r="B10" s="118" t="s">
        <v>1752</v>
      </c>
      <c r="C10" s="118" t="s">
        <v>1744</v>
      </c>
      <c r="D10" s="119">
        <v>44060</v>
      </c>
      <c r="E10" s="118" t="s">
        <v>1768</v>
      </c>
      <c r="F10" s="118" t="s">
        <v>1769</v>
      </c>
      <c r="G10" s="118">
        <v>8</v>
      </c>
      <c r="H10" s="118">
        <v>1</v>
      </c>
      <c r="I10" s="118">
        <v>9.6</v>
      </c>
      <c r="J10" s="118">
        <v>85</v>
      </c>
      <c r="K10" s="118">
        <v>14.5</v>
      </c>
      <c r="L10" s="122">
        <v>-1.1499999999999999</v>
      </c>
      <c r="M10" s="122">
        <v>1.08</v>
      </c>
      <c r="N10" s="118">
        <v>-2.2799999999999998</v>
      </c>
      <c r="O10" s="123" t="s">
        <v>1747</v>
      </c>
    </row>
    <row r="11" spans="1:15" ht="43.2">
      <c r="A11" s="118" t="s">
        <v>1770</v>
      </c>
      <c r="B11" s="118" t="s">
        <v>1752</v>
      </c>
      <c r="C11" s="118" t="s">
        <v>1755</v>
      </c>
      <c r="D11" s="119">
        <v>44449</v>
      </c>
      <c r="E11" s="118" t="s">
        <v>1771</v>
      </c>
      <c r="F11" s="118" t="s">
        <v>1769</v>
      </c>
      <c r="G11" s="118">
        <v>2</v>
      </c>
      <c r="H11" s="118">
        <v>8</v>
      </c>
      <c r="I11" s="118">
        <v>7.1</v>
      </c>
      <c r="J11" s="118">
        <v>70.3</v>
      </c>
      <c r="K11" s="118">
        <v>15.5</v>
      </c>
      <c r="L11" s="122">
        <v>-0.56000000000000005</v>
      </c>
      <c r="M11" s="122">
        <v>2</v>
      </c>
      <c r="N11" s="118">
        <v>-2.2400000000000002</v>
      </c>
      <c r="O11" s="123" t="s">
        <v>1747</v>
      </c>
    </row>
    <row r="12" spans="1:15" ht="43.2">
      <c r="A12" s="118" t="s">
        <v>1772</v>
      </c>
      <c r="B12" s="118" t="s">
        <v>1752</v>
      </c>
      <c r="C12" s="118" t="s">
        <v>1755</v>
      </c>
      <c r="D12" s="119">
        <v>44540</v>
      </c>
      <c r="E12" s="118" t="s">
        <v>1773</v>
      </c>
      <c r="F12" s="118" t="s">
        <v>1774</v>
      </c>
      <c r="G12" s="118">
        <v>2</v>
      </c>
      <c r="H12" s="118">
        <v>4</v>
      </c>
      <c r="I12" s="118">
        <v>5</v>
      </c>
      <c r="J12" s="118">
        <v>60</v>
      </c>
      <c r="K12" s="118">
        <v>12</v>
      </c>
      <c r="L12" s="122">
        <v>-1.1299999999999999</v>
      </c>
      <c r="M12" s="122">
        <v>0.46</v>
      </c>
      <c r="N12" s="118">
        <v>-2.2400000000000002</v>
      </c>
      <c r="O12" s="123" t="s">
        <v>1747</v>
      </c>
    </row>
    <row r="13" spans="1:15" ht="43.2">
      <c r="A13" s="118" t="s">
        <v>1775</v>
      </c>
      <c r="B13" s="118" t="s">
        <v>1752</v>
      </c>
      <c r="C13" s="118" t="s">
        <v>1749</v>
      </c>
      <c r="D13" s="119">
        <v>43669</v>
      </c>
      <c r="E13" s="118" t="s">
        <v>1776</v>
      </c>
      <c r="F13" s="118" t="s">
        <v>1777</v>
      </c>
      <c r="G13" s="118">
        <v>1</v>
      </c>
      <c r="H13" s="118">
        <v>2</v>
      </c>
      <c r="I13" s="118">
        <v>9.6999999999999993</v>
      </c>
      <c r="J13" s="118">
        <v>85</v>
      </c>
      <c r="K13" s="118"/>
      <c r="L13" s="122">
        <v>-2.77</v>
      </c>
      <c r="M13" s="122">
        <v>-2.36</v>
      </c>
      <c r="N13" s="118">
        <v>-2.15</v>
      </c>
      <c r="O13" s="123" t="s">
        <v>1747</v>
      </c>
    </row>
    <row r="14" spans="1:15" ht="57.6">
      <c r="A14" s="118" t="s">
        <v>1778</v>
      </c>
      <c r="B14" s="118" t="s">
        <v>1743</v>
      </c>
      <c r="C14" s="118" t="s">
        <v>1779</v>
      </c>
      <c r="D14" s="119">
        <v>43107</v>
      </c>
      <c r="E14" s="118" t="s">
        <v>1780</v>
      </c>
      <c r="F14" s="118" t="s">
        <v>1781</v>
      </c>
      <c r="G14" s="118">
        <v>3</v>
      </c>
      <c r="H14" s="118">
        <v>10</v>
      </c>
      <c r="I14" s="118">
        <v>13.5</v>
      </c>
      <c r="J14" s="118">
        <v>105</v>
      </c>
      <c r="K14" s="118"/>
      <c r="L14" s="122">
        <v>-1.38</v>
      </c>
      <c r="M14" s="122">
        <v>0.37</v>
      </c>
      <c r="N14" s="118">
        <v>-2.4500000000000002</v>
      </c>
      <c r="O14" s="123" t="s">
        <v>1747</v>
      </c>
    </row>
    <row r="15" spans="1:15" ht="28.8">
      <c r="A15" s="118" t="s">
        <v>1782</v>
      </c>
      <c r="B15" s="118" t="s">
        <v>1743</v>
      </c>
      <c r="C15" s="118" t="s">
        <v>1744</v>
      </c>
      <c r="D15" s="119">
        <v>44259</v>
      </c>
      <c r="E15" s="118" t="s">
        <v>1783</v>
      </c>
      <c r="F15" s="118" t="s">
        <v>1784</v>
      </c>
      <c r="G15" s="118">
        <v>9</v>
      </c>
      <c r="H15" s="118">
        <v>9</v>
      </c>
      <c r="I15" s="118">
        <v>6.8</v>
      </c>
      <c r="J15" s="118">
        <v>71</v>
      </c>
      <c r="K15" s="118"/>
      <c r="L15" s="122">
        <v>-2.09</v>
      </c>
      <c r="M15" s="122">
        <v>-0.74</v>
      </c>
      <c r="N15" s="118">
        <v>-2.38</v>
      </c>
      <c r="O15" s="123" t="s">
        <v>1747</v>
      </c>
    </row>
    <row r="16" spans="1:15" ht="57.6">
      <c r="A16" s="118" t="s">
        <v>1785</v>
      </c>
      <c r="B16" s="118" t="s">
        <v>1752</v>
      </c>
      <c r="C16" s="118" t="s">
        <v>1786</v>
      </c>
      <c r="D16" s="119">
        <v>43530</v>
      </c>
      <c r="E16" s="118" t="s">
        <v>1787</v>
      </c>
      <c r="F16" s="118" t="s">
        <v>1784</v>
      </c>
      <c r="G16" s="118">
        <v>5.3</v>
      </c>
      <c r="H16" s="118">
        <v>61</v>
      </c>
      <c r="I16" s="118">
        <v>10.6</v>
      </c>
      <c r="J16" s="118">
        <v>88.5</v>
      </c>
      <c r="K16" s="118"/>
      <c r="L16" s="122">
        <v>-2.4500000000000002</v>
      </c>
      <c r="M16" s="122">
        <v>-1.93</v>
      </c>
      <c r="N16" s="118">
        <v>-2.14</v>
      </c>
      <c r="O16" s="123" t="s">
        <v>1747</v>
      </c>
    </row>
    <row r="17" spans="1:15" ht="28.8">
      <c r="A17" s="118" t="s">
        <v>1788</v>
      </c>
      <c r="B17" s="118" t="s">
        <v>1743</v>
      </c>
      <c r="C17" s="118" t="s">
        <v>1755</v>
      </c>
      <c r="D17" s="119">
        <v>44606</v>
      </c>
      <c r="E17" s="118" t="s">
        <v>1789</v>
      </c>
      <c r="F17" s="118" t="s">
        <v>1784</v>
      </c>
      <c r="G17" s="118">
        <v>1</v>
      </c>
      <c r="H17" s="118">
        <v>2</v>
      </c>
      <c r="I17" s="118">
        <v>2.2999999999999998</v>
      </c>
      <c r="J17" s="118">
        <v>48</v>
      </c>
      <c r="K17" s="118"/>
      <c r="L17" s="122">
        <v>-2.91</v>
      </c>
      <c r="M17" s="122">
        <v>-1.48</v>
      </c>
      <c r="N17" s="118">
        <v>-3.45</v>
      </c>
      <c r="O17" s="123" t="s">
        <v>1790</v>
      </c>
    </row>
    <row r="18" spans="1:15" ht="43.2">
      <c r="A18" s="118" t="s">
        <v>1791</v>
      </c>
      <c r="B18" s="118" t="s">
        <v>1743</v>
      </c>
      <c r="C18" s="118" t="s">
        <v>1749</v>
      </c>
      <c r="D18" s="119">
        <v>43604</v>
      </c>
      <c r="E18" s="118" t="s">
        <v>1792</v>
      </c>
      <c r="F18" s="118" t="s">
        <v>1784</v>
      </c>
      <c r="G18" s="118">
        <v>2</v>
      </c>
      <c r="H18" s="118">
        <v>2</v>
      </c>
      <c r="I18" s="118">
        <v>8.3000000000000007</v>
      </c>
      <c r="J18" s="118">
        <v>84.8</v>
      </c>
      <c r="K18" s="118">
        <v>12.3</v>
      </c>
      <c r="L18" s="122">
        <v>-3.88</v>
      </c>
      <c r="M18" s="122">
        <v>-2.2799999999999998</v>
      </c>
      <c r="N18" s="118">
        <v>-3.66</v>
      </c>
      <c r="O18" s="123" t="s">
        <v>1790</v>
      </c>
    </row>
    <row r="19" spans="1:15" ht="43.2">
      <c r="A19" s="118" t="s">
        <v>1793</v>
      </c>
      <c r="B19" s="118" t="s">
        <v>1743</v>
      </c>
      <c r="C19" s="118" t="s">
        <v>1744</v>
      </c>
      <c r="D19" s="119">
        <v>44033</v>
      </c>
      <c r="E19" s="118" t="s">
        <v>1794</v>
      </c>
      <c r="F19" s="118" t="s">
        <v>1784</v>
      </c>
      <c r="G19" s="118">
        <v>2</v>
      </c>
      <c r="H19" s="118">
        <v>9</v>
      </c>
      <c r="I19" s="118">
        <v>9</v>
      </c>
      <c r="J19" s="118">
        <v>84</v>
      </c>
      <c r="K19" s="118"/>
      <c r="L19" s="122">
        <v>-3.62</v>
      </c>
      <c r="M19" s="122">
        <v>-3.27</v>
      </c>
      <c r="N19" s="118">
        <v>-2.3199999999999998</v>
      </c>
      <c r="O19" s="123" t="s">
        <v>1747</v>
      </c>
    </row>
    <row r="20" spans="1:15" ht="28.8">
      <c r="A20" s="118" t="s">
        <v>1795</v>
      </c>
      <c r="B20" s="118" t="s">
        <v>1752</v>
      </c>
      <c r="C20" s="118" t="s">
        <v>1744</v>
      </c>
      <c r="D20" s="119">
        <v>44197</v>
      </c>
      <c r="E20" s="118" t="s">
        <v>1796</v>
      </c>
      <c r="F20" s="118" t="s">
        <v>1784</v>
      </c>
      <c r="G20" s="118">
        <v>6</v>
      </c>
      <c r="H20" s="118">
        <v>9</v>
      </c>
      <c r="I20" s="118">
        <v>7.9</v>
      </c>
      <c r="J20" s="118">
        <v>75</v>
      </c>
      <c r="K20" s="118"/>
      <c r="L20" s="122">
        <v>-2.09</v>
      </c>
      <c r="M20" s="122">
        <v>-0.93</v>
      </c>
      <c r="N20" s="118">
        <v>-2.2999999999999998</v>
      </c>
      <c r="O20" s="123" t="s">
        <v>1747</v>
      </c>
    </row>
    <row r="21" spans="1:15" ht="28.8">
      <c r="A21" s="118" t="s">
        <v>1797</v>
      </c>
      <c r="B21" s="118" t="s">
        <v>1752</v>
      </c>
      <c r="C21" s="118" t="s">
        <v>1744</v>
      </c>
      <c r="D21" s="119">
        <v>44222</v>
      </c>
      <c r="E21" s="118" t="s">
        <v>1798</v>
      </c>
      <c r="F21" s="118" t="s">
        <v>1784</v>
      </c>
      <c r="G21" s="118">
        <v>4</v>
      </c>
      <c r="H21" s="118">
        <v>5</v>
      </c>
      <c r="I21" s="118">
        <v>7.9</v>
      </c>
      <c r="J21" s="118">
        <v>77.5</v>
      </c>
      <c r="K21" s="118">
        <v>13</v>
      </c>
      <c r="L21" s="122">
        <v>-1.93</v>
      </c>
      <c r="M21" s="122">
        <v>0.46</v>
      </c>
      <c r="N21" s="118">
        <v>-2.94</v>
      </c>
      <c r="O21" s="123" t="s">
        <v>1747</v>
      </c>
    </row>
    <row r="22" spans="1:15" ht="43.2">
      <c r="A22" s="118" t="s">
        <v>1799</v>
      </c>
      <c r="B22" s="118" t="s">
        <v>1752</v>
      </c>
      <c r="C22" s="118" t="s">
        <v>1786</v>
      </c>
      <c r="D22" s="119">
        <v>43243</v>
      </c>
      <c r="E22" s="118" t="s">
        <v>1800</v>
      </c>
      <c r="F22" s="118" t="s">
        <v>1784</v>
      </c>
      <c r="G22" s="118">
        <v>1</v>
      </c>
      <c r="H22" s="118">
        <v>9</v>
      </c>
      <c r="I22" s="118">
        <v>11.9</v>
      </c>
      <c r="J22" s="118">
        <v>96.7</v>
      </c>
      <c r="K22" s="118">
        <v>14.3</v>
      </c>
      <c r="L22" s="122">
        <v>-2.2799999999999998</v>
      </c>
      <c r="M22" s="122">
        <v>-1.1499999999999999</v>
      </c>
      <c r="N22" s="118">
        <v>-2.5099999999999998</v>
      </c>
      <c r="O22" s="123" t="s">
        <v>1747</v>
      </c>
    </row>
    <row r="23" spans="1:15" ht="28.8">
      <c r="A23" s="118" t="s">
        <v>1801</v>
      </c>
      <c r="B23" s="118" t="s">
        <v>1743</v>
      </c>
      <c r="C23" s="118" t="s">
        <v>1786</v>
      </c>
      <c r="D23" s="119">
        <v>43367</v>
      </c>
      <c r="E23" s="118" t="s">
        <v>1802</v>
      </c>
      <c r="F23" s="118" t="s">
        <v>1784</v>
      </c>
      <c r="G23" s="118">
        <v>3</v>
      </c>
      <c r="H23" s="118">
        <v>7</v>
      </c>
      <c r="I23" s="118">
        <v>11.4</v>
      </c>
      <c r="J23" s="118">
        <v>94</v>
      </c>
      <c r="K23" s="118">
        <v>15.6</v>
      </c>
      <c r="L23" s="122">
        <v>-1.99</v>
      </c>
      <c r="M23" s="122">
        <v>-1.01</v>
      </c>
      <c r="N23" s="118">
        <v>-2.0699999999999998</v>
      </c>
      <c r="O23" s="123" t="s">
        <v>1747</v>
      </c>
    </row>
    <row r="24" spans="1:15" ht="28.8">
      <c r="A24" s="118" t="s">
        <v>1803</v>
      </c>
      <c r="B24" s="118" t="s">
        <v>1743</v>
      </c>
      <c r="C24" s="118" t="s">
        <v>1755</v>
      </c>
      <c r="D24" s="119">
        <v>44540</v>
      </c>
      <c r="E24" s="118" t="s">
        <v>1804</v>
      </c>
      <c r="F24" s="118" t="s">
        <v>1784</v>
      </c>
      <c r="G24" s="118">
        <v>2</v>
      </c>
      <c r="H24" s="118">
        <v>11</v>
      </c>
      <c r="I24" s="118">
        <v>3.5</v>
      </c>
      <c r="J24" s="118">
        <v>56.5</v>
      </c>
      <c r="K24" s="118">
        <v>14</v>
      </c>
      <c r="L24" s="122">
        <v>-2.85</v>
      </c>
      <c r="M24" s="122">
        <v>-0.24</v>
      </c>
      <c r="N24" s="118">
        <v>-3.95</v>
      </c>
      <c r="O24" s="123" t="s">
        <v>1790</v>
      </c>
    </row>
    <row r="25" spans="1:15" ht="43.2">
      <c r="A25" s="118" t="s">
        <v>1805</v>
      </c>
      <c r="B25" s="118" t="s">
        <v>1743</v>
      </c>
      <c r="C25" s="118" t="s">
        <v>1786</v>
      </c>
      <c r="D25" s="119">
        <v>43392</v>
      </c>
      <c r="E25" s="118" t="s">
        <v>1806</v>
      </c>
      <c r="F25" s="118" t="s">
        <v>1807</v>
      </c>
      <c r="G25" s="118">
        <v>11</v>
      </c>
      <c r="H25" s="118">
        <v>3</v>
      </c>
      <c r="I25" s="118">
        <v>12.5</v>
      </c>
      <c r="J25" s="118">
        <v>100</v>
      </c>
      <c r="K25" s="118">
        <v>15</v>
      </c>
      <c r="L25" s="122">
        <v>-1.18</v>
      </c>
      <c r="M25" s="122">
        <v>0.62</v>
      </c>
      <c r="N25" s="118">
        <v>-2.25</v>
      </c>
      <c r="O25" s="123" t="s">
        <v>1747</v>
      </c>
    </row>
    <row r="26" spans="1:15" ht="43.2">
      <c r="A26" s="118" t="s">
        <v>1808</v>
      </c>
      <c r="B26" s="118" t="s">
        <v>1743</v>
      </c>
      <c r="C26" s="118" t="s">
        <v>1749</v>
      </c>
      <c r="D26" s="119">
        <v>43645</v>
      </c>
      <c r="E26" s="118" t="s">
        <v>1809</v>
      </c>
      <c r="F26" s="118" t="s">
        <v>1807</v>
      </c>
      <c r="G26" s="118">
        <v>5</v>
      </c>
      <c r="H26" s="118">
        <v>3</v>
      </c>
      <c r="I26" s="118">
        <v>8.4</v>
      </c>
      <c r="J26" s="118">
        <v>81.3</v>
      </c>
      <c r="K26" s="118">
        <v>13.5</v>
      </c>
      <c r="L26" s="122">
        <v>-3.62</v>
      </c>
      <c r="M26" s="122">
        <v>-2.94</v>
      </c>
      <c r="N26" s="118">
        <v>-2.63</v>
      </c>
      <c r="O26" s="123" t="s">
        <v>1747</v>
      </c>
    </row>
    <row r="27" spans="1:15" ht="28.8">
      <c r="A27" s="118" t="s">
        <v>1810</v>
      </c>
      <c r="B27" s="118" t="s">
        <v>1743</v>
      </c>
      <c r="C27" s="118" t="s">
        <v>1755</v>
      </c>
      <c r="D27" s="119">
        <v>44428</v>
      </c>
      <c r="E27" s="118" t="s">
        <v>1811</v>
      </c>
      <c r="F27" s="118" t="s">
        <v>1746</v>
      </c>
      <c r="G27" s="118">
        <v>2</v>
      </c>
      <c r="H27" s="118">
        <v>2</v>
      </c>
      <c r="I27" s="118">
        <v>6.25</v>
      </c>
      <c r="J27" s="118">
        <v>68</v>
      </c>
      <c r="K27" s="118">
        <v>16</v>
      </c>
      <c r="L27" s="122">
        <v>-1.18</v>
      </c>
      <c r="M27" s="122">
        <v>1.1599999999999999</v>
      </c>
      <c r="N27" s="118">
        <v>-2.46</v>
      </c>
      <c r="O27" s="123" t="s">
        <v>1747</v>
      </c>
    </row>
    <row r="28" spans="1:15" ht="28.8">
      <c r="A28" s="118" t="s">
        <v>1812</v>
      </c>
      <c r="B28" s="118" t="s">
        <v>1743</v>
      </c>
      <c r="C28" s="118" t="s">
        <v>1779</v>
      </c>
      <c r="D28" s="119">
        <v>43191</v>
      </c>
      <c r="E28" s="118" t="s">
        <v>1813</v>
      </c>
      <c r="F28" s="118" t="s">
        <v>1746</v>
      </c>
      <c r="G28" s="118">
        <v>1</v>
      </c>
      <c r="H28" s="118">
        <v>2</v>
      </c>
      <c r="I28" s="118">
        <v>8.9</v>
      </c>
      <c r="J28" s="118">
        <v>86.5</v>
      </c>
      <c r="K28" s="118"/>
      <c r="L28" s="122">
        <v>-4.3</v>
      </c>
      <c r="M28" s="122">
        <v>-3.61</v>
      </c>
      <c r="N28" s="118">
        <v>-3.29</v>
      </c>
      <c r="O28" s="123" t="s">
        <v>1790</v>
      </c>
    </row>
    <row r="29" spans="1:15" ht="28.8">
      <c r="A29" s="118" t="s">
        <v>1814</v>
      </c>
      <c r="B29" s="118" t="s">
        <v>1752</v>
      </c>
      <c r="C29" s="118" t="s">
        <v>1755</v>
      </c>
      <c r="D29" s="119">
        <v>44611</v>
      </c>
      <c r="E29" s="118" t="s">
        <v>1815</v>
      </c>
      <c r="F29" s="118" t="s">
        <v>1746</v>
      </c>
      <c r="G29" s="118">
        <v>1</v>
      </c>
      <c r="H29" s="118">
        <v>2</v>
      </c>
      <c r="I29" s="118">
        <v>2.7</v>
      </c>
      <c r="J29" s="118">
        <v>49</v>
      </c>
      <c r="K29" s="118"/>
      <c r="L29" s="122">
        <v>-2.65</v>
      </c>
      <c r="M29" s="122">
        <v>-1.77</v>
      </c>
      <c r="N29" s="118">
        <v>-2.21</v>
      </c>
      <c r="O29" s="123" t="s">
        <v>1747</v>
      </c>
    </row>
    <row r="30" spans="1:15" ht="28.8">
      <c r="A30" s="118" t="s">
        <v>1816</v>
      </c>
      <c r="B30" s="118" t="s">
        <v>1752</v>
      </c>
      <c r="C30" s="118" t="s">
        <v>1744</v>
      </c>
      <c r="D30" s="119">
        <v>44144</v>
      </c>
      <c r="E30" s="118" t="s">
        <v>1817</v>
      </c>
      <c r="F30" s="118" t="s">
        <v>1746</v>
      </c>
      <c r="G30" s="118">
        <v>1</v>
      </c>
      <c r="H30" s="118">
        <v>2</v>
      </c>
      <c r="I30" s="118">
        <v>7</v>
      </c>
      <c r="J30" s="118">
        <v>70</v>
      </c>
      <c r="K30" s="118"/>
      <c r="L30" s="122">
        <v>-3.43</v>
      </c>
      <c r="M30" s="122">
        <v>-3.57</v>
      </c>
      <c r="N30" s="118">
        <v>-2.3199999999999998</v>
      </c>
      <c r="O30" s="123" t="s">
        <v>1747</v>
      </c>
    </row>
    <row r="31" spans="1:15" ht="28.8">
      <c r="A31" s="118" t="s">
        <v>1818</v>
      </c>
      <c r="B31" s="118" t="s">
        <v>1743</v>
      </c>
      <c r="C31" s="118" t="s">
        <v>1755</v>
      </c>
      <c r="D31" s="119">
        <v>44505</v>
      </c>
      <c r="E31" s="118" t="s">
        <v>1819</v>
      </c>
      <c r="F31" s="118" t="s">
        <v>1746</v>
      </c>
      <c r="G31" s="118">
        <v>2</v>
      </c>
      <c r="H31" s="118">
        <v>2</v>
      </c>
      <c r="I31" s="118">
        <v>5.3</v>
      </c>
      <c r="J31" s="118">
        <v>63.8</v>
      </c>
      <c r="K31" s="118"/>
      <c r="L31" s="122">
        <v>-0.8</v>
      </c>
      <c r="M31" s="122">
        <v>1.87</v>
      </c>
      <c r="N31" s="118">
        <v>-2.87</v>
      </c>
      <c r="O31" s="123" t="s">
        <v>1747</v>
      </c>
    </row>
    <row r="32" spans="1:15" ht="28.8">
      <c r="A32" s="118" t="s">
        <v>1820</v>
      </c>
      <c r="B32" s="118" t="s">
        <v>1743</v>
      </c>
      <c r="C32" s="118" t="s">
        <v>1779</v>
      </c>
      <c r="D32" s="119">
        <v>43026</v>
      </c>
      <c r="E32" s="118" t="s">
        <v>1753</v>
      </c>
      <c r="F32" s="118" t="s">
        <v>1746</v>
      </c>
      <c r="G32" s="118">
        <v>1</v>
      </c>
      <c r="H32" s="118">
        <v>2</v>
      </c>
      <c r="I32" s="118">
        <v>16</v>
      </c>
      <c r="J32" s="118">
        <v>113</v>
      </c>
      <c r="K32" s="118"/>
      <c r="L32" s="122">
        <v>-0.38</v>
      </c>
      <c r="M32" s="122">
        <v>1.71</v>
      </c>
      <c r="N32" s="118">
        <v>-2.34</v>
      </c>
      <c r="O32" s="123" t="s">
        <v>1747</v>
      </c>
    </row>
    <row r="33" spans="1:15" ht="28.8">
      <c r="A33" s="118" t="s">
        <v>1821</v>
      </c>
      <c r="B33" s="118" t="s">
        <v>1743</v>
      </c>
      <c r="C33" s="118" t="s">
        <v>1779</v>
      </c>
      <c r="D33" s="119">
        <v>43076</v>
      </c>
      <c r="E33" s="118" t="s">
        <v>1822</v>
      </c>
      <c r="F33" s="118" t="s">
        <v>1746</v>
      </c>
      <c r="G33" s="118">
        <v>1</v>
      </c>
      <c r="H33" s="118">
        <v>2</v>
      </c>
      <c r="I33" s="118">
        <v>13</v>
      </c>
      <c r="J33" s="118">
        <v>110</v>
      </c>
      <c r="K33" s="118"/>
      <c r="L33" s="122">
        <v>-1.8</v>
      </c>
      <c r="M33" s="122">
        <v>1.26</v>
      </c>
      <c r="N33" s="118">
        <v>-3.95</v>
      </c>
      <c r="O33" s="123" t="s">
        <v>1790</v>
      </c>
    </row>
    <row r="34" spans="1:15" ht="28.8">
      <c r="A34" s="118" t="s">
        <v>1823</v>
      </c>
      <c r="B34" s="118" t="s">
        <v>1752</v>
      </c>
      <c r="C34" s="118" t="s">
        <v>1786</v>
      </c>
      <c r="D34" s="119">
        <v>43224</v>
      </c>
      <c r="E34" s="118" t="s">
        <v>1824</v>
      </c>
      <c r="F34" s="118" t="s">
        <v>1746</v>
      </c>
      <c r="G34" s="118">
        <v>1</v>
      </c>
      <c r="H34" s="118">
        <v>2</v>
      </c>
      <c r="I34" s="118">
        <v>14</v>
      </c>
      <c r="J34" s="118">
        <v>112</v>
      </c>
      <c r="K34" s="118"/>
      <c r="L34" s="122">
        <v>-1.07</v>
      </c>
      <c r="M34" s="122">
        <v>2.38</v>
      </c>
      <c r="N34" s="118">
        <v>-3.7</v>
      </c>
      <c r="O34" s="123" t="s">
        <v>1790</v>
      </c>
    </row>
    <row r="35" spans="1:15" ht="28.8">
      <c r="A35" s="118" t="s">
        <v>1825</v>
      </c>
      <c r="B35" s="118" t="s">
        <v>1743</v>
      </c>
      <c r="C35" s="118" t="s">
        <v>1786</v>
      </c>
      <c r="D35" s="119">
        <v>43233</v>
      </c>
      <c r="E35" s="118" t="s">
        <v>1826</v>
      </c>
      <c r="F35" s="118" t="s">
        <v>1746</v>
      </c>
      <c r="G35" s="118">
        <v>2</v>
      </c>
      <c r="H35" s="118">
        <v>2</v>
      </c>
      <c r="I35" s="118">
        <v>12</v>
      </c>
      <c r="J35" s="118">
        <v>109</v>
      </c>
      <c r="K35" s="118"/>
      <c r="L35" s="122">
        <v>-2.0299999999999998</v>
      </c>
      <c r="M35" s="122">
        <v>1.81</v>
      </c>
      <c r="N35" s="118">
        <v>-4.55</v>
      </c>
      <c r="O35" s="123" t="s">
        <v>1790</v>
      </c>
    </row>
    <row r="36" spans="1:15" ht="28.8">
      <c r="A36" s="118" t="s">
        <v>1827</v>
      </c>
      <c r="B36" s="118" t="s">
        <v>1743</v>
      </c>
      <c r="C36" s="118" t="s">
        <v>1786</v>
      </c>
      <c r="D36" s="119">
        <v>43276</v>
      </c>
      <c r="E36" s="118" t="s">
        <v>1828</v>
      </c>
      <c r="F36" s="118" t="s">
        <v>1746</v>
      </c>
      <c r="G36" s="118">
        <v>4</v>
      </c>
      <c r="H36" s="118">
        <v>9</v>
      </c>
      <c r="I36" s="118">
        <v>13</v>
      </c>
      <c r="J36" s="118">
        <v>108</v>
      </c>
      <c r="K36" s="118"/>
      <c r="L36" s="122">
        <v>-1.28</v>
      </c>
      <c r="M36" s="122">
        <v>1.8</v>
      </c>
      <c r="N36" s="118">
        <v>-3.54</v>
      </c>
      <c r="O36" s="123" t="s">
        <v>1790</v>
      </c>
    </row>
    <row r="37" spans="1:15" ht="28.8">
      <c r="A37" s="118" t="s">
        <v>1829</v>
      </c>
      <c r="B37" s="118" t="s">
        <v>1752</v>
      </c>
      <c r="C37" s="118" t="s">
        <v>1749</v>
      </c>
      <c r="D37" s="119">
        <v>43636</v>
      </c>
      <c r="E37" s="118" t="s">
        <v>1830</v>
      </c>
      <c r="F37" s="118" t="s">
        <v>1746</v>
      </c>
      <c r="G37" s="118">
        <v>3</v>
      </c>
      <c r="H37" s="118">
        <v>9</v>
      </c>
      <c r="I37" s="118">
        <v>11</v>
      </c>
      <c r="J37" s="118">
        <v>107</v>
      </c>
      <c r="K37" s="118"/>
      <c r="L37" s="122">
        <v>-1.88</v>
      </c>
      <c r="M37" s="122">
        <v>3.75</v>
      </c>
      <c r="N37" s="118">
        <v>-5.34</v>
      </c>
      <c r="O37" s="123" t="s">
        <v>1790</v>
      </c>
    </row>
    <row r="38" spans="1:15" ht="43.2">
      <c r="A38" s="118" t="s">
        <v>1831</v>
      </c>
      <c r="B38" s="118" t="s">
        <v>1743</v>
      </c>
      <c r="C38" s="118" t="s">
        <v>1749</v>
      </c>
      <c r="D38" s="119">
        <v>43942</v>
      </c>
      <c r="E38" s="118" t="s">
        <v>1832</v>
      </c>
      <c r="F38" s="118" t="s">
        <v>1769</v>
      </c>
      <c r="G38" s="118">
        <v>1</v>
      </c>
      <c r="H38" s="118">
        <v>8</v>
      </c>
      <c r="I38" s="118">
        <v>9</v>
      </c>
      <c r="J38" s="118">
        <v>84</v>
      </c>
      <c r="K38" s="118"/>
      <c r="L38" s="122">
        <v>-1.79</v>
      </c>
      <c r="M38" s="122">
        <v>-0.32</v>
      </c>
      <c r="N38" s="118">
        <v>-2.3199999999999998</v>
      </c>
      <c r="O38" s="123" t="s">
        <v>1747</v>
      </c>
    </row>
    <row r="39" spans="1:15" ht="43.2">
      <c r="A39" s="118" t="s">
        <v>1833</v>
      </c>
      <c r="B39" s="118" t="s">
        <v>1743</v>
      </c>
      <c r="C39" s="118" t="s">
        <v>1744</v>
      </c>
      <c r="D39" s="119">
        <v>44110</v>
      </c>
      <c r="E39" s="118" t="s">
        <v>1834</v>
      </c>
      <c r="F39" s="118" t="s">
        <v>1769</v>
      </c>
      <c r="G39" s="118">
        <v>4</v>
      </c>
      <c r="H39" s="118">
        <v>8</v>
      </c>
      <c r="I39" s="118">
        <v>8</v>
      </c>
      <c r="J39" s="118">
        <v>78</v>
      </c>
      <c r="K39" s="118"/>
      <c r="L39" s="122">
        <v>-2.5499999999999998</v>
      </c>
      <c r="M39" s="122">
        <v>-1.79</v>
      </c>
      <c r="N39" s="118">
        <v>-2.23</v>
      </c>
      <c r="O39" s="123" t="s">
        <v>1747</v>
      </c>
    </row>
    <row r="40" spans="1:15" ht="43.2">
      <c r="A40" s="118" t="s">
        <v>1835</v>
      </c>
      <c r="B40" s="118" t="s">
        <v>1752</v>
      </c>
      <c r="C40" s="118" t="s">
        <v>1755</v>
      </c>
      <c r="D40" s="119">
        <v>44445</v>
      </c>
      <c r="E40" s="118" t="s">
        <v>1836</v>
      </c>
      <c r="F40" s="118" t="s">
        <v>1769</v>
      </c>
      <c r="G40" s="118">
        <v>2</v>
      </c>
      <c r="H40" s="118">
        <v>8</v>
      </c>
      <c r="I40" s="118">
        <v>6</v>
      </c>
      <c r="J40" s="118">
        <v>68</v>
      </c>
      <c r="K40" s="118"/>
      <c r="L40" s="122">
        <v>-2.4700000000000002</v>
      </c>
      <c r="M40" s="122">
        <v>0.24</v>
      </c>
      <c r="N40" s="118">
        <v>-3.58</v>
      </c>
      <c r="O40" s="123" t="s">
        <v>1790</v>
      </c>
    </row>
    <row r="41" spans="1:15" ht="43.2">
      <c r="A41" s="118" t="s">
        <v>1837</v>
      </c>
      <c r="B41" s="118" t="s">
        <v>1743</v>
      </c>
      <c r="C41" s="118" t="s">
        <v>1779</v>
      </c>
      <c r="D41" s="119">
        <v>43129</v>
      </c>
      <c r="E41" s="118" t="s">
        <v>1838</v>
      </c>
      <c r="F41" s="118" t="s">
        <v>1769</v>
      </c>
      <c r="G41" s="118">
        <v>8</v>
      </c>
      <c r="H41" s="118">
        <v>1</v>
      </c>
      <c r="I41" s="118">
        <v>14</v>
      </c>
      <c r="J41" s="118">
        <v>105</v>
      </c>
      <c r="K41" s="118"/>
      <c r="L41" s="122">
        <v>-1.1299999999999999</v>
      </c>
      <c r="M41" s="122">
        <v>0.33</v>
      </c>
      <c r="N41" s="118">
        <v>-2.0299999999999998</v>
      </c>
      <c r="O41" s="123" t="s">
        <v>1747</v>
      </c>
    </row>
    <row r="42" spans="1:15" ht="43.2">
      <c r="A42" s="118" t="s">
        <v>1839</v>
      </c>
      <c r="B42" s="118" t="s">
        <v>1752</v>
      </c>
      <c r="C42" s="118" t="s">
        <v>1779</v>
      </c>
      <c r="D42" s="119">
        <v>43131</v>
      </c>
      <c r="E42" s="118" t="s">
        <v>1840</v>
      </c>
      <c r="F42" s="118" t="s">
        <v>1769</v>
      </c>
      <c r="G42" s="118">
        <v>3</v>
      </c>
      <c r="H42" s="118">
        <v>8</v>
      </c>
      <c r="I42" s="118">
        <v>13</v>
      </c>
      <c r="J42" s="118">
        <v>103</v>
      </c>
      <c r="K42" s="118"/>
      <c r="L42" s="122">
        <v>-1.92</v>
      </c>
      <c r="M42" s="122">
        <v>-0.26</v>
      </c>
      <c r="N42" s="118">
        <v>-2.75</v>
      </c>
      <c r="O42" s="123" t="s">
        <v>1747</v>
      </c>
    </row>
    <row r="43" spans="1:15" ht="43.2">
      <c r="A43" s="118" t="s">
        <v>1841</v>
      </c>
      <c r="B43" s="118" t="s">
        <v>1743</v>
      </c>
      <c r="C43" s="118" t="s">
        <v>1749</v>
      </c>
      <c r="D43" s="119">
        <v>43598</v>
      </c>
      <c r="E43" s="118" t="s">
        <v>1842</v>
      </c>
      <c r="F43" s="118" t="s">
        <v>1769</v>
      </c>
      <c r="G43" s="118">
        <v>4</v>
      </c>
      <c r="H43" s="118">
        <v>5</v>
      </c>
      <c r="I43" s="118">
        <v>10</v>
      </c>
      <c r="J43" s="118">
        <v>89</v>
      </c>
      <c r="K43" s="118">
        <v>14</v>
      </c>
      <c r="L43" s="122">
        <v>-2.4700000000000002</v>
      </c>
      <c r="M43" s="122">
        <v>-1.28</v>
      </c>
      <c r="N43" s="118">
        <v>-2.52</v>
      </c>
      <c r="O43" s="123" t="s">
        <v>1747</v>
      </c>
    </row>
    <row r="44" spans="1:15" ht="43.2">
      <c r="A44" s="118" t="s">
        <v>1843</v>
      </c>
      <c r="B44" s="118" t="s">
        <v>1752</v>
      </c>
      <c r="C44" s="118" t="s">
        <v>1779</v>
      </c>
      <c r="D44" s="119">
        <v>43071</v>
      </c>
      <c r="E44" s="118" t="s">
        <v>1844</v>
      </c>
      <c r="F44" s="118" t="s">
        <v>1769</v>
      </c>
      <c r="G44" s="118">
        <v>3</v>
      </c>
      <c r="H44" s="118">
        <v>6</v>
      </c>
      <c r="I44" s="118">
        <v>13.8</v>
      </c>
      <c r="J44" s="118">
        <v>103.1</v>
      </c>
      <c r="K44" s="118"/>
      <c r="L44" s="122">
        <v>-1.58</v>
      </c>
      <c r="M44" s="122">
        <v>-0.47</v>
      </c>
      <c r="N44" s="118">
        <v>-2.0099999999999998</v>
      </c>
      <c r="O44" s="123" t="s">
        <v>1747</v>
      </c>
    </row>
    <row r="45" spans="1:15" ht="43.2">
      <c r="A45" s="118" t="s">
        <v>1845</v>
      </c>
      <c r="B45" s="118" t="s">
        <v>1752</v>
      </c>
      <c r="C45" s="118" t="s">
        <v>1779</v>
      </c>
      <c r="D45" s="119">
        <v>43081</v>
      </c>
      <c r="E45" s="118" t="s">
        <v>1771</v>
      </c>
      <c r="F45" s="118" t="s">
        <v>1769</v>
      </c>
      <c r="G45" s="118">
        <v>2</v>
      </c>
      <c r="H45" s="118">
        <v>8</v>
      </c>
      <c r="I45" s="118">
        <v>13.8</v>
      </c>
      <c r="J45" s="118">
        <v>103.1</v>
      </c>
      <c r="K45" s="118"/>
      <c r="L45" s="122">
        <v>-1.55</v>
      </c>
      <c r="M45" s="122">
        <v>-0.43</v>
      </c>
      <c r="N45" s="118">
        <v>-2.0099999999999998</v>
      </c>
      <c r="O45" s="123" t="s">
        <v>1747</v>
      </c>
    </row>
    <row r="46" spans="1:15" ht="57.6">
      <c r="A46" s="118" t="s">
        <v>1846</v>
      </c>
      <c r="B46" s="118" t="s">
        <v>1752</v>
      </c>
      <c r="C46" s="118" t="s">
        <v>1779</v>
      </c>
      <c r="D46" s="119">
        <v>43082</v>
      </c>
      <c r="E46" s="118" t="s">
        <v>1768</v>
      </c>
      <c r="F46" s="118" t="s">
        <v>1769</v>
      </c>
      <c r="G46" s="118">
        <v>8</v>
      </c>
      <c r="H46" s="118">
        <v>1</v>
      </c>
      <c r="I46" s="118">
        <v>13.8</v>
      </c>
      <c r="J46" s="118">
        <v>103.1</v>
      </c>
      <c r="K46" s="118"/>
      <c r="L46" s="122">
        <v>-1.55</v>
      </c>
      <c r="M46" s="122">
        <v>-0.42</v>
      </c>
      <c r="N46" s="118">
        <v>-2.0099999999999998</v>
      </c>
      <c r="O46" s="123" t="s">
        <v>1747</v>
      </c>
    </row>
    <row r="47" spans="1:15" ht="43.2">
      <c r="A47" s="118" t="s">
        <v>1847</v>
      </c>
      <c r="B47" s="118" t="s">
        <v>1743</v>
      </c>
      <c r="C47" s="118" t="s">
        <v>1779</v>
      </c>
      <c r="D47" s="119">
        <v>43145</v>
      </c>
      <c r="E47" s="118" t="s">
        <v>1848</v>
      </c>
      <c r="F47" s="118" t="s">
        <v>1774</v>
      </c>
      <c r="G47" s="118">
        <v>3</v>
      </c>
      <c r="H47" s="118">
        <v>8</v>
      </c>
      <c r="I47" s="118">
        <v>11.6</v>
      </c>
      <c r="J47" s="118">
        <v>86.6</v>
      </c>
      <c r="K47" s="118">
        <v>14.8</v>
      </c>
      <c r="L47" s="122">
        <v>-2.41</v>
      </c>
      <c r="M47" s="122">
        <v>-3.64</v>
      </c>
      <c r="N47" s="118">
        <v>-0.19</v>
      </c>
      <c r="O47" s="123" t="s">
        <v>1760</v>
      </c>
    </row>
    <row r="48" spans="1:15" ht="43.2">
      <c r="A48" s="118" t="s">
        <v>1849</v>
      </c>
      <c r="B48" s="118" t="s">
        <v>1752</v>
      </c>
      <c r="C48" s="118" t="s">
        <v>1779</v>
      </c>
      <c r="D48" s="119">
        <v>43090</v>
      </c>
      <c r="E48" s="118" t="s">
        <v>1850</v>
      </c>
      <c r="F48" s="118" t="s">
        <v>1774</v>
      </c>
      <c r="G48" s="118">
        <v>3</v>
      </c>
      <c r="H48" s="118">
        <v>7</v>
      </c>
      <c r="I48" s="118">
        <v>13.8</v>
      </c>
      <c r="J48" s="118">
        <v>103.1</v>
      </c>
      <c r="K48" s="118"/>
      <c r="L48" s="122">
        <v>-1.53</v>
      </c>
      <c r="M48" s="122">
        <v>-0.39</v>
      </c>
      <c r="N48" s="118">
        <v>-2.0099999999999998</v>
      </c>
      <c r="O48" s="123" t="s">
        <v>1747</v>
      </c>
    </row>
    <row r="49" spans="1:15" ht="57.6">
      <c r="A49" s="118" t="s">
        <v>1851</v>
      </c>
      <c r="B49" s="118" t="s">
        <v>1752</v>
      </c>
      <c r="C49" s="118" t="s">
        <v>1786</v>
      </c>
      <c r="D49" s="119">
        <v>43340</v>
      </c>
      <c r="E49" s="118" t="s">
        <v>1852</v>
      </c>
      <c r="F49" s="118" t="s">
        <v>1774</v>
      </c>
      <c r="G49" s="118">
        <v>8</v>
      </c>
      <c r="H49" s="118">
        <v>1</v>
      </c>
      <c r="I49" s="118">
        <v>10.1</v>
      </c>
      <c r="J49" s="118">
        <v>90.7</v>
      </c>
      <c r="K49" s="118">
        <v>13.2</v>
      </c>
      <c r="L49" s="122">
        <v>-3.32</v>
      </c>
      <c r="M49" s="122">
        <v>-2.1800000000000002</v>
      </c>
      <c r="N49" s="118">
        <v>-3.32</v>
      </c>
      <c r="O49" s="123" t="s">
        <v>1790</v>
      </c>
    </row>
    <row r="50" spans="1:15" ht="43.2">
      <c r="A50" s="118" t="s">
        <v>1853</v>
      </c>
      <c r="B50" s="118" t="s">
        <v>1752</v>
      </c>
      <c r="C50" s="118" t="s">
        <v>1779</v>
      </c>
      <c r="D50" s="119">
        <v>43097</v>
      </c>
      <c r="E50" s="118" t="s">
        <v>1854</v>
      </c>
      <c r="F50" s="118" t="s">
        <v>1774</v>
      </c>
      <c r="G50" s="118">
        <v>8</v>
      </c>
      <c r="H50" s="118">
        <v>1</v>
      </c>
      <c r="I50" s="118">
        <v>13.8</v>
      </c>
      <c r="J50" s="118">
        <v>103.1</v>
      </c>
      <c r="K50" s="118"/>
      <c r="L50" s="122">
        <v>-1.52</v>
      </c>
      <c r="M50" s="122">
        <v>-0.36</v>
      </c>
      <c r="N50" s="118">
        <v>-2.0099999999999998</v>
      </c>
      <c r="O50" s="123" t="s">
        <v>1747</v>
      </c>
    </row>
    <row r="51" spans="1:15" ht="43.2">
      <c r="A51" s="118" t="s">
        <v>1855</v>
      </c>
      <c r="B51" s="118" t="s">
        <v>1752</v>
      </c>
      <c r="C51" s="118" t="s">
        <v>1744</v>
      </c>
      <c r="D51" s="119">
        <v>43986</v>
      </c>
      <c r="E51" s="118" t="s">
        <v>1856</v>
      </c>
      <c r="F51" s="118" t="s">
        <v>1774</v>
      </c>
      <c r="G51" s="118"/>
      <c r="H51" s="118">
        <v>1</v>
      </c>
      <c r="I51" s="118">
        <v>11.5</v>
      </c>
      <c r="J51" s="118">
        <v>77</v>
      </c>
      <c r="K51" s="118">
        <v>15</v>
      </c>
      <c r="L51" s="122">
        <v>0.24</v>
      </c>
      <c r="M51" s="122">
        <v>-2.35</v>
      </c>
      <c r="N51" s="118">
        <v>1.76</v>
      </c>
      <c r="O51" s="123" t="s">
        <v>1757</v>
      </c>
    </row>
    <row r="52" spans="1:15" ht="43.2">
      <c r="A52" s="118" t="s">
        <v>1857</v>
      </c>
      <c r="B52" s="118" t="s">
        <v>1752</v>
      </c>
      <c r="C52" s="118" t="s">
        <v>1779</v>
      </c>
      <c r="D52" s="119">
        <v>43100</v>
      </c>
      <c r="E52" s="118" t="s">
        <v>1858</v>
      </c>
      <c r="F52" s="118" t="s">
        <v>1777</v>
      </c>
      <c r="G52" s="118">
        <v>6</v>
      </c>
      <c r="H52" s="118">
        <v>8</v>
      </c>
      <c r="I52" s="118">
        <v>13.8</v>
      </c>
      <c r="J52" s="118">
        <v>103.1</v>
      </c>
      <c r="K52" s="118"/>
      <c r="L52" s="122">
        <v>-1.51</v>
      </c>
      <c r="M52" s="122">
        <v>-0.35</v>
      </c>
      <c r="N52" s="118">
        <v>-2.0099999999999998</v>
      </c>
      <c r="O52" s="123" t="s">
        <v>1747</v>
      </c>
    </row>
    <row r="53" spans="1:15" ht="43.2">
      <c r="A53" s="118" t="s">
        <v>1859</v>
      </c>
      <c r="B53" s="118" t="s">
        <v>1752</v>
      </c>
      <c r="C53" s="118" t="s">
        <v>1786</v>
      </c>
      <c r="D53" s="119">
        <v>43530</v>
      </c>
      <c r="E53" s="118" t="s">
        <v>1860</v>
      </c>
      <c r="F53" s="118" t="s">
        <v>1777</v>
      </c>
      <c r="G53" s="118">
        <v>2</v>
      </c>
      <c r="H53" s="118">
        <v>8</v>
      </c>
      <c r="I53" s="118">
        <v>10.7</v>
      </c>
      <c r="J53" s="118">
        <v>89</v>
      </c>
      <c r="K53" s="118"/>
      <c r="L53" s="122">
        <v>-2.46</v>
      </c>
      <c r="M53" s="122">
        <v>-1.93</v>
      </c>
      <c r="N53" s="118">
        <v>-2.14</v>
      </c>
      <c r="O53" s="123" t="s">
        <v>1747</v>
      </c>
    </row>
    <row r="54" spans="1:15" ht="43.2">
      <c r="A54" s="118" t="s">
        <v>1861</v>
      </c>
      <c r="B54" s="118" t="s">
        <v>1743</v>
      </c>
      <c r="C54" s="118" t="s">
        <v>1744</v>
      </c>
      <c r="D54" s="119">
        <v>44259</v>
      </c>
      <c r="E54" s="118" t="s">
        <v>1862</v>
      </c>
      <c r="F54" s="118" t="s">
        <v>1777</v>
      </c>
      <c r="G54" s="118">
        <v>5</v>
      </c>
      <c r="H54" s="118">
        <v>8</v>
      </c>
      <c r="I54" s="118">
        <v>7</v>
      </c>
      <c r="J54" s="118">
        <v>71.5</v>
      </c>
      <c r="K54" s="118"/>
      <c r="L54" s="122">
        <v>-2.09</v>
      </c>
      <c r="M54" s="122">
        <v>-1.06</v>
      </c>
      <c r="N54" s="118">
        <v>-2.1800000000000002</v>
      </c>
      <c r="O54" s="123" t="s">
        <v>1747</v>
      </c>
    </row>
    <row r="55" spans="1:15" ht="43.2">
      <c r="A55" s="118" t="s">
        <v>1863</v>
      </c>
      <c r="B55" s="118" t="s">
        <v>1752</v>
      </c>
      <c r="C55" s="118" t="s">
        <v>1744</v>
      </c>
      <c r="D55" s="119">
        <v>44222</v>
      </c>
      <c r="E55" s="118" t="s">
        <v>1864</v>
      </c>
      <c r="F55" s="118" t="s">
        <v>1777</v>
      </c>
      <c r="G55" s="118">
        <v>0</v>
      </c>
      <c r="H55" s="118">
        <v>0</v>
      </c>
      <c r="I55" s="118">
        <v>7.2</v>
      </c>
      <c r="J55" s="118">
        <v>67.900000000000006</v>
      </c>
      <c r="K55" s="118">
        <v>15</v>
      </c>
      <c r="L55" s="122">
        <v>-2.5499999999999998</v>
      </c>
      <c r="M55" s="122">
        <v>-3.08</v>
      </c>
      <c r="N55" s="118">
        <v>-1.22</v>
      </c>
      <c r="O55" s="123" t="s">
        <v>1760</v>
      </c>
    </row>
    <row r="56" spans="1:15" ht="43.2">
      <c r="A56" s="118" t="s">
        <v>1865</v>
      </c>
      <c r="B56" s="118" t="s">
        <v>1752</v>
      </c>
      <c r="C56" s="118" t="s">
        <v>1866</v>
      </c>
      <c r="D56" s="119">
        <v>42849</v>
      </c>
      <c r="E56" s="118" t="s">
        <v>1867</v>
      </c>
      <c r="F56" s="118" t="s">
        <v>1777</v>
      </c>
      <c r="G56" s="118">
        <v>3</v>
      </c>
      <c r="H56" s="118">
        <v>8</v>
      </c>
      <c r="I56" s="118">
        <v>11.6</v>
      </c>
      <c r="J56" s="118">
        <v>92.2</v>
      </c>
      <c r="K56" s="118"/>
      <c r="L56" s="122">
        <v>-3.28</v>
      </c>
      <c r="M56" s="122">
        <v>-3.52</v>
      </c>
      <c r="N56" s="118">
        <v>-1.84</v>
      </c>
      <c r="O56" s="123" t="s">
        <v>1760</v>
      </c>
    </row>
    <row r="57" spans="1:15" ht="43.2">
      <c r="A57" s="118" t="s">
        <v>1868</v>
      </c>
      <c r="B57" s="118" t="s">
        <v>1752</v>
      </c>
      <c r="C57" s="118" t="s">
        <v>1779</v>
      </c>
      <c r="D57" s="119">
        <v>43033</v>
      </c>
      <c r="E57" s="118" t="s">
        <v>1869</v>
      </c>
      <c r="F57" s="118" t="s">
        <v>1777</v>
      </c>
      <c r="G57" s="118">
        <v>3</v>
      </c>
      <c r="H57" s="118">
        <v>8</v>
      </c>
      <c r="I57" s="118">
        <v>14.2</v>
      </c>
      <c r="J57" s="118">
        <v>104.8</v>
      </c>
      <c r="K57" s="118"/>
      <c r="L57" s="122">
        <v>-1.44</v>
      </c>
      <c r="M57" s="122">
        <v>-0.24</v>
      </c>
      <c r="N57" s="118">
        <v>-2.0299999999999998</v>
      </c>
      <c r="O57" s="123" t="s">
        <v>1747</v>
      </c>
    </row>
    <row r="58" spans="1:15" ht="43.2">
      <c r="A58" s="118" t="s">
        <v>1870</v>
      </c>
      <c r="B58" s="118" t="s">
        <v>1752</v>
      </c>
      <c r="C58" s="118" t="s">
        <v>1779</v>
      </c>
      <c r="D58" s="119">
        <v>43075</v>
      </c>
      <c r="E58" s="118" t="s">
        <v>1871</v>
      </c>
      <c r="F58" s="118" t="s">
        <v>1777</v>
      </c>
      <c r="G58" s="118">
        <v>1</v>
      </c>
      <c r="H58" s="118">
        <v>12</v>
      </c>
      <c r="I58" s="118">
        <v>13.8</v>
      </c>
      <c r="J58" s="118">
        <v>103.1</v>
      </c>
      <c r="K58" s="118"/>
      <c r="L58" s="122">
        <v>-1.57</v>
      </c>
      <c r="M58" s="122">
        <v>-0.46</v>
      </c>
      <c r="N58" s="118">
        <v>-2.0099999999999998</v>
      </c>
      <c r="O58" s="123" t="s">
        <v>1747</v>
      </c>
    </row>
    <row r="59" spans="1:15" ht="43.2">
      <c r="A59" s="118" t="s">
        <v>1872</v>
      </c>
      <c r="B59" s="118" t="s">
        <v>1752</v>
      </c>
      <c r="C59" s="118" t="s">
        <v>1779</v>
      </c>
      <c r="D59" s="119">
        <v>43082</v>
      </c>
      <c r="E59" s="118" t="s">
        <v>1873</v>
      </c>
      <c r="F59" s="118" t="s">
        <v>1777</v>
      </c>
      <c r="G59" s="118">
        <v>1</v>
      </c>
      <c r="H59" s="118">
        <v>12</v>
      </c>
      <c r="I59" s="118">
        <v>13.8</v>
      </c>
      <c r="J59" s="118">
        <v>103.1</v>
      </c>
      <c r="K59" s="118"/>
      <c r="L59" s="122">
        <v>-1.55</v>
      </c>
      <c r="M59" s="122">
        <v>-0.43</v>
      </c>
      <c r="N59" s="118">
        <v>-2.0099999999999998</v>
      </c>
      <c r="O59" s="123" t="s">
        <v>1747</v>
      </c>
    </row>
    <row r="60" spans="1:15" ht="43.2">
      <c r="A60" s="118" t="s">
        <v>1874</v>
      </c>
      <c r="B60" s="118" t="s">
        <v>1752</v>
      </c>
      <c r="C60" s="118" t="s">
        <v>1779</v>
      </c>
      <c r="D60" s="119">
        <v>43087</v>
      </c>
      <c r="E60" s="118" t="s">
        <v>1875</v>
      </c>
      <c r="F60" s="118" t="s">
        <v>1777</v>
      </c>
      <c r="G60" s="118">
        <v>2</v>
      </c>
      <c r="H60" s="118">
        <v>12</v>
      </c>
      <c r="I60" s="118">
        <v>13.8</v>
      </c>
      <c r="J60" s="118">
        <v>103.1</v>
      </c>
      <c r="K60" s="118"/>
      <c r="L60" s="122">
        <v>-1.54</v>
      </c>
      <c r="M60" s="122">
        <v>-0.41</v>
      </c>
      <c r="N60" s="118">
        <v>-2.0099999999999998</v>
      </c>
      <c r="O60" s="123" t="s">
        <v>1747</v>
      </c>
    </row>
    <row r="61" spans="1:15" ht="43.2">
      <c r="A61" s="118" t="s">
        <v>1876</v>
      </c>
      <c r="B61" s="118" t="s">
        <v>1743</v>
      </c>
      <c r="C61" s="118" t="s">
        <v>1755</v>
      </c>
      <c r="D61" s="119">
        <v>44639</v>
      </c>
      <c r="E61" s="118" t="s">
        <v>1877</v>
      </c>
      <c r="F61" s="118" t="s">
        <v>1777</v>
      </c>
      <c r="G61" s="118">
        <v>3</v>
      </c>
      <c r="H61" s="118">
        <v>12</v>
      </c>
      <c r="I61" s="118">
        <v>2.5</v>
      </c>
      <c r="J61" s="118">
        <v>49</v>
      </c>
      <c r="K61" s="118"/>
      <c r="L61" s="122">
        <v>-2.76</v>
      </c>
      <c r="M61" s="122">
        <v>-1.3</v>
      </c>
      <c r="N61" s="118">
        <v>-3.19</v>
      </c>
      <c r="O61" s="123" t="s">
        <v>1790</v>
      </c>
    </row>
    <row r="62" spans="1:15" ht="43.2">
      <c r="A62" s="118" t="s">
        <v>1878</v>
      </c>
      <c r="B62" s="118" t="s">
        <v>1752</v>
      </c>
      <c r="C62" s="118" t="s">
        <v>1779</v>
      </c>
      <c r="D62" s="119">
        <v>42897</v>
      </c>
      <c r="E62" s="118" t="s">
        <v>1879</v>
      </c>
      <c r="F62" s="118" t="s">
        <v>1777</v>
      </c>
      <c r="G62" s="118">
        <v>3</v>
      </c>
      <c r="H62" s="118">
        <v>8</v>
      </c>
      <c r="I62" s="118">
        <v>14</v>
      </c>
      <c r="J62" s="118">
        <v>104</v>
      </c>
      <c r="K62" s="118"/>
      <c r="L62" s="122">
        <v>-1.87</v>
      </c>
      <c r="M62" s="122">
        <v>-0.98</v>
      </c>
      <c r="N62" s="118">
        <v>-2.0299999999999998</v>
      </c>
      <c r="O62" s="123" t="s">
        <v>1747</v>
      </c>
    </row>
    <row r="63" spans="1:15" ht="57.6">
      <c r="A63" s="118" t="s">
        <v>1880</v>
      </c>
      <c r="B63" s="118" t="s">
        <v>1743</v>
      </c>
      <c r="C63" s="118" t="s">
        <v>1779</v>
      </c>
      <c r="D63" s="119">
        <v>42952</v>
      </c>
      <c r="E63" s="118" t="s">
        <v>1881</v>
      </c>
      <c r="F63" s="118" t="s">
        <v>1777</v>
      </c>
      <c r="G63" s="118">
        <v>1</v>
      </c>
      <c r="H63" s="118">
        <v>8</v>
      </c>
      <c r="I63" s="118">
        <v>15</v>
      </c>
      <c r="J63" s="118">
        <v>109</v>
      </c>
      <c r="K63" s="118"/>
      <c r="L63" s="122">
        <v>-1.06</v>
      </c>
      <c r="M63" s="122">
        <v>0.44</v>
      </c>
      <c r="N63" s="118">
        <v>-2.15</v>
      </c>
      <c r="O63" s="123" t="s">
        <v>1747</v>
      </c>
    </row>
    <row r="64" spans="1:15" ht="43.2">
      <c r="A64" s="118" t="s">
        <v>1882</v>
      </c>
      <c r="B64" s="118" t="s">
        <v>1752</v>
      </c>
      <c r="C64" s="118" t="s">
        <v>1779</v>
      </c>
      <c r="D64" s="119">
        <v>43109</v>
      </c>
      <c r="E64" s="118" t="s">
        <v>1883</v>
      </c>
      <c r="F64" s="118" t="s">
        <v>1777</v>
      </c>
      <c r="G64" s="118">
        <v>2</v>
      </c>
      <c r="H64" s="118">
        <v>8</v>
      </c>
      <c r="I64" s="118">
        <v>13.5</v>
      </c>
      <c r="J64" s="118">
        <v>103.5</v>
      </c>
      <c r="K64" s="118"/>
      <c r="L64" s="122">
        <v>-1.68</v>
      </c>
      <c r="M64" s="122">
        <v>-0.26</v>
      </c>
      <c r="N64" s="118">
        <v>-2.38</v>
      </c>
      <c r="O64" s="123" t="s">
        <v>1747</v>
      </c>
    </row>
    <row r="65" spans="1:15" ht="43.2">
      <c r="A65" s="118" t="s">
        <v>1884</v>
      </c>
      <c r="B65" s="118" t="s">
        <v>1752</v>
      </c>
      <c r="C65" s="118" t="s">
        <v>1779</v>
      </c>
      <c r="D65" s="119">
        <v>43120</v>
      </c>
      <c r="E65" s="118" t="s">
        <v>1885</v>
      </c>
      <c r="F65" s="118" t="s">
        <v>1777</v>
      </c>
      <c r="G65" s="118">
        <v>2</v>
      </c>
      <c r="H65" s="118">
        <v>4</v>
      </c>
      <c r="I65" s="118">
        <v>13</v>
      </c>
      <c r="J65" s="118">
        <v>100</v>
      </c>
      <c r="K65" s="118"/>
      <c r="L65" s="122">
        <v>-1.96</v>
      </c>
      <c r="M65" s="122">
        <v>-1.03</v>
      </c>
      <c r="N65" s="118">
        <v>-2.09</v>
      </c>
      <c r="O65" s="123" t="s">
        <v>1747</v>
      </c>
    </row>
    <row r="66" spans="1:15" ht="43.2">
      <c r="A66" s="118" t="s">
        <v>1886</v>
      </c>
      <c r="B66" s="118" t="s">
        <v>1752</v>
      </c>
      <c r="C66" s="118" t="s">
        <v>1786</v>
      </c>
      <c r="D66" s="119">
        <v>43259</v>
      </c>
      <c r="E66" s="118" t="s">
        <v>1887</v>
      </c>
      <c r="F66" s="118" t="s">
        <v>1777</v>
      </c>
      <c r="G66" s="118">
        <v>1</v>
      </c>
      <c r="H66" s="118">
        <v>8</v>
      </c>
      <c r="I66" s="118">
        <v>11</v>
      </c>
      <c r="J66" s="118">
        <v>93</v>
      </c>
      <c r="K66" s="118"/>
      <c r="L66" s="122">
        <v>-2.98</v>
      </c>
      <c r="M66" s="122">
        <v>-2.15</v>
      </c>
      <c r="N66" s="118">
        <v>-2.73</v>
      </c>
      <c r="O66" s="123" t="s">
        <v>1747</v>
      </c>
    </row>
    <row r="67" spans="1:15" ht="43.2">
      <c r="A67" s="118" t="s">
        <v>1888</v>
      </c>
      <c r="B67" s="118" t="s">
        <v>1743</v>
      </c>
      <c r="C67" s="118" t="s">
        <v>1779</v>
      </c>
      <c r="D67" s="119">
        <v>43198</v>
      </c>
      <c r="E67" s="118" t="s">
        <v>1889</v>
      </c>
      <c r="F67" s="118" t="s">
        <v>1777</v>
      </c>
      <c r="G67" s="118">
        <v>1</v>
      </c>
      <c r="H67" s="118">
        <v>13</v>
      </c>
      <c r="I67" s="118">
        <v>10</v>
      </c>
      <c r="J67" s="118">
        <v>93</v>
      </c>
      <c r="K67" s="118"/>
      <c r="L67" s="122">
        <v>-3.31</v>
      </c>
      <c r="M67" s="122">
        <v>-1.69</v>
      </c>
      <c r="N67" s="118">
        <v>-3.42</v>
      </c>
      <c r="O67" s="123" t="s">
        <v>1790</v>
      </c>
    </row>
    <row r="68" spans="1:15" ht="43.2">
      <c r="A68" s="118" t="s">
        <v>1890</v>
      </c>
      <c r="B68" s="118" t="s">
        <v>1752</v>
      </c>
      <c r="C68" s="118" t="s">
        <v>1749</v>
      </c>
      <c r="D68" s="119">
        <v>43809</v>
      </c>
      <c r="E68" s="118" t="s">
        <v>1891</v>
      </c>
      <c r="F68" s="118" t="s">
        <v>1777</v>
      </c>
      <c r="G68" s="118">
        <v>1</v>
      </c>
      <c r="H68" s="118">
        <v>13</v>
      </c>
      <c r="I68" s="118">
        <v>9</v>
      </c>
      <c r="J68" s="118">
        <v>87</v>
      </c>
      <c r="K68" s="118">
        <v>14</v>
      </c>
      <c r="L68" s="122">
        <v>-3.04</v>
      </c>
      <c r="M68" s="122">
        <v>-1.0900000000000001</v>
      </c>
      <c r="N68" s="118">
        <v>-3.66</v>
      </c>
      <c r="O68" s="123" t="s">
        <v>1790</v>
      </c>
    </row>
    <row r="69" spans="1:15" ht="43.2">
      <c r="A69" s="118" t="s">
        <v>1892</v>
      </c>
      <c r="B69" s="118" t="s">
        <v>1743</v>
      </c>
      <c r="C69" s="118" t="s">
        <v>1755</v>
      </c>
      <c r="D69" s="119">
        <v>44425</v>
      </c>
      <c r="E69" s="118" t="s">
        <v>1893</v>
      </c>
      <c r="F69" s="118" t="s">
        <v>1777</v>
      </c>
      <c r="G69" s="118">
        <v>4</v>
      </c>
      <c r="H69" s="118">
        <v>13</v>
      </c>
      <c r="I69" s="118">
        <v>6</v>
      </c>
      <c r="J69" s="118">
        <v>68</v>
      </c>
      <c r="K69" s="118">
        <v>14</v>
      </c>
      <c r="L69" s="122">
        <v>-2.02</v>
      </c>
      <c r="M69" s="122">
        <v>0.28999999999999998</v>
      </c>
      <c r="N69" s="118">
        <v>-2.95</v>
      </c>
      <c r="O69" s="123" t="s">
        <v>1747</v>
      </c>
    </row>
    <row r="70" spans="1:15" ht="43.2">
      <c r="A70" s="118" t="s">
        <v>1894</v>
      </c>
      <c r="B70" s="118" t="s">
        <v>1743</v>
      </c>
      <c r="C70" s="118" t="s">
        <v>1744</v>
      </c>
      <c r="D70" s="119">
        <v>44312</v>
      </c>
      <c r="E70" s="118" t="s">
        <v>1895</v>
      </c>
      <c r="F70" s="118" t="s">
        <v>1777</v>
      </c>
      <c r="G70" s="118">
        <v>4</v>
      </c>
      <c r="H70" s="118">
        <v>13</v>
      </c>
      <c r="I70" s="118">
        <v>9</v>
      </c>
      <c r="J70" s="118">
        <v>87</v>
      </c>
      <c r="K70" s="118">
        <v>16</v>
      </c>
      <c r="L70" s="122">
        <v>0.31</v>
      </c>
      <c r="M70" s="122">
        <v>5.81</v>
      </c>
      <c r="N70" s="118">
        <v>-3.12</v>
      </c>
      <c r="O70" s="123" t="s">
        <v>1790</v>
      </c>
    </row>
    <row r="71" spans="1:15" ht="43.2">
      <c r="A71" s="118" t="s">
        <v>1896</v>
      </c>
      <c r="B71" s="118" t="s">
        <v>1752</v>
      </c>
      <c r="C71" s="118" t="s">
        <v>1744</v>
      </c>
      <c r="D71" s="119">
        <v>44161</v>
      </c>
      <c r="E71" s="118" t="s">
        <v>1897</v>
      </c>
      <c r="F71" s="118" t="s">
        <v>1777</v>
      </c>
      <c r="G71" s="118">
        <v>4</v>
      </c>
      <c r="H71" s="118">
        <v>13</v>
      </c>
      <c r="I71" s="118">
        <v>9</v>
      </c>
      <c r="J71" s="118">
        <v>81</v>
      </c>
      <c r="K71" s="118">
        <v>16</v>
      </c>
      <c r="L71" s="122">
        <v>-1.36</v>
      </c>
      <c r="M71" s="122">
        <v>0.43</v>
      </c>
      <c r="N71" s="118">
        <v>-2.0699999999999998</v>
      </c>
      <c r="O71" s="123" t="s">
        <v>1747</v>
      </c>
    </row>
    <row r="72" spans="1:15" ht="43.2">
      <c r="A72" s="118" t="s">
        <v>1898</v>
      </c>
      <c r="B72" s="118" t="s">
        <v>1743</v>
      </c>
      <c r="C72" s="118" t="s">
        <v>1749</v>
      </c>
      <c r="D72" s="119">
        <v>43743</v>
      </c>
      <c r="E72" s="118" t="s">
        <v>1899</v>
      </c>
      <c r="F72" s="118" t="s">
        <v>1777</v>
      </c>
      <c r="G72" s="118">
        <v>4</v>
      </c>
      <c r="H72" s="118">
        <v>13</v>
      </c>
      <c r="I72" s="118">
        <v>10</v>
      </c>
      <c r="J72" s="118">
        <v>93</v>
      </c>
      <c r="K72" s="118"/>
      <c r="L72" s="122">
        <v>-1.9</v>
      </c>
      <c r="M72" s="122">
        <v>0.79</v>
      </c>
      <c r="N72" s="118">
        <v>-3.42</v>
      </c>
      <c r="O72" s="123" t="s">
        <v>1790</v>
      </c>
    </row>
    <row r="73" spans="1:15" ht="43.2">
      <c r="A73" s="118" t="s">
        <v>1900</v>
      </c>
      <c r="B73" s="118" t="s">
        <v>1752</v>
      </c>
      <c r="C73" s="118" t="s">
        <v>1744</v>
      </c>
      <c r="D73" s="119">
        <v>44123</v>
      </c>
      <c r="E73" s="118" t="s">
        <v>1901</v>
      </c>
      <c r="F73" s="118" t="s">
        <v>1777</v>
      </c>
      <c r="G73" s="118">
        <v>4</v>
      </c>
      <c r="H73" s="118">
        <v>13</v>
      </c>
      <c r="I73" s="118">
        <v>9</v>
      </c>
      <c r="J73" s="118">
        <v>81</v>
      </c>
      <c r="K73" s="118"/>
      <c r="L73" s="122">
        <v>-1.58</v>
      </c>
      <c r="M73" s="122">
        <v>-0.08</v>
      </c>
      <c r="N73" s="118">
        <v>-2.0699999999999998</v>
      </c>
      <c r="O73" s="123" t="s">
        <v>1747</v>
      </c>
    </row>
    <row r="74" spans="1:15" ht="43.2">
      <c r="A74" s="118" t="s">
        <v>1902</v>
      </c>
      <c r="B74" s="118" t="s">
        <v>1743</v>
      </c>
      <c r="C74" s="118" t="s">
        <v>1749</v>
      </c>
      <c r="D74" s="119">
        <v>43639</v>
      </c>
      <c r="E74" s="118" t="s">
        <v>1903</v>
      </c>
      <c r="F74" s="118" t="s">
        <v>1777</v>
      </c>
      <c r="G74" s="118">
        <v>4</v>
      </c>
      <c r="H74" s="118">
        <v>13</v>
      </c>
      <c r="I74" s="118">
        <v>10</v>
      </c>
      <c r="J74" s="118">
        <v>89</v>
      </c>
      <c r="K74" s="118"/>
      <c r="L74" s="122">
        <v>-2.3199999999999998</v>
      </c>
      <c r="M74" s="122">
        <v>-1.04</v>
      </c>
      <c r="N74" s="118">
        <v>-2.52</v>
      </c>
      <c r="O74" s="123" t="s">
        <v>1747</v>
      </c>
    </row>
    <row r="75" spans="1:15" ht="43.2">
      <c r="A75" s="118" t="s">
        <v>1904</v>
      </c>
      <c r="B75" s="118" t="s">
        <v>1752</v>
      </c>
      <c r="C75" s="118" t="s">
        <v>1749</v>
      </c>
      <c r="D75" s="119">
        <v>43685</v>
      </c>
      <c r="E75" s="118" t="s">
        <v>1905</v>
      </c>
      <c r="F75" s="118" t="s">
        <v>1777</v>
      </c>
      <c r="G75" s="118">
        <v>4</v>
      </c>
      <c r="H75" s="118">
        <v>13</v>
      </c>
      <c r="I75" s="118">
        <v>9</v>
      </c>
      <c r="J75" s="118">
        <v>84</v>
      </c>
      <c r="K75" s="118"/>
      <c r="L75" s="122">
        <v>-3.44</v>
      </c>
      <c r="M75" s="122">
        <v>-2.56</v>
      </c>
      <c r="N75" s="118">
        <v>-3.04</v>
      </c>
      <c r="O75" s="123" t="s">
        <v>1790</v>
      </c>
    </row>
    <row r="76" spans="1:15" ht="43.2">
      <c r="A76" s="118" t="s">
        <v>1906</v>
      </c>
      <c r="B76" s="118" t="s">
        <v>1743</v>
      </c>
      <c r="C76" s="118" t="s">
        <v>1749</v>
      </c>
      <c r="D76" s="119">
        <v>43687</v>
      </c>
      <c r="E76" s="118" t="s">
        <v>1907</v>
      </c>
      <c r="F76" s="118" t="s">
        <v>1784</v>
      </c>
      <c r="G76" s="118">
        <v>3</v>
      </c>
      <c r="H76" s="118">
        <v>2</v>
      </c>
      <c r="I76" s="118">
        <v>10</v>
      </c>
      <c r="J76" s="118">
        <v>88</v>
      </c>
      <c r="K76" s="118"/>
      <c r="L76" s="122">
        <v>-2.13</v>
      </c>
      <c r="M76" s="122">
        <v>-1.02</v>
      </c>
      <c r="N76" s="118">
        <v>-2.27</v>
      </c>
      <c r="O76" s="123" t="s">
        <v>1747</v>
      </c>
    </row>
    <row r="77" spans="1:15" ht="28.8">
      <c r="A77" s="118" t="s">
        <v>1908</v>
      </c>
      <c r="B77" s="118" t="s">
        <v>1752</v>
      </c>
      <c r="C77" s="118" t="s">
        <v>1779</v>
      </c>
      <c r="D77" s="119">
        <v>43172</v>
      </c>
      <c r="E77" s="118" t="s">
        <v>1909</v>
      </c>
      <c r="F77" s="118" t="s">
        <v>1784</v>
      </c>
      <c r="G77" s="118">
        <v>4</v>
      </c>
      <c r="H77" s="118">
        <v>1</v>
      </c>
      <c r="I77" s="118">
        <v>12</v>
      </c>
      <c r="J77" s="118">
        <v>95</v>
      </c>
      <c r="K77" s="118"/>
      <c r="L77" s="122">
        <v>-2.46</v>
      </c>
      <c r="M77" s="122">
        <v>-1.98</v>
      </c>
      <c r="N77" s="118">
        <v>-2.02</v>
      </c>
      <c r="O77" s="123" t="s">
        <v>1747</v>
      </c>
    </row>
    <row r="78" spans="1:15" ht="28.8">
      <c r="A78" s="118" t="s">
        <v>1910</v>
      </c>
      <c r="B78" s="118" t="s">
        <v>1752</v>
      </c>
      <c r="C78" s="118" t="s">
        <v>1744</v>
      </c>
      <c r="D78" s="119">
        <v>43971</v>
      </c>
      <c r="E78" s="118" t="s">
        <v>1911</v>
      </c>
      <c r="F78" s="118" t="s">
        <v>1784</v>
      </c>
      <c r="G78" s="118">
        <v>11</v>
      </c>
      <c r="H78" s="118">
        <v>3</v>
      </c>
      <c r="I78" s="118">
        <v>8</v>
      </c>
      <c r="J78" s="118">
        <v>80</v>
      </c>
      <c r="K78" s="118"/>
      <c r="L78" s="122">
        <v>-3.33</v>
      </c>
      <c r="M78" s="122">
        <v>-1.98</v>
      </c>
      <c r="N78" s="118">
        <v>-3.34</v>
      </c>
      <c r="O78" s="123" t="s">
        <v>1790</v>
      </c>
    </row>
    <row r="79" spans="1:15" ht="57.6">
      <c r="A79" s="118" t="s">
        <v>1912</v>
      </c>
      <c r="B79" s="118" t="s">
        <v>1752</v>
      </c>
      <c r="C79" s="118" t="s">
        <v>1779</v>
      </c>
      <c r="D79" s="119">
        <v>42911</v>
      </c>
      <c r="E79" s="118" t="s">
        <v>1913</v>
      </c>
      <c r="F79" s="118" t="s">
        <v>1784</v>
      </c>
      <c r="G79" s="118">
        <v>5</v>
      </c>
      <c r="H79" s="118">
        <v>11</v>
      </c>
      <c r="I79" s="118">
        <v>12</v>
      </c>
      <c r="J79" s="118">
        <v>109</v>
      </c>
      <c r="K79" s="118"/>
      <c r="L79" s="122">
        <v>-3.03</v>
      </c>
      <c r="M79" s="122">
        <v>0.21</v>
      </c>
      <c r="N79" s="118">
        <v>-4.79</v>
      </c>
      <c r="O79" s="123" t="s">
        <v>1790</v>
      </c>
    </row>
    <row r="80" spans="1:15" ht="28.8">
      <c r="A80" s="118" t="s">
        <v>1914</v>
      </c>
      <c r="B80" s="118" t="s">
        <v>1752</v>
      </c>
      <c r="C80" s="118" t="s">
        <v>1744</v>
      </c>
      <c r="D80" s="119">
        <v>44161</v>
      </c>
      <c r="E80" s="118" t="s">
        <v>1802</v>
      </c>
      <c r="F80" s="118" t="s">
        <v>1784</v>
      </c>
      <c r="G80" s="118">
        <v>3</v>
      </c>
      <c r="H80" s="118">
        <v>7</v>
      </c>
      <c r="I80" s="118">
        <v>8</v>
      </c>
      <c r="J80" s="118">
        <v>77</v>
      </c>
      <c r="K80" s="118"/>
      <c r="L80" s="122">
        <v>-2.37</v>
      </c>
      <c r="M80" s="122">
        <v>-1.03</v>
      </c>
      <c r="N80" s="118">
        <v>-2.66</v>
      </c>
      <c r="O80" s="123" t="s">
        <v>1747</v>
      </c>
    </row>
    <row r="81" spans="1:15" ht="43.2">
      <c r="A81" s="118" t="s">
        <v>1915</v>
      </c>
      <c r="B81" s="118" t="s">
        <v>1752</v>
      </c>
      <c r="C81" s="118" t="s">
        <v>1755</v>
      </c>
      <c r="D81" s="119">
        <v>44541</v>
      </c>
      <c r="E81" s="118" t="s">
        <v>1806</v>
      </c>
      <c r="F81" s="118" t="s">
        <v>1807</v>
      </c>
      <c r="G81" s="118">
        <v>11</v>
      </c>
      <c r="H81" s="118">
        <v>3</v>
      </c>
      <c r="I81" s="118">
        <v>6</v>
      </c>
      <c r="J81" s="118">
        <v>65</v>
      </c>
      <c r="K81" s="118"/>
      <c r="L81" s="122">
        <v>-0.47</v>
      </c>
      <c r="M81" s="122">
        <v>1.81</v>
      </c>
      <c r="N81" s="118">
        <v>-2.41</v>
      </c>
      <c r="O81" s="123" t="s">
        <v>1747</v>
      </c>
    </row>
    <row r="82" spans="1:15" ht="43.2">
      <c r="A82" s="118" t="s">
        <v>1916</v>
      </c>
      <c r="B82" s="118" t="s">
        <v>1743</v>
      </c>
      <c r="C82" s="118" t="s">
        <v>1744</v>
      </c>
      <c r="D82" s="119">
        <v>44063</v>
      </c>
      <c r="E82" s="118" t="s">
        <v>1809</v>
      </c>
      <c r="F82" s="118" t="s">
        <v>1807</v>
      </c>
      <c r="G82" s="118">
        <v>5</v>
      </c>
      <c r="H82" s="118">
        <v>3</v>
      </c>
      <c r="I82" s="118">
        <v>13</v>
      </c>
      <c r="J82" s="118">
        <v>102</v>
      </c>
      <c r="K82" s="118"/>
      <c r="L82" s="122">
        <v>1.78</v>
      </c>
      <c r="M82" s="122">
        <v>7.01</v>
      </c>
      <c r="N82" s="118">
        <v>-2.0699999999999998</v>
      </c>
      <c r="O82" s="123" t="s">
        <v>1747</v>
      </c>
    </row>
    <row r="83" spans="1:15" ht="28.8">
      <c r="A83" s="118" t="s">
        <v>1917</v>
      </c>
      <c r="B83" s="118" t="s">
        <v>1743</v>
      </c>
      <c r="C83" s="118" t="s">
        <v>1749</v>
      </c>
      <c r="D83" s="119">
        <v>43882</v>
      </c>
      <c r="E83" s="118" t="s">
        <v>1918</v>
      </c>
      <c r="F83" s="118" t="s">
        <v>1746</v>
      </c>
      <c r="G83" s="118">
        <v>4</v>
      </c>
      <c r="H83" s="118">
        <v>8</v>
      </c>
      <c r="I83" s="118">
        <v>10</v>
      </c>
      <c r="J83" s="118">
        <v>88</v>
      </c>
      <c r="K83" s="118"/>
      <c r="L83" s="122">
        <v>-1.23</v>
      </c>
      <c r="M83" s="122">
        <v>0.32</v>
      </c>
      <c r="N83" s="118">
        <v>-2.09</v>
      </c>
      <c r="O83" s="123" t="s">
        <v>1747</v>
      </c>
    </row>
    <row r="84" spans="1:15" ht="28.8">
      <c r="A84" s="118" t="s">
        <v>1919</v>
      </c>
      <c r="B84" s="118" t="s">
        <v>1743</v>
      </c>
      <c r="C84" s="118" t="s">
        <v>1744</v>
      </c>
      <c r="D84" s="119">
        <v>44000</v>
      </c>
      <c r="E84" s="118" t="s">
        <v>1764</v>
      </c>
      <c r="F84" s="118" t="s">
        <v>1746</v>
      </c>
      <c r="G84" s="118">
        <v>4</v>
      </c>
      <c r="H84" s="118">
        <v>7</v>
      </c>
      <c r="I84" s="118">
        <v>9</v>
      </c>
      <c r="J84" s="118">
        <v>84</v>
      </c>
      <c r="K84" s="118"/>
      <c r="L84" s="122">
        <v>-1.52</v>
      </c>
      <c r="M84" s="122">
        <v>0.19</v>
      </c>
      <c r="N84" s="118">
        <v>-2.3199999999999998</v>
      </c>
      <c r="O84" s="123" t="s">
        <v>1747</v>
      </c>
    </row>
    <row r="85" spans="1:15" ht="28.8">
      <c r="A85" s="118" t="s">
        <v>1920</v>
      </c>
      <c r="B85" s="118" t="s">
        <v>1743</v>
      </c>
      <c r="C85" s="118" t="s">
        <v>1786</v>
      </c>
      <c r="D85" s="119">
        <v>43418</v>
      </c>
      <c r="E85" s="118" t="s">
        <v>1753</v>
      </c>
      <c r="F85" s="118" t="s">
        <v>1746</v>
      </c>
      <c r="G85" s="118">
        <v>1</v>
      </c>
      <c r="H85" s="118">
        <v>2</v>
      </c>
      <c r="I85" s="118">
        <v>10</v>
      </c>
      <c r="J85" s="118">
        <v>90</v>
      </c>
      <c r="K85" s="118"/>
      <c r="L85" s="122">
        <v>-3.03</v>
      </c>
      <c r="M85" s="122">
        <v>-2.1</v>
      </c>
      <c r="N85" s="118">
        <v>-2.59</v>
      </c>
      <c r="O85" s="123" t="s">
        <v>1747</v>
      </c>
    </row>
    <row r="86" spans="1:15" ht="43.2">
      <c r="A86" s="118" t="s">
        <v>1921</v>
      </c>
      <c r="B86" s="118" t="s">
        <v>1743</v>
      </c>
      <c r="C86" s="118" t="s">
        <v>1749</v>
      </c>
      <c r="D86" s="119">
        <v>43789</v>
      </c>
      <c r="E86" s="118" t="s">
        <v>1826</v>
      </c>
      <c r="F86" s="118" t="s">
        <v>1769</v>
      </c>
      <c r="G86" s="118">
        <v>2</v>
      </c>
      <c r="H86" s="118">
        <v>2</v>
      </c>
      <c r="I86" s="118">
        <v>9.1</v>
      </c>
      <c r="J86" s="118">
        <v>80.5</v>
      </c>
      <c r="K86" s="118">
        <v>13</v>
      </c>
      <c r="L86" s="122">
        <v>-2.2200000000000002</v>
      </c>
      <c r="M86" s="122">
        <v>-2.0499999999999998</v>
      </c>
      <c r="N86" s="118">
        <v>-1.47</v>
      </c>
      <c r="O86" s="123" t="s">
        <v>1760</v>
      </c>
    </row>
    <row r="87" spans="1:15" ht="43.2">
      <c r="A87" s="118" t="s">
        <v>1922</v>
      </c>
      <c r="B87" s="118" t="s">
        <v>1752</v>
      </c>
      <c r="C87" s="118" t="s">
        <v>1749</v>
      </c>
      <c r="D87" s="119">
        <v>43589</v>
      </c>
      <c r="E87" s="118" t="s">
        <v>1771</v>
      </c>
      <c r="F87" s="118" t="s">
        <v>1769</v>
      </c>
      <c r="G87" s="118">
        <v>2</v>
      </c>
      <c r="H87" s="118">
        <v>8</v>
      </c>
      <c r="I87" s="118">
        <v>10</v>
      </c>
      <c r="J87" s="118">
        <v>82.7</v>
      </c>
      <c r="K87" s="118">
        <v>14.3</v>
      </c>
      <c r="L87" s="122">
        <v>-2.69</v>
      </c>
      <c r="M87" s="122">
        <v>-3.12</v>
      </c>
      <c r="N87" s="118">
        <v>-1.32</v>
      </c>
      <c r="O87" s="123" t="s">
        <v>1760</v>
      </c>
    </row>
    <row r="88" spans="1:15" ht="43.2">
      <c r="A88" s="118" t="s">
        <v>1923</v>
      </c>
      <c r="B88" s="118" t="s">
        <v>1743</v>
      </c>
      <c r="C88" s="118" t="s">
        <v>1749</v>
      </c>
      <c r="D88" s="119">
        <v>43853</v>
      </c>
      <c r="E88" s="118" t="s">
        <v>1924</v>
      </c>
      <c r="F88" s="118" t="s">
        <v>1769</v>
      </c>
      <c r="G88" s="118">
        <v>4</v>
      </c>
      <c r="H88" s="118">
        <v>8</v>
      </c>
      <c r="I88" s="118">
        <v>8.6999999999999993</v>
      </c>
      <c r="J88" s="118">
        <v>82</v>
      </c>
      <c r="K88" s="118">
        <v>13</v>
      </c>
      <c r="L88" s="122">
        <v>-2.5499999999999998</v>
      </c>
      <c r="M88" s="122">
        <v>-1.51</v>
      </c>
      <c r="N88" s="118">
        <v>-2.38</v>
      </c>
      <c r="O88" s="123" t="s">
        <v>1747</v>
      </c>
    </row>
    <row r="89" spans="1:15" ht="57.6">
      <c r="A89" s="118" t="s">
        <v>1925</v>
      </c>
      <c r="B89" s="118" t="s">
        <v>1752</v>
      </c>
      <c r="C89" s="118" t="s">
        <v>1779</v>
      </c>
      <c r="D89" s="119">
        <v>43011</v>
      </c>
      <c r="E89" s="118" t="s">
        <v>1768</v>
      </c>
      <c r="F89" s="118" t="s">
        <v>1769</v>
      </c>
      <c r="G89" s="118">
        <v>8</v>
      </c>
      <c r="H89" s="118">
        <v>1</v>
      </c>
      <c r="I89" s="118">
        <v>14</v>
      </c>
      <c r="J89" s="118">
        <v>104</v>
      </c>
      <c r="K89" s="118"/>
      <c r="L89" s="122">
        <v>-1.6</v>
      </c>
      <c r="M89" s="122">
        <v>-0.51</v>
      </c>
      <c r="N89" s="118">
        <v>-2.0299999999999998</v>
      </c>
      <c r="O89" s="123" t="s">
        <v>1747</v>
      </c>
    </row>
    <row r="90" spans="1:15" ht="43.2">
      <c r="A90" s="118" t="s">
        <v>1926</v>
      </c>
      <c r="B90" s="118" t="s">
        <v>1752</v>
      </c>
      <c r="C90" s="118" t="s">
        <v>1779</v>
      </c>
      <c r="D90" s="119">
        <v>43037</v>
      </c>
      <c r="E90" s="118" t="s">
        <v>1927</v>
      </c>
      <c r="F90" s="118" t="s">
        <v>1769</v>
      </c>
      <c r="G90" s="118">
        <v>3</v>
      </c>
      <c r="H90" s="118">
        <v>4</v>
      </c>
      <c r="I90" s="118">
        <v>14</v>
      </c>
      <c r="J90" s="118">
        <v>104</v>
      </c>
      <c r="K90" s="118"/>
      <c r="L90" s="122">
        <v>-1.55</v>
      </c>
      <c r="M90" s="122">
        <v>-0.41</v>
      </c>
      <c r="N90" s="118">
        <v>-2.0299999999999998</v>
      </c>
      <c r="O90" s="123" t="s">
        <v>1747</v>
      </c>
    </row>
    <row r="91" spans="1:15" ht="43.2">
      <c r="A91" s="118" t="s">
        <v>1928</v>
      </c>
      <c r="B91" s="118" t="s">
        <v>1752</v>
      </c>
      <c r="C91" s="118" t="s">
        <v>1779</v>
      </c>
      <c r="D91" s="119">
        <v>42859</v>
      </c>
      <c r="E91" s="118" t="s">
        <v>1929</v>
      </c>
      <c r="F91" s="118" t="s">
        <v>1769</v>
      </c>
      <c r="G91" s="118">
        <v>5</v>
      </c>
      <c r="H91" s="118">
        <v>10</v>
      </c>
      <c r="I91" s="118">
        <v>15.3</v>
      </c>
      <c r="J91" s="118">
        <v>110</v>
      </c>
      <c r="K91" s="118"/>
      <c r="L91" s="122">
        <v>-1.25</v>
      </c>
      <c r="M91" s="122">
        <v>0.22</v>
      </c>
      <c r="N91" s="118">
        <v>-2.2400000000000002</v>
      </c>
      <c r="O91" s="123" t="s">
        <v>1747</v>
      </c>
    </row>
    <row r="92" spans="1:15" ht="43.2">
      <c r="A92" s="118" t="s">
        <v>1930</v>
      </c>
      <c r="B92" s="118" t="s">
        <v>1752</v>
      </c>
      <c r="C92" s="118" t="s">
        <v>1755</v>
      </c>
      <c r="D92" s="119">
        <v>44586</v>
      </c>
      <c r="E92" s="118" t="s">
        <v>1931</v>
      </c>
      <c r="F92" s="118" t="s">
        <v>1769</v>
      </c>
      <c r="G92" s="118">
        <v>2</v>
      </c>
      <c r="H92" s="118">
        <v>1</v>
      </c>
      <c r="I92" s="118">
        <v>2.8</v>
      </c>
      <c r="J92" s="118">
        <v>49</v>
      </c>
      <c r="K92" s="118"/>
      <c r="L92" s="122">
        <v>-2.9</v>
      </c>
      <c r="M92" s="122">
        <v>-2.2000000000000002</v>
      </c>
      <c r="N92" s="118">
        <v>-1.78</v>
      </c>
      <c r="O92" s="123" t="s">
        <v>1760</v>
      </c>
    </row>
    <row r="93" spans="1:15" ht="43.2">
      <c r="A93" s="118" t="s">
        <v>1932</v>
      </c>
      <c r="B93" s="118" t="s">
        <v>1743</v>
      </c>
      <c r="C93" s="118" t="s">
        <v>1779</v>
      </c>
      <c r="D93" s="119">
        <v>43191</v>
      </c>
      <c r="E93" s="118" t="s">
        <v>1933</v>
      </c>
      <c r="F93" s="118" t="s">
        <v>1769</v>
      </c>
      <c r="G93" s="118">
        <v>4</v>
      </c>
      <c r="H93" s="118">
        <v>4</v>
      </c>
      <c r="I93" s="118">
        <v>8.6</v>
      </c>
      <c r="J93" s="118">
        <v>86</v>
      </c>
      <c r="K93" s="118"/>
      <c r="L93" s="122">
        <v>-4.55</v>
      </c>
      <c r="M93" s="122">
        <v>-3.98</v>
      </c>
      <c r="N93" s="118">
        <v>-3.39</v>
      </c>
      <c r="O93" s="123" t="s">
        <v>1790</v>
      </c>
    </row>
    <row r="94" spans="1:15" ht="43.2">
      <c r="A94" s="118" t="s">
        <v>1934</v>
      </c>
      <c r="B94" s="118" t="s">
        <v>1752</v>
      </c>
      <c r="C94" s="118" t="s">
        <v>1744</v>
      </c>
      <c r="D94" s="119">
        <v>44144</v>
      </c>
      <c r="E94" s="118" t="s">
        <v>1935</v>
      </c>
      <c r="F94" s="118" t="s">
        <v>1769</v>
      </c>
      <c r="G94" s="118">
        <v>4</v>
      </c>
      <c r="H94" s="118">
        <v>12</v>
      </c>
      <c r="I94" s="118">
        <v>7</v>
      </c>
      <c r="J94" s="118">
        <v>70.5</v>
      </c>
      <c r="K94" s="118"/>
      <c r="L94" s="122">
        <v>-3.6</v>
      </c>
      <c r="M94" s="122">
        <v>-3.75</v>
      </c>
      <c r="N94" s="118">
        <v>-2.4900000000000002</v>
      </c>
      <c r="O94" s="123" t="s">
        <v>1747</v>
      </c>
    </row>
    <row r="95" spans="1:15" ht="43.2">
      <c r="A95" s="118" t="s">
        <v>1936</v>
      </c>
      <c r="B95" s="118" t="s">
        <v>1752</v>
      </c>
      <c r="C95" s="118" t="s">
        <v>1779</v>
      </c>
      <c r="D95" s="119">
        <v>43113</v>
      </c>
      <c r="E95" s="118" t="s">
        <v>1937</v>
      </c>
      <c r="F95" s="118" t="s">
        <v>1769</v>
      </c>
      <c r="G95" s="118">
        <v>3</v>
      </c>
      <c r="H95" s="118">
        <v>10</v>
      </c>
      <c r="I95" s="118">
        <v>13.6</v>
      </c>
      <c r="J95" s="118">
        <v>98</v>
      </c>
      <c r="K95" s="118">
        <v>15</v>
      </c>
      <c r="L95" s="122">
        <v>-2.2599999999999998</v>
      </c>
      <c r="M95" s="122">
        <v>-2.57</v>
      </c>
      <c r="N95" s="118">
        <v>-1.07</v>
      </c>
      <c r="O95" s="123" t="s">
        <v>1760</v>
      </c>
    </row>
    <row r="96" spans="1:15" ht="43.2">
      <c r="A96" s="118" t="s">
        <v>1938</v>
      </c>
      <c r="B96" s="118" t="s">
        <v>1743</v>
      </c>
      <c r="C96" s="118" t="s">
        <v>1755</v>
      </c>
      <c r="D96" s="119">
        <v>44505</v>
      </c>
      <c r="E96" s="118" t="s">
        <v>1939</v>
      </c>
      <c r="F96" s="118" t="s">
        <v>1769</v>
      </c>
      <c r="G96" s="118">
        <v>4</v>
      </c>
      <c r="H96" s="118">
        <v>12</v>
      </c>
      <c r="I96" s="118">
        <v>5.4</v>
      </c>
      <c r="J96" s="118">
        <v>64.2</v>
      </c>
      <c r="K96" s="118"/>
      <c r="L96" s="122">
        <v>-1.36</v>
      </c>
      <c r="M96" s="122">
        <v>1.03</v>
      </c>
      <c r="N96" s="118">
        <v>-2.81</v>
      </c>
      <c r="O96" s="123" t="s">
        <v>1747</v>
      </c>
    </row>
    <row r="97" spans="1:15" ht="43.2">
      <c r="A97" s="118" t="s">
        <v>1940</v>
      </c>
      <c r="B97" s="118" t="s">
        <v>1743</v>
      </c>
      <c r="C97" s="118" t="s">
        <v>1779</v>
      </c>
      <c r="D97" s="119">
        <v>42860</v>
      </c>
      <c r="E97" s="118" t="s">
        <v>1941</v>
      </c>
      <c r="F97" s="118" t="s">
        <v>1769</v>
      </c>
      <c r="G97" s="118">
        <v>4</v>
      </c>
      <c r="H97" s="118">
        <v>4</v>
      </c>
      <c r="I97" s="118">
        <v>14</v>
      </c>
      <c r="J97" s="118">
        <v>107</v>
      </c>
      <c r="K97" s="118"/>
      <c r="L97" s="122">
        <v>-1.76</v>
      </c>
      <c r="M97" s="122">
        <v>-0.34</v>
      </c>
      <c r="N97" s="118">
        <v>-2.48</v>
      </c>
      <c r="O97" s="123" t="s">
        <v>1747</v>
      </c>
    </row>
    <row r="98" spans="1:15" ht="43.2">
      <c r="A98" s="118" t="s">
        <v>1942</v>
      </c>
      <c r="B98" s="118" t="s">
        <v>1743</v>
      </c>
      <c r="C98" s="118" t="s">
        <v>1744</v>
      </c>
      <c r="D98" s="119">
        <v>44312</v>
      </c>
      <c r="E98" s="118" t="s">
        <v>1943</v>
      </c>
      <c r="F98" s="118" t="s">
        <v>1769</v>
      </c>
      <c r="G98" s="118">
        <v>3</v>
      </c>
      <c r="H98" s="118">
        <v>10</v>
      </c>
      <c r="I98" s="118">
        <v>8</v>
      </c>
      <c r="J98" s="118">
        <v>75</v>
      </c>
      <c r="K98" s="118">
        <v>13</v>
      </c>
      <c r="L98" s="122">
        <v>-2.5</v>
      </c>
      <c r="M98" s="122">
        <v>-2.7</v>
      </c>
      <c r="N98" s="118">
        <v>-1.53</v>
      </c>
      <c r="O98" s="123" t="s">
        <v>1760</v>
      </c>
    </row>
    <row r="99" spans="1:15" ht="43.2">
      <c r="A99" s="118" t="s">
        <v>1944</v>
      </c>
      <c r="B99" s="118" t="s">
        <v>1752</v>
      </c>
      <c r="C99" s="118" t="s">
        <v>1749</v>
      </c>
      <c r="D99" s="119">
        <v>43669</v>
      </c>
      <c r="E99" s="118" t="s">
        <v>1945</v>
      </c>
      <c r="F99" s="118" t="s">
        <v>1769</v>
      </c>
      <c r="G99" s="118">
        <v>7</v>
      </c>
      <c r="H99" s="118">
        <v>12</v>
      </c>
      <c r="I99" s="118">
        <v>10</v>
      </c>
      <c r="J99" s="118">
        <v>86</v>
      </c>
      <c r="K99" s="118">
        <v>15.5</v>
      </c>
      <c r="L99" s="122">
        <v>-2.71</v>
      </c>
      <c r="M99" s="122">
        <v>-2.41</v>
      </c>
      <c r="N99" s="118">
        <v>-2.0299999999999998</v>
      </c>
      <c r="O99" s="123" t="s">
        <v>1747</v>
      </c>
    </row>
    <row r="100" spans="1:15" ht="43.2">
      <c r="A100" s="118" t="s">
        <v>1946</v>
      </c>
      <c r="B100" s="118" t="s">
        <v>1752</v>
      </c>
      <c r="C100" s="118" t="s">
        <v>1749</v>
      </c>
      <c r="D100" s="119">
        <v>43636</v>
      </c>
      <c r="E100" s="118" t="s">
        <v>1947</v>
      </c>
      <c r="F100" s="118" t="s">
        <v>1769</v>
      </c>
      <c r="G100" s="118">
        <v>4</v>
      </c>
      <c r="H100" s="118">
        <v>4</v>
      </c>
      <c r="I100" s="118">
        <v>11.3</v>
      </c>
      <c r="J100" s="118">
        <v>94.3</v>
      </c>
      <c r="K100" s="118"/>
      <c r="L100" s="122">
        <v>-1.77</v>
      </c>
      <c r="M100" s="122">
        <v>-0.06</v>
      </c>
      <c r="N100" s="118">
        <v>-2.66</v>
      </c>
      <c r="O100" s="123" t="s">
        <v>1747</v>
      </c>
    </row>
    <row r="101" spans="1:15" ht="43.2">
      <c r="A101" s="118" t="s">
        <v>1948</v>
      </c>
      <c r="B101" s="118" t="s">
        <v>1752</v>
      </c>
      <c r="C101" s="118" t="s">
        <v>1755</v>
      </c>
      <c r="D101" s="119">
        <v>44445</v>
      </c>
      <c r="E101" s="118" t="s">
        <v>1949</v>
      </c>
      <c r="F101" s="118" t="s">
        <v>1769</v>
      </c>
      <c r="G101" s="118">
        <v>4</v>
      </c>
      <c r="H101" s="118">
        <v>1</v>
      </c>
      <c r="I101" s="118">
        <v>7.1</v>
      </c>
      <c r="J101" s="118">
        <v>70.400000000000006</v>
      </c>
      <c r="K101" s="118"/>
      <c r="L101" s="122">
        <v>-1.45</v>
      </c>
      <c r="M101" s="122">
        <v>0.5</v>
      </c>
      <c r="N101" s="118">
        <v>-2.2799999999999998</v>
      </c>
      <c r="O101" s="123" t="s">
        <v>1747</v>
      </c>
    </row>
    <row r="102" spans="1:15" ht="43.2">
      <c r="A102" s="118" t="s">
        <v>1950</v>
      </c>
      <c r="B102" s="118" t="s">
        <v>1752</v>
      </c>
      <c r="C102" s="118" t="s">
        <v>1786</v>
      </c>
      <c r="D102" s="119">
        <v>43530</v>
      </c>
      <c r="E102" s="118" t="s">
        <v>1951</v>
      </c>
      <c r="F102" s="118" t="s">
        <v>1769</v>
      </c>
      <c r="G102" s="118">
        <v>4</v>
      </c>
      <c r="H102" s="118">
        <v>4</v>
      </c>
      <c r="I102" s="118">
        <v>10.8</v>
      </c>
      <c r="J102" s="118">
        <v>90</v>
      </c>
      <c r="K102" s="118"/>
      <c r="L102" s="122">
        <v>-2.4700000000000002</v>
      </c>
      <c r="M102" s="122">
        <v>-1.83</v>
      </c>
      <c r="N102" s="118">
        <v>-2.27</v>
      </c>
      <c r="O102" s="123" t="s">
        <v>1747</v>
      </c>
    </row>
    <row r="103" spans="1:15" ht="43.2">
      <c r="A103" s="118" t="s">
        <v>1952</v>
      </c>
      <c r="B103" s="118" t="s">
        <v>1752</v>
      </c>
      <c r="C103" s="118" t="s">
        <v>1749</v>
      </c>
      <c r="D103" s="119">
        <v>43647</v>
      </c>
      <c r="E103" s="118" t="s">
        <v>1953</v>
      </c>
      <c r="F103" s="118" t="s">
        <v>1769</v>
      </c>
      <c r="G103" s="118">
        <v>4</v>
      </c>
      <c r="H103" s="118">
        <v>4</v>
      </c>
      <c r="I103" s="118">
        <v>11.7</v>
      </c>
      <c r="J103" s="118">
        <v>90</v>
      </c>
      <c r="K103" s="118">
        <v>14.5</v>
      </c>
      <c r="L103" s="122">
        <v>-2.2400000000000002</v>
      </c>
      <c r="M103" s="122">
        <v>-2.5299999999999998</v>
      </c>
      <c r="N103" s="118">
        <v>-1.22</v>
      </c>
      <c r="O103" s="123" t="s">
        <v>1760</v>
      </c>
    </row>
    <row r="104" spans="1:15" ht="43.2">
      <c r="A104" s="118" t="s">
        <v>1954</v>
      </c>
      <c r="B104" s="118" t="s">
        <v>1752</v>
      </c>
      <c r="C104" s="118" t="s">
        <v>1744</v>
      </c>
      <c r="D104" s="119">
        <v>43950</v>
      </c>
      <c r="E104" s="118" t="s">
        <v>1955</v>
      </c>
      <c r="F104" s="118" t="s">
        <v>1769</v>
      </c>
      <c r="G104" s="118">
        <v>5</v>
      </c>
      <c r="H104" s="118">
        <v>12</v>
      </c>
      <c r="I104" s="118">
        <v>9.1999999999999993</v>
      </c>
      <c r="J104" s="118">
        <v>83.5</v>
      </c>
      <c r="K104" s="118">
        <v>13.2</v>
      </c>
      <c r="L104" s="122">
        <v>-2.35</v>
      </c>
      <c r="M104" s="122">
        <v>-1.01</v>
      </c>
      <c r="N104" s="118">
        <v>-2.61</v>
      </c>
      <c r="O104" s="123" t="s">
        <v>1747</v>
      </c>
    </row>
    <row r="105" spans="1:15" ht="43.2">
      <c r="A105" s="118" t="s">
        <v>1956</v>
      </c>
      <c r="B105" s="118" t="s">
        <v>1743</v>
      </c>
      <c r="C105" s="118" t="s">
        <v>1744</v>
      </c>
      <c r="D105" s="119">
        <v>44259</v>
      </c>
      <c r="E105" s="118" t="s">
        <v>1957</v>
      </c>
      <c r="F105" s="118" t="s">
        <v>1769</v>
      </c>
      <c r="G105" s="118">
        <v>4</v>
      </c>
      <c r="H105" s="118">
        <v>4</v>
      </c>
      <c r="I105" s="118">
        <v>7.2</v>
      </c>
      <c r="J105" s="118">
        <v>72.900000000000006</v>
      </c>
      <c r="K105" s="118"/>
      <c r="L105" s="122">
        <v>-2.06</v>
      </c>
      <c r="M105" s="122">
        <v>-0.97</v>
      </c>
      <c r="N105" s="118">
        <v>-2.2400000000000002</v>
      </c>
      <c r="O105" s="123" t="s">
        <v>1747</v>
      </c>
    </row>
    <row r="106" spans="1:15" ht="43.2">
      <c r="A106" s="118" t="s">
        <v>1958</v>
      </c>
      <c r="B106" s="118" t="s">
        <v>1743</v>
      </c>
      <c r="C106" s="118" t="s">
        <v>1779</v>
      </c>
      <c r="D106" s="119">
        <v>43176</v>
      </c>
      <c r="E106" s="118" t="s">
        <v>1959</v>
      </c>
      <c r="F106" s="118" t="s">
        <v>1769</v>
      </c>
      <c r="G106" s="118">
        <v>4</v>
      </c>
      <c r="H106" s="118">
        <v>4</v>
      </c>
      <c r="I106" s="118">
        <v>13.2</v>
      </c>
      <c r="J106" s="118">
        <v>102.3</v>
      </c>
      <c r="K106" s="118"/>
      <c r="L106" s="122">
        <v>-1.56</v>
      </c>
      <c r="M106" s="122">
        <v>-0.27</v>
      </c>
      <c r="N106" s="118">
        <v>-2.11</v>
      </c>
      <c r="O106" s="123" t="s">
        <v>1747</v>
      </c>
    </row>
    <row r="107" spans="1:15" ht="43.2">
      <c r="A107" s="118" t="s">
        <v>1960</v>
      </c>
      <c r="B107" s="118" t="s">
        <v>1752</v>
      </c>
      <c r="C107" s="118" t="s">
        <v>1779</v>
      </c>
      <c r="D107" s="119">
        <v>43181</v>
      </c>
      <c r="E107" s="118" t="s">
        <v>1961</v>
      </c>
      <c r="F107" s="118" t="s">
        <v>1769</v>
      </c>
      <c r="G107" s="118">
        <v>4</v>
      </c>
      <c r="H107" s="118">
        <v>4</v>
      </c>
      <c r="I107" s="118">
        <v>13.2</v>
      </c>
      <c r="J107" s="118">
        <v>102</v>
      </c>
      <c r="K107" s="118"/>
      <c r="L107" s="122">
        <v>-1.78</v>
      </c>
      <c r="M107" s="122">
        <v>-0.46</v>
      </c>
      <c r="N107" s="118">
        <v>-2.34</v>
      </c>
      <c r="O107" s="123" t="s">
        <v>1747</v>
      </c>
    </row>
    <row r="108" spans="1:15" ht="43.2">
      <c r="A108" s="118" t="s">
        <v>1962</v>
      </c>
      <c r="B108" s="118" t="s">
        <v>1752</v>
      </c>
      <c r="C108" s="118" t="s">
        <v>1779</v>
      </c>
      <c r="D108" s="119">
        <v>43189</v>
      </c>
      <c r="E108" s="118" t="s">
        <v>1963</v>
      </c>
      <c r="F108" s="118" t="s">
        <v>1769</v>
      </c>
      <c r="G108" s="118">
        <v>3</v>
      </c>
      <c r="H108" s="118">
        <v>10</v>
      </c>
      <c r="I108" s="118">
        <v>13.5</v>
      </c>
      <c r="J108" s="118">
        <v>102.6</v>
      </c>
      <c r="K108" s="118"/>
      <c r="L108" s="122">
        <v>-1.58</v>
      </c>
      <c r="M108" s="122">
        <v>-0.28000000000000003</v>
      </c>
      <c r="N108" s="118">
        <v>-2.1800000000000002</v>
      </c>
      <c r="O108" s="123" t="s">
        <v>1747</v>
      </c>
    </row>
    <row r="109" spans="1:15" ht="57.6">
      <c r="A109" s="118" t="s">
        <v>1964</v>
      </c>
      <c r="B109" s="118" t="s">
        <v>1752</v>
      </c>
      <c r="C109" s="118" t="s">
        <v>1779</v>
      </c>
      <c r="D109" s="119">
        <v>43197</v>
      </c>
      <c r="E109" s="118" t="s">
        <v>1965</v>
      </c>
      <c r="F109" s="118" t="s">
        <v>1769</v>
      </c>
      <c r="G109" s="118">
        <v>5</v>
      </c>
      <c r="H109" s="118">
        <v>12</v>
      </c>
      <c r="I109" s="118">
        <v>12.9</v>
      </c>
      <c r="J109" s="118">
        <v>101.8</v>
      </c>
      <c r="K109" s="118"/>
      <c r="L109" s="122">
        <v>-1.92</v>
      </c>
      <c r="M109" s="122">
        <v>-0.44</v>
      </c>
      <c r="N109" s="118">
        <v>-2.59</v>
      </c>
      <c r="O109" s="123" t="s">
        <v>1747</v>
      </c>
    </row>
    <row r="110" spans="1:15" ht="43.2">
      <c r="A110" s="118" t="s">
        <v>1966</v>
      </c>
      <c r="B110" s="118" t="s">
        <v>1752</v>
      </c>
      <c r="C110" s="118" t="s">
        <v>1779</v>
      </c>
      <c r="D110" s="119">
        <v>43205</v>
      </c>
      <c r="E110" s="118" t="s">
        <v>1967</v>
      </c>
      <c r="F110" s="118" t="s">
        <v>1769</v>
      </c>
      <c r="G110" s="118">
        <v>7</v>
      </c>
      <c r="H110" s="118">
        <v>12</v>
      </c>
      <c r="I110" s="118">
        <v>13</v>
      </c>
      <c r="J110" s="118">
        <v>102</v>
      </c>
      <c r="K110" s="118"/>
      <c r="L110" s="122">
        <v>-1.84</v>
      </c>
      <c r="M110" s="122">
        <v>-0.36</v>
      </c>
      <c r="N110" s="118">
        <v>-2.5299999999999998</v>
      </c>
      <c r="O110" s="123" t="s">
        <v>1747</v>
      </c>
    </row>
    <row r="111" spans="1:15" ht="43.2">
      <c r="A111" s="118" t="s">
        <v>1968</v>
      </c>
      <c r="B111" s="118" t="s">
        <v>1752</v>
      </c>
      <c r="C111" s="118" t="s">
        <v>1786</v>
      </c>
      <c r="D111" s="119">
        <v>43226</v>
      </c>
      <c r="E111" s="118" t="s">
        <v>1941</v>
      </c>
      <c r="F111" s="118" t="s">
        <v>1769</v>
      </c>
      <c r="G111" s="118">
        <v>4</v>
      </c>
      <c r="H111" s="118">
        <v>4</v>
      </c>
      <c r="I111" s="118">
        <v>13.2</v>
      </c>
      <c r="J111" s="118">
        <v>101.6</v>
      </c>
      <c r="K111" s="118"/>
      <c r="L111" s="122">
        <v>-1.67</v>
      </c>
      <c r="M111" s="122">
        <v>-0.36</v>
      </c>
      <c r="N111" s="118">
        <v>-2.25</v>
      </c>
      <c r="O111" s="123" t="s">
        <v>1747</v>
      </c>
    </row>
    <row r="112" spans="1:15" ht="43.2">
      <c r="A112" s="118" t="s">
        <v>1969</v>
      </c>
      <c r="B112" s="118" t="s">
        <v>1752</v>
      </c>
      <c r="C112" s="118" t="s">
        <v>1786</v>
      </c>
      <c r="D112" s="119">
        <v>43242</v>
      </c>
      <c r="E112" s="118" t="s">
        <v>1970</v>
      </c>
      <c r="F112" s="118" t="s">
        <v>1769</v>
      </c>
      <c r="G112" s="118">
        <v>5</v>
      </c>
      <c r="H112" s="118">
        <v>12</v>
      </c>
      <c r="I112" s="118">
        <v>13</v>
      </c>
      <c r="J112" s="118">
        <v>101</v>
      </c>
      <c r="K112" s="118"/>
      <c r="L112" s="122">
        <v>-1.75</v>
      </c>
      <c r="M112" s="122">
        <v>-0.43</v>
      </c>
      <c r="N112" s="118">
        <v>-2.31</v>
      </c>
      <c r="O112" s="123" t="s">
        <v>1747</v>
      </c>
    </row>
    <row r="113" spans="1:15" ht="43.2">
      <c r="A113" s="118" t="s">
        <v>1971</v>
      </c>
      <c r="B113" s="118" t="s">
        <v>1752</v>
      </c>
      <c r="C113" s="118" t="s">
        <v>1786</v>
      </c>
      <c r="D113" s="119">
        <v>43245</v>
      </c>
      <c r="E113" s="118" t="s">
        <v>1951</v>
      </c>
      <c r="F113" s="118" t="s">
        <v>1769</v>
      </c>
      <c r="G113" s="118">
        <v>4</v>
      </c>
      <c r="H113" s="118">
        <v>4</v>
      </c>
      <c r="I113" s="118">
        <v>13.4</v>
      </c>
      <c r="J113" s="118">
        <v>102</v>
      </c>
      <c r="K113" s="118"/>
      <c r="L113" s="122">
        <v>-1.5</v>
      </c>
      <c r="M113" s="122">
        <v>-0.18</v>
      </c>
      <c r="N113" s="118">
        <v>-2.14</v>
      </c>
      <c r="O113" s="123" t="s">
        <v>1747</v>
      </c>
    </row>
    <row r="114" spans="1:15" ht="43.2">
      <c r="A114" s="118" t="s">
        <v>1972</v>
      </c>
      <c r="B114" s="118" t="s">
        <v>1743</v>
      </c>
      <c r="C114" s="118" t="s">
        <v>1786</v>
      </c>
      <c r="D114" s="119">
        <v>43267</v>
      </c>
      <c r="E114" s="118" t="s">
        <v>1973</v>
      </c>
      <c r="F114" s="118" t="s">
        <v>1774</v>
      </c>
      <c r="G114" s="118">
        <v>5</v>
      </c>
      <c r="H114" s="118">
        <v>12</v>
      </c>
      <c r="I114" s="118">
        <v>13.1</v>
      </c>
      <c r="J114" s="118">
        <v>101.6</v>
      </c>
      <c r="K114" s="118"/>
      <c r="L114" s="122">
        <v>-1.38</v>
      </c>
      <c r="M114" s="122">
        <v>-0.02</v>
      </c>
      <c r="N114" s="118">
        <v>-2.0499999999999998</v>
      </c>
      <c r="O114" s="123" t="s">
        <v>1747</v>
      </c>
    </row>
    <row r="115" spans="1:15" ht="72">
      <c r="A115" s="118" t="s">
        <v>1974</v>
      </c>
      <c r="B115" s="118" t="s">
        <v>1752</v>
      </c>
      <c r="C115" s="118" t="s">
        <v>1786</v>
      </c>
      <c r="D115" s="119">
        <v>43330</v>
      </c>
      <c r="E115" s="118" t="s">
        <v>1975</v>
      </c>
      <c r="F115" s="118" t="s">
        <v>1774</v>
      </c>
      <c r="G115" s="118"/>
      <c r="H115" s="118">
        <v>3</v>
      </c>
      <c r="I115" s="118">
        <v>12.6</v>
      </c>
      <c r="J115" s="118">
        <v>102.4</v>
      </c>
      <c r="K115" s="118"/>
      <c r="L115" s="122">
        <v>-1.78</v>
      </c>
      <c r="M115" s="122">
        <v>0.31</v>
      </c>
      <c r="N115" s="118">
        <v>-3.02</v>
      </c>
      <c r="O115" s="123" t="s">
        <v>1790</v>
      </c>
    </row>
    <row r="116" spans="1:15" ht="43.2">
      <c r="A116" s="118" t="s">
        <v>1976</v>
      </c>
      <c r="B116" s="118" t="s">
        <v>1752</v>
      </c>
      <c r="C116" s="118" t="s">
        <v>1786</v>
      </c>
      <c r="D116" s="119">
        <v>43353</v>
      </c>
      <c r="E116" s="118" t="s">
        <v>1977</v>
      </c>
      <c r="F116" s="118" t="s">
        <v>1774</v>
      </c>
      <c r="G116" s="118">
        <v>1</v>
      </c>
      <c r="H116" s="118">
        <v>1</v>
      </c>
      <c r="I116" s="118">
        <v>13.4</v>
      </c>
      <c r="J116" s="118">
        <v>101.6</v>
      </c>
      <c r="K116" s="118"/>
      <c r="L116" s="122">
        <v>-1.22</v>
      </c>
      <c r="M116" s="122">
        <v>0.22</v>
      </c>
      <c r="N116" s="118">
        <v>-2.0499999999999998</v>
      </c>
      <c r="O116" s="123" t="s">
        <v>1747</v>
      </c>
    </row>
    <row r="117" spans="1:15" ht="43.2">
      <c r="A117" s="118" t="s">
        <v>1978</v>
      </c>
      <c r="B117" s="118" t="s">
        <v>1743</v>
      </c>
      <c r="C117" s="118" t="s">
        <v>1786</v>
      </c>
      <c r="D117" s="119">
        <v>43367</v>
      </c>
      <c r="E117" s="118" t="s">
        <v>1979</v>
      </c>
      <c r="F117" s="118" t="s">
        <v>1774</v>
      </c>
      <c r="G117" s="118">
        <v>5</v>
      </c>
      <c r="H117" s="118">
        <v>1</v>
      </c>
      <c r="I117" s="118">
        <v>12.7</v>
      </c>
      <c r="J117" s="118">
        <v>101.7</v>
      </c>
      <c r="K117" s="118"/>
      <c r="L117" s="122">
        <v>-1.35</v>
      </c>
      <c r="M117" s="122">
        <v>0.5</v>
      </c>
      <c r="N117" s="118">
        <v>-2.44</v>
      </c>
      <c r="O117" s="123" t="s">
        <v>1747</v>
      </c>
    </row>
    <row r="118" spans="1:15" ht="43.2">
      <c r="A118" s="118" t="s">
        <v>1980</v>
      </c>
      <c r="B118" s="118" t="s">
        <v>1752</v>
      </c>
      <c r="C118" s="118" t="s">
        <v>1786</v>
      </c>
      <c r="D118" s="119">
        <v>43382</v>
      </c>
      <c r="E118" s="118" t="s">
        <v>1981</v>
      </c>
      <c r="F118" s="118" t="s">
        <v>1774</v>
      </c>
      <c r="G118" s="118">
        <v>4</v>
      </c>
      <c r="H118" s="118">
        <v>6</v>
      </c>
      <c r="I118" s="118">
        <v>13.1</v>
      </c>
      <c r="J118" s="118">
        <v>102</v>
      </c>
      <c r="K118" s="118"/>
      <c r="L118" s="122">
        <v>-1.32</v>
      </c>
      <c r="M118" s="122">
        <v>0.47</v>
      </c>
      <c r="N118" s="118">
        <v>-2.4300000000000002</v>
      </c>
      <c r="O118" s="123" t="s">
        <v>1747</v>
      </c>
    </row>
    <row r="119" spans="1:15" ht="43.2">
      <c r="A119" s="118" t="s">
        <v>1982</v>
      </c>
      <c r="B119" s="118" t="s">
        <v>1752</v>
      </c>
      <c r="C119" s="118" t="s">
        <v>1786</v>
      </c>
      <c r="D119" s="119">
        <v>43407</v>
      </c>
      <c r="E119" s="118" t="s">
        <v>1983</v>
      </c>
      <c r="F119" s="118" t="s">
        <v>1774</v>
      </c>
      <c r="G119" s="118">
        <v>1</v>
      </c>
      <c r="H119" s="118">
        <v>7</v>
      </c>
      <c r="I119" s="118">
        <v>12.7</v>
      </c>
      <c r="J119" s="118">
        <v>101.1</v>
      </c>
      <c r="K119" s="118"/>
      <c r="L119" s="122">
        <v>-1.51</v>
      </c>
      <c r="M119" s="122">
        <v>0.37</v>
      </c>
      <c r="N119" s="118">
        <v>-2.63</v>
      </c>
      <c r="O119" s="123" t="s">
        <v>1747</v>
      </c>
    </row>
    <row r="120" spans="1:15" ht="43.2">
      <c r="A120" s="118" t="s">
        <v>1984</v>
      </c>
      <c r="B120" s="118" t="s">
        <v>1743</v>
      </c>
      <c r="C120" s="118" t="s">
        <v>1786</v>
      </c>
      <c r="D120" s="119">
        <v>43418</v>
      </c>
      <c r="E120" s="118" t="s">
        <v>1985</v>
      </c>
      <c r="F120" s="118" t="s">
        <v>1774</v>
      </c>
      <c r="G120" s="118"/>
      <c r="H120" s="118"/>
      <c r="I120" s="118">
        <v>12.9</v>
      </c>
      <c r="J120" s="118">
        <v>101</v>
      </c>
      <c r="K120" s="118"/>
      <c r="L120" s="122">
        <v>-1.08</v>
      </c>
      <c r="M120" s="122">
        <v>0.6</v>
      </c>
      <c r="N120" s="118">
        <v>-2.1</v>
      </c>
      <c r="O120" s="123" t="s">
        <v>1747</v>
      </c>
    </row>
    <row r="121" spans="1:15" ht="43.2">
      <c r="A121" s="118" t="s">
        <v>1986</v>
      </c>
      <c r="B121" s="118" t="s">
        <v>1743</v>
      </c>
      <c r="C121" s="118" t="s">
        <v>1749</v>
      </c>
      <c r="D121" s="119">
        <v>43626</v>
      </c>
      <c r="E121" s="118" t="s">
        <v>1987</v>
      </c>
      <c r="F121" s="118" t="s">
        <v>1774</v>
      </c>
      <c r="G121" s="118">
        <v>4</v>
      </c>
      <c r="H121" s="118">
        <v>9</v>
      </c>
      <c r="I121" s="118">
        <v>11</v>
      </c>
      <c r="J121" s="118">
        <v>93.2</v>
      </c>
      <c r="K121" s="118"/>
      <c r="L121" s="122">
        <v>-1.69</v>
      </c>
      <c r="M121" s="122">
        <v>-0.21</v>
      </c>
      <c r="N121" s="118">
        <v>-2.33</v>
      </c>
      <c r="O121" s="123" t="s">
        <v>1747</v>
      </c>
    </row>
    <row r="122" spans="1:15" ht="43.2">
      <c r="A122" s="118" t="s">
        <v>1988</v>
      </c>
      <c r="B122" s="118" t="s">
        <v>1752</v>
      </c>
      <c r="C122" s="118" t="s">
        <v>1749</v>
      </c>
      <c r="D122" s="119">
        <v>43640</v>
      </c>
      <c r="E122" s="118" t="s">
        <v>1989</v>
      </c>
      <c r="F122" s="118" t="s">
        <v>1774</v>
      </c>
      <c r="G122" s="118">
        <v>3</v>
      </c>
      <c r="H122" s="118">
        <v>1</v>
      </c>
      <c r="I122" s="118">
        <v>11.2</v>
      </c>
      <c r="J122" s="118">
        <v>94</v>
      </c>
      <c r="K122" s="118"/>
      <c r="L122" s="122">
        <v>-1.87</v>
      </c>
      <c r="M122" s="122">
        <v>-0.21</v>
      </c>
      <c r="N122" s="118">
        <v>-2.71</v>
      </c>
      <c r="O122" s="123" t="s">
        <v>1747</v>
      </c>
    </row>
    <row r="123" spans="1:15" ht="43.2">
      <c r="A123" s="118" t="s">
        <v>1990</v>
      </c>
      <c r="B123" s="118" t="s">
        <v>1752</v>
      </c>
      <c r="C123" s="118" t="s">
        <v>1749</v>
      </c>
      <c r="D123" s="119">
        <v>43674</v>
      </c>
      <c r="E123" s="118" t="s">
        <v>1991</v>
      </c>
      <c r="F123" s="118" t="s">
        <v>1774</v>
      </c>
      <c r="G123" s="118">
        <v>4</v>
      </c>
      <c r="H123" s="118">
        <v>2</v>
      </c>
      <c r="I123" s="118">
        <v>11.8</v>
      </c>
      <c r="J123" s="118">
        <v>94.3</v>
      </c>
      <c r="K123" s="118"/>
      <c r="L123" s="122">
        <v>-1.32</v>
      </c>
      <c r="M123" s="122">
        <v>0.09</v>
      </c>
      <c r="N123" s="118">
        <v>-2.09</v>
      </c>
      <c r="O123" s="123" t="s">
        <v>1747</v>
      </c>
    </row>
    <row r="124" spans="1:15" ht="43.2">
      <c r="A124" s="118" t="s">
        <v>1992</v>
      </c>
      <c r="B124" s="118" t="s">
        <v>1752</v>
      </c>
      <c r="C124" s="118" t="s">
        <v>1749</v>
      </c>
      <c r="D124" s="119">
        <v>43707</v>
      </c>
      <c r="E124" s="118" t="s">
        <v>1993</v>
      </c>
      <c r="F124" s="118" t="s">
        <v>1774</v>
      </c>
      <c r="G124" s="118">
        <v>3</v>
      </c>
      <c r="H124" s="118">
        <v>6</v>
      </c>
      <c r="I124" s="118">
        <v>11.5</v>
      </c>
      <c r="J124" s="118">
        <v>94.3</v>
      </c>
      <c r="K124" s="118"/>
      <c r="L124" s="122">
        <v>-1.43</v>
      </c>
      <c r="M124" s="122">
        <v>0.3</v>
      </c>
      <c r="N124" s="118">
        <v>-2.4300000000000002</v>
      </c>
      <c r="O124" s="123" t="s">
        <v>1747</v>
      </c>
    </row>
    <row r="125" spans="1:15" ht="43.2">
      <c r="A125" s="118" t="s">
        <v>1994</v>
      </c>
      <c r="B125" s="118" t="s">
        <v>1743</v>
      </c>
      <c r="C125" s="118" t="s">
        <v>1749</v>
      </c>
      <c r="D125" s="119">
        <v>43748</v>
      </c>
      <c r="E125" s="118" t="s">
        <v>1995</v>
      </c>
      <c r="F125" s="118" t="s">
        <v>1774</v>
      </c>
      <c r="G125" s="118">
        <v>9</v>
      </c>
      <c r="H125" s="118">
        <v>1</v>
      </c>
      <c r="I125" s="118">
        <v>11.5</v>
      </c>
      <c r="J125" s="118">
        <v>94.3</v>
      </c>
      <c r="K125" s="118"/>
      <c r="L125" s="122">
        <v>-0.86</v>
      </c>
      <c r="M125" s="122">
        <v>0.92</v>
      </c>
      <c r="N125" s="118">
        <v>-2.0299999999999998</v>
      </c>
      <c r="O125" s="123" t="s">
        <v>1747</v>
      </c>
    </row>
    <row r="126" spans="1:15" ht="43.2">
      <c r="A126" s="118" t="s">
        <v>1996</v>
      </c>
      <c r="B126" s="118" t="s">
        <v>1752</v>
      </c>
      <c r="C126" s="118" t="s">
        <v>1749</v>
      </c>
      <c r="D126" s="119">
        <v>43758</v>
      </c>
      <c r="E126" s="118" t="s">
        <v>1997</v>
      </c>
      <c r="F126" s="118" t="s">
        <v>1774</v>
      </c>
      <c r="G126" s="118">
        <v>6</v>
      </c>
      <c r="H126" s="118">
        <v>7</v>
      </c>
      <c r="I126" s="118">
        <v>11.3</v>
      </c>
      <c r="J126" s="118">
        <v>93.2</v>
      </c>
      <c r="K126" s="118"/>
      <c r="L126" s="122">
        <v>-1.4</v>
      </c>
      <c r="M126" s="122">
        <v>0.34</v>
      </c>
      <c r="N126" s="118">
        <v>-2.42</v>
      </c>
      <c r="O126" s="123" t="s">
        <v>1747</v>
      </c>
    </row>
    <row r="127" spans="1:15" ht="43.2">
      <c r="A127" s="118" t="s">
        <v>1998</v>
      </c>
      <c r="B127" s="118" t="s">
        <v>1752</v>
      </c>
      <c r="C127" s="118" t="s">
        <v>1749</v>
      </c>
      <c r="D127" s="119">
        <v>43782</v>
      </c>
      <c r="E127" s="118" t="s">
        <v>1999</v>
      </c>
      <c r="F127" s="118" t="s">
        <v>1774</v>
      </c>
      <c r="G127" s="118">
        <v>2</v>
      </c>
      <c r="H127" s="118">
        <v>8</v>
      </c>
      <c r="I127" s="118">
        <v>11.6</v>
      </c>
      <c r="J127" s="118">
        <v>94</v>
      </c>
      <c r="K127" s="118"/>
      <c r="L127" s="122">
        <v>-1.0900000000000001</v>
      </c>
      <c r="M127" s="122">
        <v>0.76</v>
      </c>
      <c r="N127" s="118">
        <v>-2.25</v>
      </c>
      <c r="O127" s="123" t="s">
        <v>1747</v>
      </c>
    </row>
    <row r="128" spans="1:15" ht="43.2">
      <c r="A128" s="118" t="s">
        <v>2000</v>
      </c>
      <c r="B128" s="118" t="s">
        <v>1752</v>
      </c>
      <c r="C128" s="118" t="s">
        <v>1749</v>
      </c>
      <c r="D128" s="119">
        <v>43788</v>
      </c>
      <c r="E128" s="118" t="s">
        <v>2001</v>
      </c>
      <c r="F128" s="118" t="s">
        <v>1777</v>
      </c>
      <c r="G128" s="118">
        <v>2</v>
      </c>
      <c r="H128" s="118">
        <v>8</v>
      </c>
      <c r="I128" s="118">
        <v>11.5</v>
      </c>
      <c r="J128" s="118">
        <v>93.1</v>
      </c>
      <c r="K128" s="118"/>
      <c r="L128" s="122">
        <v>-1.1399999999999999</v>
      </c>
      <c r="M128" s="122">
        <v>0.54</v>
      </c>
      <c r="N128" s="118">
        <v>-2.16</v>
      </c>
      <c r="O128" s="123" t="s">
        <v>1747</v>
      </c>
    </row>
    <row r="129" spans="1:15" ht="43.2">
      <c r="A129" s="118" t="s">
        <v>2002</v>
      </c>
      <c r="B129" s="118" t="s">
        <v>1743</v>
      </c>
      <c r="C129" s="118" t="s">
        <v>1749</v>
      </c>
      <c r="D129" s="119">
        <v>43802</v>
      </c>
      <c r="E129" s="118" t="s">
        <v>2003</v>
      </c>
      <c r="F129" s="118" t="s">
        <v>1777</v>
      </c>
      <c r="G129" s="118">
        <v>8</v>
      </c>
      <c r="H129" s="118">
        <v>5</v>
      </c>
      <c r="I129" s="118">
        <v>11</v>
      </c>
      <c r="J129" s="118">
        <v>94</v>
      </c>
      <c r="K129" s="118"/>
      <c r="L129" s="122">
        <v>-1</v>
      </c>
      <c r="M129" s="122">
        <v>1.26</v>
      </c>
      <c r="N129" s="118">
        <v>-2.5</v>
      </c>
      <c r="O129" s="123" t="s">
        <v>1747</v>
      </c>
    </row>
    <row r="130" spans="1:15" ht="43.2">
      <c r="A130" s="118" t="s">
        <v>2004</v>
      </c>
      <c r="B130" s="118" t="s">
        <v>1743</v>
      </c>
      <c r="C130" s="118" t="s">
        <v>1755</v>
      </c>
      <c r="D130" s="119">
        <v>44551</v>
      </c>
      <c r="E130" s="118" t="s">
        <v>2005</v>
      </c>
      <c r="F130" s="118" t="s">
        <v>1777</v>
      </c>
      <c r="G130" s="118">
        <v>5</v>
      </c>
      <c r="H130" s="118">
        <v>5</v>
      </c>
      <c r="I130" s="118">
        <v>5.5</v>
      </c>
      <c r="J130" s="118">
        <v>63</v>
      </c>
      <c r="K130" s="118"/>
      <c r="L130" s="122">
        <v>-1.3</v>
      </c>
      <c r="M130" s="122">
        <v>0.35</v>
      </c>
      <c r="N130" s="118">
        <v>-2.09</v>
      </c>
      <c r="O130" s="123" t="s">
        <v>1747</v>
      </c>
    </row>
    <row r="131" spans="1:15" ht="43.2">
      <c r="A131" s="118" t="s">
        <v>2006</v>
      </c>
      <c r="B131" s="118" t="s">
        <v>1752</v>
      </c>
      <c r="C131" s="118" t="s">
        <v>1749</v>
      </c>
      <c r="D131" s="119">
        <v>43690</v>
      </c>
      <c r="E131" s="118" t="s">
        <v>2007</v>
      </c>
      <c r="F131" s="118" t="s">
        <v>1777</v>
      </c>
      <c r="G131" s="118">
        <v>4</v>
      </c>
      <c r="H131" s="118">
        <v>9</v>
      </c>
      <c r="I131" s="118">
        <v>13</v>
      </c>
      <c r="J131" s="118">
        <v>112</v>
      </c>
      <c r="K131" s="118">
        <v>17</v>
      </c>
      <c r="L131" s="122">
        <v>-0.4</v>
      </c>
      <c r="M131" s="122">
        <v>5.33</v>
      </c>
      <c r="N131" s="118">
        <v>-4.4800000000000004</v>
      </c>
      <c r="O131" s="123" t="s">
        <v>1790</v>
      </c>
    </row>
    <row r="132" spans="1:15" ht="43.2">
      <c r="A132" s="118" t="s">
        <v>2008</v>
      </c>
      <c r="B132" s="118" t="s">
        <v>1743</v>
      </c>
      <c r="C132" s="118" t="s">
        <v>1786</v>
      </c>
      <c r="D132" s="119">
        <v>43468</v>
      </c>
      <c r="E132" s="118" t="s">
        <v>2009</v>
      </c>
      <c r="F132" s="118" t="s">
        <v>1777</v>
      </c>
      <c r="G132" s="118">
        <v>4</v>
      </c>
      <c r="H132" s="118">
        <v>12</v>
      </c>
      <c r="I132" s="118">
        <v>10.6</v>
      </c>
      <c r="J132" s="118">
        <v>92</v>
      </c>
      <c r="K132" s="118">
        <v>14.7</v>
      </c>
      <c r="L132" s="122">
        <v>-2.48</v>
      </c>
      <c r="M132" s="122">
        <v>-1.32</v>
      </c>
      <c r="N132" s="118">
        <v>-2.5099999999999998</v>
      </c>
      <c r="O132" s="123" t="s">
        <v>1747</v>
      </c>
    </row>
    <row r="133" spans="1:15" ht="43.2">
      <c r="A133" s="118" t="s">
        <v>2010</v>
      </c>
      <c r="B133" s="118" t="s">
        <v>1752</v>
      </c>
      <c r="C133" s="118" t="s">
        <v>1779</v>
      </c>
      <c r="D133" s="119">
        <v>42895</v>
      </c>
      <c r="E133" s="118" t="s">
        <v>2011</v>
      </c>
      <c r="F133" s="118" t="s">
        <v>1777</v>
      </c>
      <c r="G133" s="118">
        <v>1</v>
      </c>
      <c r="H133" s="118">
        <v>9</v>
      </c>
      <c r="I133" s="118">
        <v>13.5</v>
      </c>
      <c r="J133" s="118">
        <v>103</v>
      </c>
      <c r="K133" s="118"/>
      <c r="L133" s="122">
        <v>-2.2000000000000002</v>
      </c>
      <c r="M133" s="122">
        <v>-1.29</v>
      </c>
      <c r="N133" s="118">
        <v>-2.27</v>
      </c>
      <c r="O133" s="123" t="s">
        <v>1747</v>
      </c>
    </row>
    <row r="134" spans="1:15" ht="43.2">
      <c r="A134" s="118" t="s">
        <v>2012</v>
      </c>
      <c r="B134" s="118" t="s">
        <v>1743</v>
      </c>
      <c r="C134" s="118" t="s">
        <v>1786</v>
      </c>
      <c r="D134" s="119">
        <v>43293</v>
      </c>
      <c r="E134" s="118" t="s">
        <v>2013</v>
      </c>
      <c r="F134" s="118" t="s">
        <v>1777</v>
      </c>
      <c r="G134" s="118">
        <v>5</v>
      </c>
      <c r="H134" s="118">
        <v>5</v>
      </c>
      <c r="I134" s="118">
        <v>11.5</v>
      </c>
      <c r="J134" s="118">
        <v>90</v>
      </c>
      <c r="K134" s="118"/>
      <c r="L134" s="122">
        <v>-2.99</v>
      </c>
      <c r="M134" s="122">
        <v>-3.58</v>
      </c>
      <c r="N134" s="118">
        <v>-1.0900000000000001</v>
      </c>
      <c r="O134" s="123" t="s">
        <v>1760</v>
      </c>
    </row>
    <row r="135" spans="1:15" ht="43.2">
      <c r="A135" s="118" t="s">
        <v>2014</v>
      </c>
      <c r="B135" s="118" t="s">
        <v>1743</v>
      </c>
      <c r="C135" s="118" t="s">
        <v>1779</v>
      </c>
      <c r="D135" s="119">
        <v>43118</v>
      </c>
      <c r="E135" s="118" t="s">
        <v>2015</v>
      </c>
      <c r="F135" s="118" t="s">
        <v>1777</v>
      </c>
      <c r="G135" s="118">
        <v>3</v>
      </c>
      <c r="H135" s="118">
        <v>9</v>
      </c>
      <c r="I135" s="118">
        <v>15.5</v>
      </c>
      <c r="J135" s="118">
        <v>110</v>
      </c>
      <c r="K135" s="118"/>
      <c r="L135" s="122">
        <v>-0.47</v>
      </c>
      <c r="M135" s="122">
        <v>1.29</v>
      </c>
      <c r="N135" s="118">
        <v>-2.0099999999999998</v>
      </c>
      <c r="O135" s="123" t="s">
        <v>1747</v>
      </c>
    </row>
    <row r="136" spans="1:15" ht="43.2">
      <c r="A136" s="118" t="s">
        <v>2016</v>
      </c>
      <c r="B136" s="118" t="s">
        <v>1752</v>
      </c>
      <c r="C136" s="118" t="s">
        <v>1749</v>
      </c>
      <c r="D136" s="119">
        <v>43717</v>
      </c>
      <c r="E136" s="118" t="s">
        <v>2017</v>
      </c>
      <c r="F136" s="118" t="s">
        <v>1777</v>
      </c>
      <c r="G136" s="118">
        <v>4</v>
      </c>
      <c r="H136" s="118">
        <v>9</v>
      </c>
      <c r="I136" s="118">
        <v>10</v>
      </c>
      <c r="J136" s="118">
        <v>84</v>
      </c>
      <c r="K136" s="118"/>
      <c r="L136" s="122">
        <v>-3.34</v>
      </c>
      <c r="M136" s="122">
        <v>-3.79</v>
      </c>
      <c r="N136" s="118">
        <v>-1.67</v>
      </c>
      <c r="O136" s="123" t="s">
        <v>1760</v>
      </c>
    </row>
    <row r="137" spans="1:15" ht="43.2">
      <c r="A137" s="118" t="s">
        <v>2018</v>
      </c>
      <c r="B137" s="118" t="s">
        <v>1752</v>
      </c>
      <c r="C137" s="118" t="s">
        <v>1786</v>
      </c>
      <c r="D137" s="119">
        <v>43445</v>
      </c>
      <c r="E137" s="118" t="s">
        <v>2019</v>
      </c>
      <c r="F137" s="118" t="s">
        <v>1777</v>
      </c>
      <c r="G137" s="118">
        <v>1</v>
      </c>
      <c r="H137" s="118">
        <v>15</v>
      </c>
      <c r="I137" s="118">
        <v>13</v>
      </c>
      <c r="J137" s="118">
        <v>100</v>
      </c>
      <c r="K137" s="118"/>
      <c r="L137" s="122">
        <v>-1.17</v>
      </c>
      <c r="M137" s="122">
        <v>0.36</v>
      </c>
      <c r="N137" s="118">
        <v>-2.09</v>
      </c>
      <c r="O137" s="123" t="s">
        <v>1747</v>
      </c>
    </row>
    <row r="138" spans="1:15" ht="43.2">
      <c r="A138" s="118" t="s">
        <v>2020</v>
      </c>
      <c r="B138" s="118" t="s">
        <v>1743</v>
      </c>
      <c r="C138" s="118" t="s">
        <v>1786</v>
      </c>
      <c r="D138" s="119">
        <v>43447</v>
      </c>
      <c r="E138" s="118" t="s">
        <v>2021</v>
      </c>
      <c r="F138" s="118" t="s">
        <v>1777</v>
      </c>
      <c r="G138" s="118">
        <v>7</v>
      </c>
      <c r="H138" s="118">
        <v>10</v>
      </c>
      <c r="I138" s="118">
        <v>11</v>
      </c>
      <c r="J138" s="118">
        <v>93</v>
      </c>
      <c r="K138" s="118"/>
      <c r="L138" s="122">
        <v>-2.23</v>
      </c>
      <c r="M138" s="122">
        <v>-1.18</v>
      </c>
      <c r="N138" s="118">
        <v>-2.2799999999999998</v>
      </c>
      <c r="O138" s="123" t="s">
        <v>1747</v>
      </c>
    </row>
    <row r="139" spans="1:15" ht="43.2">
      <c r="A139" s="118" t="s">
        <v>2022</v>
      </c>
      <c r="B139" s="118" t="s">
        <v>1743</v>
      </c>
      <c r="C139" s="118" t="s">
        <v>1744</v>
      </c>
      <c r="D139" s="119">
        <v>43956</v>
      </c>
      <c r="E139" s="118" t="s">
        <v>1776</v>
      </c>
      <c r="F139" s="118" t="s">
        <v>1777</v>
      </c>
      <c r="G139" s="118">
        <v>1</v>
      </c>
      <c r="H139" s="118">
        <v>2</v>
      </c>
      <c r="I139" s="118">
        <v>10.3</v>
      </c>
      <c r="J139" s="118">
        <v>81</v>
      </c>
      <c r="K139" s="118"/>
      <c r="L139" s="122">
        <v>-2</v>
      </c>
      <c r="M139" s="122">
        <v>-3.14</v>
      </c>
      <c r="N139" s="118">
        <v>-0.16</v>
      </c>
      <c r="O139" s="123" t="s">
        <v>1760</v>
      </c>
    </row>
    <row r="140" spans="1:15" ht="43.2">
      <c r="A140" s="118" t="s">
        <v>2023</v>
      </c>
      <c r="B140" s="118" t="s">
        <v>1752</v>
      </c>
      <c r="C140" s="118" t="s">
        <v>1749</v>
      </c>
      <c r="D140" s="119">
        <v>43747</v>
      </c>
      <c r="E140" s="118" t="s">
        <v>2024</v>
      </c>
      <c r="F140" s="118" t="s">
        <v>1777</v>
      </c>
      <c r="G140" s="118">
        <v>6</v>
      </c>
      <c r="H140" s="118">
        <v>9</v>
      </c>
      <c r="I140" s="118">
        <v>10.3</v>
      </c>
      <c r="J140" s="118">
        <v>89</v>
      </c>
      <c r="K140" s="118"/>
      <c r="L140" s="122">
        <v>-2.1800000000000002</v>
      </c>
      <c r="M140" s="122">
        <v>-0.87</v>
      </c>
      <c r="N140" s="118">
        <v>-2.65</v>
      </c>
      <c r="O140" s="123" t="s">
        <v>1747</v>
      </c>
    </row>
    <row r="141" spans="1:15" ht="57.6">
      <c r="A141" s="118" t="s">
        <v>2025</v>
      </c>
      <c r="B141" s="118" t="s">
        <v>1752</v>
      </c>
      <c r="C141" s="118" t="s">
        <v>1749</v>
      </c>
      <c r="D141" s="119">
        <v>43817</v>
      </c>
      <c r="E141" s="118" t="s">
        <v>2026</v>
      </c>
      <c r="F141" s="118" t="s">
        <v>1777</v>
      </c>
      <c r="G141" s="118">
        <v>2</v>
      </c>
      <c r="H141" s="118">
        <v>15</v>
      </c>
      <c r="I141" s="118">
        <v>12</v>
      </c>
      <c r="J141" s="118">
        <v>95</v>
      </c>
      <c r="K141" s="118"/>
      <c r="L141" s="122">
        <v>-0.61</v>
      </c>
      <c r="M141" s="122">
        <v>1.46</v>
      </c>
      <c r="N141" s="118">
        <v>-2.02</v>
      </c>
      <c r="O141" s="123" t="s">
        <v>1747</v>
      </c>
    </row>
    <row r="142" spans="1:15" ht="57.6">
      <c r="A142" s="118" t="s">
        <v>2027</v>
      </c>
      <c r="B142" s="118" t="s">
        <v>1752</v>
      </c>
      <c r="C142" s="118" t="s">
        <v>1744</v>
      </c>
      <c r="D142" s="119">
        <v>43988</v>
      </c>
      <c r="E142" s="118" t="s">
        <v>2028</v>
      </c>
      <c r="F142" s="118" t="s">
        <v>1777</v>
      </c>
      <c r="G142" s="118">
        <v>7</v>
      </c>
      <c r="H142" s="118">
        <v>3</v>
      </c>
      <c r="I142" s="118">
        <v>10.6</v>
      </c>
      <c r="J142" s="118">
        <v>90</v>
      </c>
      <c r="K142" s="118"/>
      <c r="L142" s="122">
        <v>-0.93</v>
      </c>
      <c r="M142" s="122">
        <v>1.31</v>
      </c>
      <c r="N142" s="118">
        <v>-2.34</v>
      </c>
      <c r="O142" s="123" t="s">
        <v>1747</v>
      </c>
    </row>
    <row r="143" spans="1:15" ht="72">
      <c r="A143" s="118" t="s">
        <v>2029</v>
      </c>
      <c r="B143" s="118" t="s">
        <v>1752</v>
      </c>
      <c r="C143" s="118" t="s">
        <v>1744</v>
      </c>
      <c r="D143" s="119">
        <v>43988</v>
      </c>
      <c r="E143" s="118" t="s">
        <v>2030</v>
      </c>
      <c r="F143" s="118" t="s">
        <v>1777</v>
      </c>
      <c r="G143" s="118">
        <v>1</v>
      </c>
      <c r="H143" s="118">
        <v>16</v>
      </c>
      <c r="I143" s="118">
        <v>14.8</v>
      </c>
      <c r="J143" s="118">
        <v>110</v>
      </c>
      <c r="K143" s="118"/>
      <c r="L143" s="122">
        <v>2.02</v>
      </c>
      <c r="M143" s="122">
        <v>8.11</v>
      </c>
      <c r="N143" s="118">
        <v>-2.5</v>
      </c>
      <c r="O143" s="123" t="s">
        <v>1747</v>
      </c>
    </row>
    <row r="144" spans="1:15" ht="43.2">
      <c r="A144" s="118" t="s">
        <v>2031</v>
      </c>
      <c r="B144" s="118" t="s">
        <v>1752</v>
      </c>
      <c r="C144" s="118" t="s">
        <v>1744</v>
      </c>
      <c r="D144" s="119">
        <v>44115</v>
      </c>
      <c r="E144" s="118" t="s">
        <v>2032</v>
      </c>
      <c r="F144" s="118" t="s">
        <v>1781</v>
      </c>
      <c r="G144" s="118">
        <v>5</v>
      </c>
      <c r="H144" s="118">
        <v>10</v>
      </c>
      <c r="I144" s="118">
        <v>8.4</v>
      </c>
      <c r="J144" s="118">
        <v>77</v>
      </c>
      <c r="K144" s="118"/>
      <c r="L144" s="122">
        <v>-2.36</v>
      </c>
      <c r="M144" s="122">
        <v>-1.93</v>
      </c>
      <c r="N144" s="118">
        <v>-2.0299999999999998</v>
      </c>
      <c r="O144" s="123" t="s">
        <v>1747</v>
      </c>
    </row>
    <row r="145" spans="1:15" ht="28.8">
      <c r="A145" s="118" t="s">
        <v>2033</v>
      </c>
      <c r="B145" s="118" t="s">
        <v>1752</v>
      </c>
      <c r="C145" s="118" t="s">
        <v>1755</v>
      </c>
      <c r="D145" s="119">
        <v>44510</v>
      </c>
      <c r="E145" s="118" t="s">
        <v>2034</v>
      </c>
      <c r="F145" s="118" t="s">
        <v>1784</v>
      </c>
      <c r="G145" s="118">
        <v>4</v>
      </c>
      <c r="H145" s="118">
        <v>2</v>
      </c>
      <c r="I145" s="118">
        <v>7.5</v>
      </c>
      <c r="J145" s="118">
        <v>72</v>
      </c>
      <c r="K145" s="118"/>
      <c r="L145" s="122">
        <v>0.01</v>
      </c>
      <c r="M145" s="122">
        <v>2.92</v>
      </c>
      <c r="N145" s="118">
        <v>-2.09</v>
      </c>
      <c r="O145" s="123" t="s">
        <v>1747</v>
      </c>
    </row>
    <row r="146" spans="1:15" ht="28.8">
      <c r="A146" s="118" t="s">
        <v>2035</v>
      </c>
      <c r="B146" s="118" t="s">
        <v>1752</v>
      </c>
      <c r="C146" s="118" t="s">
        <v>1779</v>
      </c>
      <c r="D146" s="119">
        <v>43169</v>
      </c>
      <c r="E146" s="118" t="s">
        <v>2036</v>
      </c>
      <c r="F146" s="118" t="s">
        <v>1784</v>
      </c>
      <c r="G146" s="118">
        <v>2</v>
      </c>
      <c r="H146" s="118">
        <v>4</v>
      </c>
      <c r="I146" s="118">
        <v>13</v>
      </c>
      <c r="J146" s="118">
        <v>101</v>
      </c>
      <c r="K146" s="118"/>
      <c r="L146" s="122">
        <v>-1.93</v>
      </c>
      <c r="M146" s="122">
        <v>-0.74</v>
      </c>
      <c r="N146" s="118">
        <v>-2.31</v>
      </c>
      <c r="O146" s="123" t="s">
        <v>1747</v>
      </c>
    </row>
    <row r="147" spans="1:15" ht="28.8">
      <c r="A147" s="118" t="s">
        <v>2037</v>
      </c>
      <c r="B147" s="118" t="s">
        <v>1743</v>
      </c>
      <c r="C147" s="118" t="s">
        <v>1749</v>
      </c>
      <c r="D147" s="119">
        <v>43778</v>
      </c>
      <c r="E147" s="118" t="s">
        <v>1798</v>
      </c>
      <c r="F147" s="118" t="s">
        <v>1784</v>
      </c>
      <c r="G147" s="118">
        <v>4</v>
      </c>
      <c r="H147" s="118">
        <v>5</v>
      </c>
      <c r="I147" s="118">
        <v>11.5</v>
      </c>
      <c r="J147" s="118">
        <v>94.3</v>
      </c>
      <c r="K147" s="118"/>
      <c r="L147" s="122">
        <v>-0.74</v>
      </c>
      <c r="M147" s="122">
        <v>1.1499999999999999</v>
      </c>
      <c r="N147" s="118">
        <v>-2.0299999999999998</v>
      </c>
      <c r="O147" s="123" t="s">
        <v>1747</v>
      </c>
    </row>
    <row r="148" spans="1:15" ht="57.6">
      <c r="A148" s="118" t="s">
        <v>2038</v>
      </c>
      <c r="B148" s="118" t="s">
        <v>1752</v>
      </c>
      <c r="C148" s="118" t="s">
        <v>1744</v>
      </c>
      <c r="D148" s="119">
        <v>44301</v>
      </c>
      <c r="E148" s="118" t="s">
        <v>1913</v>
      </c>
      <c r="F148" s="118" t="s">
        <v>1784</v>
      </c>
      <c r="G148" s="118">
        <v>5</v>
      </c>
      <c r="H148" s="118">
        <v>11</v>
      </c>
      <c r="I148" s="118">
        <v>9</v>
      </c>
      <c r="J148" s="118">
        <v>91</v>
      </c>
      <c r="K148" s="118">
        <v>16</v>
      </c>
      <c r="L148" s="122">
        <v>-0.64</v>
      </c>
      <c r="M148" s="122">
        <v>6.4</v>
      </c>
      <c r="N148" s="118">
        <v>-4.5999999999999996</v>
      </c>
      <c r="O148" s="123" t="s">
        <v>1790</v>
      </c>
    </row>
    <row r="149" spans="1:15" ht="28.8">
      <c r="A149" s="118" t="s">
        <v>2039</v>
      </c>
      <c r="B149" s="118" t="s">
        <v>1743</v>
      </c>
      <c r="C149" s="118" t="s">
        <v>1749</v>
      </c>
      <c r="D149" s="119">
        <v>43926</v>
      </c>
      <c r="E149" s="118" t="s">
        <v>1802</v>
      </c>
      <c r="F149" s="118" t="s">
        <v>1784</v>
      </c>
      <c r="G149" s="118">
        <v>3</v>
      </c>
      <c r="H149" s="118">
        <v>7</v>
      </c>
      <c r="I149" s="118">
        <v>11.2</v>
      </c>
      <c r="J149" s="118">
        <v>99</v>
      </c>
      <c r="K149" s="118">
        <v>18</v>
      </c>
      <c r="L149" s="122">
        <v>-0.25</v>
      </c>
      <c r="M149" s="122">
        <v>4</v>
      </c>
      <c r="N149" s="118">
        <v>-3.34</v>
      </c>
      <c r="O149" s="123" t="s">
        <v>1790</v>
      </c>
    </row>
    <row r="150" spans="1:15" ht="28.8">
      <c r="A150" s="118" t="s">
        <v>2040</v>
      </c>
      <c r="B150" s="118" t="s">
        <v>1752</v>
      </c>
      <c r="C150" s="118" t="s">
        <v>1755</v>
      </c>
      <c r="D150" s="119">
        <v>44407</v>
      </c>
      <c r="E150" s="118" t="s">
        <v>2041</v>
      </c>
      <c r="F150" s="118" t="s">
        <v>1784</v>
      </c>
      <c r="G150" s="118">
        <v>1</v>
      </c>
      <c r="H150" s="118">
        <v>6</v>
      </c>
      <c r="I150" s="118">
        <v>7.5</v>
      </c>
      <c r="J150" s="118">
        <v>75</v>
      </c>
      <c r="K150" s="118"/>
      <c r="L150" s="122">
        <v>-1.37</v>
      </c>
      <c r="M150" s="122">
        <v>1.77</v>
      </c>
      <c r="N150" s="118">
        <v>-2.98</v>
      </c>
      <c r="O150" s="123" t="s">
        <v>1747</v>
      </c>
    </row>
    <row r="151" spans="1:15" ht="28.8">
      <c r="A151" s="118" t="s">
        <v>2042</v>
      </c>
      <c r="B151" s="118" t="s">
        <v>1752</v>
      </c>
      <c r="C151" s="118" t="s">
        <v>1786</v>
      </c>
      <c r="D151" s="119">
        <v>43412</v>
      </c>
      <c r="E151" s="118" t="s">
        <v>2043</v>
      </c>
      <c r="F151" s="118" t="s">
        <v>1784</v>
      </c>
      <c r="G151" s="118">
        <v>2</v>
      </c>
      <c r="H151" s="118">
        <v>5</v>
      </c>
      <c r="I151" s="118">
        <v>13.2</v>
      </c>
      <c r="J151" s="118">
        <v>101</v>
      </c>
      <c r="K151" s="118"/>
      <c r="L151" s="122">
        <v>-1.1399999999999999</v>
      </c>
      <c r="M151" s="122">
        <v>0.44</v>
      </c>
      <c r="N151" s="118">
        <v>-2.11</v>
      </c>
      <c r="O151" s="123" t="s">
        <v>1747</v>
      </c>
    </row>
    <row r="152" spans="1:15" ht="28.8">
      <c r="A152" s="118" t="s">
        <v>2044</v>
      </c>
      <c r="B152" s="118" t="s">
        <v>1743</v>
      </c>
      <c r="C152" s="118" t="s">
        <v>1786</v>
      </c>
      <c r="D152" s="119">
        <v>43492</v>
      </c>
      <c r="E152" s="118" t="s">
        <v>2045</v>
      </c>
      <c r="F152" s="118" t="s">
        <v>1784</v>
      </c>
      <c r="G152" s="118">
        <v>6</v>
      </c>
      <c r="H152" s="118">
        <v>10</v>
      </c>
      <c r="I152" s="118">
        <v>12</v>
      </c>
      <c r="J152" s="118">
        <v>100</v>
      </c>
      <c r="K152" s="118"/>
      <c r="L152" s="122">
        <v>-1.38</v>
      </c>
      <c r="M152" s="122">
        <v>0.85</v>
      </c>
      <c r="N152" s="118">
        <v>-2.74</v>
      </c>
      <c r="O152" s="123" t="s">
        <v>1747</v>
      </c>
    </row>
    <row r="153" spans="1:15" ht="28.8">
      <c r="A153" s="118" t="s">
        <v>2046</v>
      </c>
      <c r="B153" s="118" t="s">
        <v>1743</v>
      </c>
      <c r="C153" s="118" t="s">
        <v>1749</v>
      </c>
      <c r="D153" s="119">
        <v>43748</v>
      </c>
      <c r="E153" s="118" t="s">
        <v>2047</v>
      </c>
      <c r="F153" s="118" t="s">
        <v>1784</v>
      </c>
      <c r="G153" s="118">
        <v>3</v>
      </c>
      <c r="H153" s="118">
        <v>10</v>
      </c>
      <c r="I153" s="118">
        <v>12</v>
      </c>
      <c r="J153" s="118">
        <v>98</v>
      </c>
      <c r="K153" s="118"/>
      <c r="L153" s="122">
        <v>-0.46</v>
      </c>
      <c r="M153" s="122">
        <v>2.0699999999999998</v>
      </c>
      <c r="N153" s="118">
        <v>-2.31</v>
      </c>
      <c r="O153" s="123" t="s">
        <v>1747</v>
      </c>
    </row>
    <row r="154" spans="1:15" ht="28.8">
      <c r="A154" s="118" t="s">
        <v>2048</v>
      </c>
      <c r="B154" s="118" t="s">
        <v>1752</v>
      </c>
      <c r="C154" s="118" t="s">
        <v>1744</v>
      </c>
      <c r="D154" s="119">
        <v>44144</v>
      </c>
      <c r="E154" s="118" t="s">
        <v>2049</v>
      </c>
      <c r="F154" s="118" t="s">
        <v>1784</v>
      </c>
      <c r="G154" s="118">
        <v>3</v>
      </c>
      <c r="H154" s="118">
        <v>5</v>
      </c>
      <c r="I154" s="118">
        <v>9.1999999999999993</v>
      </c>
      <c r="J154" s="118">
        <v>82</v>
      </c>
      <c r="K154" s="118"/>
      <c r="L154" s="122">
        <v>-1.38</v>
      </c>
      <c r="M154" s="122">
        <v>0.28999999999999998</v>
      </c>
      <c r="N154" s="118">
        <v>-2.0299999999999998</v>
      </c>
      <c r="O154" s="123" t="s">
        <v>1747</v>
      </c>
    </row>
    <row r="155" spans="1:15" ht="43.2">
      <c r="A155" s="118" t="s">
        <v>2050</v>
      </c>
      <c r="B155" s="118" t="s">
        <v>1752</v>
      </c>
      <c r="C155" s="118" t="s">
        <v>1755</v>
      </c>
      <c r="D155" s="119">
        <v>44491</v>
      </c>
      <c r="E155" s="118" t="s">
        <v>2051</v>
      </c>
      <c r="F155" s="118" t="s">
        <v>1784</v>
      </c>
      <c r="G155" s="118">
        <v>2</v>
      </c>
      <c r="H155" s="118">
        <v>8</v>
      </c>
      <c r="I155" s="118">
        <v>6.8</v>
      </c>
      <c r="J155" s="118">
        <v>69</v>
      </c>
      <c r="K155" s="118"/>
      <c r="L155" s="122">
        <v>-1.2</v>
      </c>
      <c r="M155" s="122">
        <v>0.97</v>
      </c>
      <c r="N155" s="118">
        <v>-2.35</v>
      </c>
      <c r="O155" s="123" t="s">
        <v>1747</v>
      </c>
    </row>
    <row r="156" spans="1:15" ht="43.2">
      <c r="A156" s="118" t="s">
        <v>2052</v>
      </c>
      <c r="B156" s="118" t="s">
        <v>1743</v>
      </c>
      <c r="C156" s="118" t="s">
        <v>1749</v>
      </c>
      <c r="D156" s="119">
        <v>43818</v>
      </c>
      <c r="E156" s="118" t="s">
        <v>2053</v>
      </c>
      <c r="F156" s="118" t="s">
        <v>1784</v>
      </c>
      <c r="G156" s="118">
        <v>5</v>
      </c>
      <c r="H156" s="118">
        <v>9</v>
      </c>
      <c r="I156" s="118">
        <v>9.5</v>
      </c>
      <c r="J156" s="118">
        <v>87</v>
      </c>
      <c r="K156" s="118"/>
      <c r="L156" s="122">
        <v>-2.11</v>
      </c>
      <c r="M156" s="122">
        <v>-0.54</v>
      </c>
      <c r="N156" s="118">
        <v>-2.64</v>
      </c>
      <c r="O156" s="123" t="s">
        <v>1747</v>
      </c>
    </row>
    <row r="157" spans="1:15" ht="43.2">
      <c r="A157" s="118" t="s">
        <v>2054</v>
      </c>
      <c r="B157" s="118" t="s">
        <v>1752</v>
      </c>
      <c r="C157" s="118" t="s">
        <v>2055</v>
      </c>
      <c r="D157" s="119">
        <v>44956</v>
      </c>
      <c r="E157" s="118" t="s">
        <v>2056</v>
      </c>
      <c r="F157" s="118" t="s">
        <v>1784</v>
      </c>
      <c r="G157" s="118">
        <v>2</v>
      </c>
      <c r="H157" s="118">
        <v>9</v>
      </c>
      <c r="I157" s="118">
        <v>3</v>
      </c>
      <c r="J157" s="118">
        <v>50</v>
      </c>
      <c r="K157" s="118"/>
      <c r="L157" s="122">
        <v>-2.81</v>
      </c>
      <c r="M157" s="122">
        <v>-2.04</v>
      </c>
      <c r="N157" s="118">
        <v>-1.7</v>
      </c>
      <c r="O157" s="123" t="s">
        <v>1760</v>
      </c>
    </row>
    <row r="158" spans="1:15" ht="43.2">
      <c r="A158" s="118" t="s">
        <v>2057</v>
      </c>
      <c r="B158" s="118" t="s">
        <v>1752</v>
      </c>
      <c r="C158" s="118" t="s">
        <v>1779</v>
      </c>
      <c r="D158" s="119">
        <v>43018</v>
      </c>
      <c r="E158" s="118" t="s">
        <v>2058</v>
      </c>
      <c r="F158" s="118" t="s">
        <v>1784</v>
      </c>
      <c r="G158" s="118">
        <v>4</v>
      </c>
      <c r="H158" s="118">
        <v>11</v>
      </c>
      <c r="I158" s="118">
        <v>13.8</v>
      </c>
      <c r="J158" s="118">
        <v>104.2</v>
      </c>
      <c r="K158" s="118">
        <v>18</v>
      </c>
      <c r="L158" s="122">
        <v>-1.77</v>
      </c>
      <c r="M158" s="122">
        <v>-0.56999999999999995</v>
      </c>
      <c r="N158" s="118">
        <v>-2.2599999999999998</v>
      </c>
      <c r="O158" s="123" t="s">
        <v>1747</v>
      </c>
    </row>
    <row r="159" spans="1:15" ht="28.8">
      <c r="A159" s="118" t="s">
        <v>2059</v>
      </c>
      <c r="B159" s="118" t="s">
        <v>1752</v>
      </c>
      <c r="C159" s="118" t="s">
        <v>1779</v>
      </c>
      <c r="D159" s="119">
        <v>43121</v>
      </c>
      <c r="E159" s="118" t="s">
        <v>2060</v>
      </c>
      <c r="F159" s="118" t="s">
        <v>1784</v>
      </c>
      <c r="G159" s="118">
        <v>7</v>
      </c>
      <c r="H159" s="118">
        <v>7</v>
      </c>
      <c r="I159" s="118">
        <v>14.5</v>
      </c>
      <c r="J159" s="118">
        <v>96</v>
      </c>
      <c r="K159" s="118">
        <v>15</v>
      </c>
      <c r="L159" s="122">
        <v>-1.74</v>
      </c>
      <c r="M159" s="122">
        <v>-2.97</v>
      </c>
      <c r="N159" s="118">
        <v>0.17</v>
      </c>
      <c r="O159" s="123" t="s">
        <v>1760</v>
      </c>
    </row>
    <row r="160" spans="1:15" ht="28.8">
      <c r="A160" s="118" t="s">
        <v>2061</v>
      </c>
      <c r="B160" s="118" t="s">
        <v>1743</v>
      </c>
      <c r="C160" s="118" t="s">
        <v>1755</v>
      </c>
      <c r="D160" s="119">
        <v>44624</v>
      </c>
      <c r="E160" s="118" t="s">
        <v>2062</v>
      </c>
      <c r="F160" s="118" t="s">
        <v>1784</v>
      </c>
      <c r="G160" s="118">
        <v>6</v>
      </c>
      <c r="H160" s="118">
        <v>9</v>
      </c>
      <c r="I160" s="118">
        <v>5.5</v>
      </c>
      <c r="J160" s="118">
        <v>62</v>
      </c>
      <c r="K160" s="118">
        <v>13</v>
      </c>
      <c r="L160" s="122">
        <v>-3.64</v>
      </c>
      <c r="M160" s="122">
        <v>-3.91</v>
      </c>
      <c r="N160" s="118">
        <v>-1.66</v>
      </c>
      <c r="O160" s="123" t="s">
        <v>1760</v>
      </c>
    </row>
    <row r="161" spans="1:15" ht="43.2">
      <c r="A161" s="118" t="s">
        <v>2063</v>
      </c>
      <c r="B161" s="118" t="s">
        <v>1743</v>
      </c>
      <c r="C161" s="118" t="s">
        <v>1749</v>
      </c>
      <c r="D161" s="119">
        <v>43604</v>
      </c>
      <c r="E161" s="118" t="s">
        <v>1907</v>
      </c>
      <c r="F161" s="118" t="s">
        <v>1784</v>
      </c>
      <c r="G161" s="118">
        <v>3</v>
      </c>
      <c r="H161" s="118">
        <v>2</v>
      </c>
      <c r="I161" s="118">
        <v>9.01</v>
      </c>
      <c r="J161" s="118">
        <v>87.1</v>
      </c>
      <c r="K161" s="118">
        <v>12.9</v>
      </c>
      <c r="L161" s="122">
        <v>-3.42</v>
      </c>
      <c r="M161" s="122">
        <v>-1.93</v>
      </c>
      <c r="N161" s="118">
        <v>-3.3</v>
      </c>
      <c r="O161" s="123" t="s">
        <v>1790</v>
      </c>
    </row>
    <row r="162" spans="1:15" ht="43.2">
      <c r="A162" s="118" t="s">
        <v>2064</v>
      </c>
      <c r="B162" s="118" t="s">
        <v>1752</v>
      </c>
      <c r="C162" s="118" t="s">
        <v>1786</v>
      </c>
      <c r="D162" s="119">
        <v>43427</v>
      </c>
      <c r="E162" s="118" t="s">
        <v>2065</v>
      </c>
      <c r="F162" s="118" t="s">
        <v>1784</v>
      </c>
      <c r="G162" s="118">
        <v>8</v>
      </c>
      <c r="H162" s="118">
        <v>3</v>
      </c>
      <c r="I162" s="118">
        <v>13.5</v>
      </c>
      <c r="J162" s="118">
        <v>103</v>
      </c>
      <c r="K162" s="118"/>
      <c r="L162" s="122">
        <v>-0.96</v>
      </c>
      <c r="M162" s="122">
        <v>0.95</v>
      </c>
      <c r="N162" s="118">
        <v>-2.27</v>
      </c>
      <c r="O162" s="123" t="s">
        <v>1747</v>
      </c>
    </row>
    <row r="163" spans="1:15" ht="43.2">
      <c r="A163" s="118" t="s">
        <v>2066</v>
      </c>
      <c r="B163" s="118" t="s">
        <v>1743</v>
      </c>
      <c r="C163" s="118" t="s">
        <v>1744</v>
      </c>
      <c r="D163" s="119">
        <v>44104</v>
      </c>
      <c r="E163" s="118" t="s">
        <v>2067</v>
      </c>
      <c r="F163" s="118" t="s">
        <v>1784</v>
      </c>
      <c r="G163" s="118">
        <v>4</v>
      </c>
      <c r="H163" s="118">
        <v>11</v>
      </c>
      <c r="I163" s="118">
        <v>8.1</v>
      </c>
      <c r="J163" s="118">
        <v>76</v>
      </c>
      <c r="K163" s="118">
        <v>13</v>
      </c>
      <c r="L163" s="122">
        <v>-3.41</v>
      </c>
      <c r="M163" s="122">
        <v>-3.68</v>
      </c>
      <c r="N163" s="118">
        <v>-1.78</v>
      </c>
      <c r="O163" s="123" t="s">
        <v>1760</v>
      </c>
    </row>
    <row r="164" spans="1:15" ht="28.8">
      <c r="A164" s="118" t="s">
        <v>2068</v>
      </c>
      <c r="B164" s="118" t="s">
        <v>1752</v>
      </c>
      <c r="C164" s="118" t="s">
        <v>1749</v>
      </c>
      <c r="D164" s="119">
        <v>43588</v>
      </c>
      <c r="E164" s="118" t="s">
        <v>2069</v>
      </c>
      <c r="F164" s="118" t="s">
        <v>1784</v>
      </c>
      <c r="G164" s="118">
        <v>4</v>
      </c>
      <c r="H164" s="118">
        <v>11</v>
      </c>
      <c r="I164" s="118">
        <v>12.5</v>
      </c>
      <c r="J164" s="118">
        <v>98.5</v>
      </c>
      <c r="K164" s="118"/>
      <c r="L164" s="122">
        <v>-1.1200000000000001</v>
      </c>
      <c r="M164" s="122">
        <v>0.7</v>
      </c>
      <c r="N164" s="118">
        <v>-2.2599999999999998</v>
      </c>
      <c r="O164" s="123" t="s">
        <v>1747</v>
      </c>
    </row>
    <row r="165" spans="1:15" ht="72">
      <c r="A165" s="118" t="s">
        <v>2070</v>
      </c>
      <c r="B165" s="118" t="s">
        <v>1752</v>
      </c>
      <c r="C165" s="118" t="s">
        <v>1749</v>
      </c>
      <c r="D165" s="119">
        <v>43866</v>
      </c>
      <c r="E165" s="118" t="s">
        <v>2071</v>
      </c>
      <c r="F165" s="118" t="s">
        <v>1784</v>
      </c>
      <c r="G165" s="118">
        <v>12</v>
      </c>
      <c r="H165" s="118">
        <v>7</v>
      </c>
      <c r="I165" s="118">
        <v>11.4</v>
      </c>
      <c r="J165" s="118">
        <v>92.5</v>
      </c>
      <c r="K165" s="118"/>
      <c r="L165" s="122">
        <v>-0.91</v>
      </c>
      <c r="M165" s="122">
        <v>0.99</v>
      </c>
      <c r="N165" s="118">
        <v>-2.14</v>
      </c>
      <c r="O165" s="123" t="s">
        <v>1747</v>
      </c>
    </row>
    <row r="166" spans="1:15" ht="43.2">
      <c r="A166" s="118" t="s">
        <v>2072</v>
      </c>
      <c r="B166" s="118" t="s">
        <v>1752</v>
      </c>
      <c r="C166" s="118" t="s">
        <v>1749</v>
      </c>
      <c r="D166" s="119">
        <v>43892</v>
      </c>
      <c r="E166" s="118" t="s">
        <v>2073</v>
      </c>
      <c r="F166" s="118" t="s">
        <v>1784</v>
      </c>
      <c r="G166" s="118">
        <v>1</v>
      </c>
      <c r="H166" s="118">
        <v>3</v>
      </c>
      <c r="I166" s="118">
        <v>10.9</v>
      </c>
      <c r="J166" s="118">
        <v>86</v>
      </c>
      <c r="K166" s="118">
        <v>14</v>
      </c>
      <c r="L166" s="122">
        <v>-2.12</v>
      </c>
      <c r="M166" s="122">
        <v>-2.4500000000000002</v>
      </c>
      <c r="N166" s="118">
        <v>-1.1200000000000001</v>
      </c>
      <c r="O166" s="123" t="s">
        <v>1760</v>
      </c>
    </row>
    <row r="167" spans="1:15" ht="28.8">
      <c r="A167" s="118" t="s">
        <v>2074</v>
      </c>
      <c r="B167" s="118" t="s">
        <v>1752</v>
      </c>
      <c r="C167" s="118" t="s">
        <v>1786</v>
      </c>
      <c r="D167" s="119">
        <v>43271</v>
      </c>
      <c r="E167" s="118" t="s">
        <v>2075</v>
      </c>
      <c r="F167" s="118" t="s">
        <v>1784</v>
      </c>
      <c r="G167" s="118">
        <v>8</v>
      </c>
      <c r="H167" s="118">
        <v>3</v>
      </c>
      <c r="I167" s="118">
        <v>13.2</v>
      </c>
      <c r="J167" s="118">
        <v>101.4</v>
      </c>
      <c r="K167" s="118"/>
      <c r="L167" s="122">
        <v>-1.56</v>
      </c>
      <c r="M167" s="122">
        <v>-0.21</v>
      </c>
      <c r="N167" s="118">
        <v>-2.2000000000000002</v>
      </c>
      <c r="O167" s="123" t="s">
        <v>1747</v>
      </c>
    </row>
    <row r="168" spans="1:15" ht="28.8">
      <c r="A168" s="118" t="s">
        <v>2076</v>
      </c>
      <c r="B168" s="118" t="s">
        <v>1743</v>
      </c>
      <c r="C168" s="118" t="s">
        <v>1779</v>
      </c>
      <c r="D168" s="119">
        <v>43109</v>
      </c>
      <c r="E168" s="118" t="s">
        <v>2077</v>
      </c>
      <c r="F168" s="118" t="s">
        <v>1784</v>
      </c>
      <c r="G168" s="118">
        <v>2</v>
      </c>
      <c r="H168" s="118">
        <v>4</v>
      </c>
      <c r="I168" s="118">
        <v>18</v>
      </c>
      <c r="J168" s="118">
        <v>96</v>
      </c>
      <c r="K168" s="118">
        <v>16</v>
      </c>
      <c r="L168" s="122">
        <v>-0.08</v>
      </c>
      <c r="M168" s="122">
        <v>-2.82</v>
      </c>
      <c r="N168" s="118">
        <v>2.56</v>
      </c>
      <c r="O168" s="123" t="s">
        <v>2078</v>
      </c>
    </row>
    <row r="169" spans="1:15" ht="43.2">
      <c r="A169" s="118" t="s">
        <v>2079</v>
      </c>
      <c r="B169" s="118" t="s">
        <v>1743</v>
      </c>
      <c r="C169" s="118" t="s">
        <v>1779</v>
      </c>
      <c r="D169" s="119">
        <v>43150</v>
      </c>
      <c r="E169" s="118" t="s">
        <v>2080</v>
      </c>
      <c r="F169" s="118" t="s">
        <v>1807</v>
      </c>
      <c r="G169" s="118">
        <v>2</v>
      </c>
      <c r="H169" s="118">
        <v>11</v>
      </c>
      <c r="I169" s="118">
        <v>11.9</v>
      </c>
      <c r="J169" s="118">
        <v>85.5</v>
      </c>
      <c r="K169" s="118">
        <v>16</v>
      </c>
      <c r="L169" s="122">
        <v>-3.01</v>
      </c>
      <c r="M169" s="122">
        <v>-4.93</v>
      </c>
      <c r="N169" s="118">
        <v>0.36</v>
      </c>
      <c r="O169" s="123" t="s">
        <v>1760</v>
      </c>
    </row>
    <row r="170" spans="1:15" ht="43.2">
      <c r="A170" s="118" t="s">
        <v>2081</v>
      </c>
      <c r="B170" s="118" t="s">
        <v>1752</v>
      </c>
      <c r="C170" s="118" t="s">
        <v>1779</v>
      </c>
      <c r="D170" s="119">
        <v>43145</v>
      </c>
      <c r="E170" s="118" t="s">
        <v>1806</v>
      </c>
      <c r="F170" s="118" t="s">
        <v>1807</v>
      </c>
      <c r="G170" s="118">
        <v>11</v>
      </c>
      <c r="H170" s="118">
        <v>3</v>
      </c>
      <c r="I170" s="118">
        <v>13</v>
      </c>
      <c r="J170" s="118">
        <v>98</v>
      </c>
      <c r="K170" s="118"/>
      <c r="L170" s="122">
        <v>-2.54</v>
      </c>
      <c r="M170" s="122">
        <v>-2.46</v>
      </c>
      <c r="N170" s="118">
        <v>-1.64</v>
      </c>
      <c r="O170" s="123" t="s">
        <v>1760</v>
      </c>
    </row>
    <row r="171" spans="1:15" ht="43.2">
      <c r="A171" s="118" t="s">
        <v>2082</v>
      </c>
      <c r="B171" s="118" t="s">
        <v>1743</v>
      </c>
      <c r="C171" s="118" t="s">
        <v>1749</v>
      </c>
      <c r="D171" s="119">
        <v>43646</v>
      </c>
      <c r="E171" s="118" t="s">
        <v>1809</v>
      </c>
      <c r="F171" s="118" t="s">
        <v>1807</v>
      </c>
      <c r="G171" s="118">
        <v>5</v>
      </c>
      <c r="H171" s="118">
        <v>3</v>
      </c>
      <c r="I171" s="118">
        <v>11</v>
      </c>
      <c r="J171" s="118">
        <v>95.2</v>
      </c>
      <c r="K171" s="118"/>
      <c r="L171" s="122">
        <v>-1.62</v>
      </c>
      <c r="M171" s="122">
        <v>0.46</v>
      </c>
      <c r="N171" s="118">
        <v>-2.76</v>
      </c>
      <c r="O171" s="123" t="s">
        <v>1747</v>
      </c>
    </row>
    <row r="172" spans="1:15" ht="43.2">
      <c r="A172" s="118" t="s">
        <v>2083</v>
      </c>
      <c r="B172" s="118" t="s">
        <v>1752</v>
      </c>
      <c r="C172" s="118" t="s">
        <v>1755</v>
      </c>
      <c r="D172" s="119">
        <v>44512</v>
      </c>
      <c r="E172" s="118" t="s">
        <v>2084</v>
      </c>
      <c r="F172" s="119"/>
      <c r="G172" s="118">
        <v>7</v>
      </c>
      <c r="H172" s="118">
        <v>2</v>
      </c>
      <c r="I172" s="118">
        <v>7.5</v>
      </c>
      <c r="J172" s="118">
        <v>72</v>
      </c>
      <c r="K172" s="118"/>
      <c r="L172" s="122">
        <v>0.05</v>
      </c>
      <c r="M172" s="122">
        <v>2.98</v>
      </c>
      <c r="N172" s="118">
        <v>-2.09</v>
      </c>
      <c r="O172" s="123" t="s">
        <v>1747</v>
      </c>
    </row>
    <row r="173" spans="1:15" ht="28.8">
      <c r="A173" s="118" t="s">
        <v>2085</v>
      </c>
      <c r="B173" s="118" t="s">
        <v>1752</v>
      </c>
      <c r="C173" s="118" t="s">
        <v>1786</v>
      </c>
      <c r="D173" s="119">
        <v>43298</v>
      </c>
      <c r="E173" s="118" t="s">
        <v>2086</v>
      </c>
      <c r="F173" s="119"/>
      <c r="G173" s="118">
        <v>6</v>
      </c>
      <c r="H173" s="118">
        <v>12</v>
      </c>
      <c r="I173" s="118">
        <v>9.3000000000000007</v>
      </c>
      <c r="J173" s="118">
        <v>87</v>
      </c>
      <c r="K173" s="118">
        <v>14</v>
      </c>
      <c r="L173" s="122">
        <v>-4.16</v>
      </c>
      <c r="M173" s="122">
        <v>-3.75</v>
      </c>
      <c r="N173" s="118">
        <v>-3.26</v>
      </c>
      <c r="O173" s="123" t="s">
        <v>1790</v>
      </c>
    </row>
    <row r="174" spans="1:15" ht="28.8">
      <c r="A174" s="118" t="s">
        <v>2087</v>
      </c>
      <c r="B174" s="118" t="s">
        <v>1743</v>
      </c>
      <c r="C174" s="118" t="s">
        <v>1749</v>
      </c>
      <c r="D174" s="119">
        <v>43645</v>
      </c>
      <c r="E174" s="118" t="s">
        <v>2088</v>
      </c>
      <c r="F174" s="119"/>
      <c r="G174" s="118">
        <v>1</v>
      </c>
      <c r="H174" s="118">
        <v>1</v>
      </c>
      <c r="I174" s="118">
        <v>8.6999999999999993</v>
      </c>
      <c r="J174" s="118">
        <v>82.3</v>
      </c>
      <c r="K174" s="118"/>
      <c r="L174" s="122">
        <v>-3.53</v>
      </c>
      <c r="M174" s="122">
        <v>-2.95</v>
      </c>
      <c r="N174" s="118">
        <v>-2.46</v>
      </c>
      <c r="O174" s="123" t="s">
        <v>1747</v>
      </c>
    </row>
    <row r="175" spans="1:15" ht="43.2">
      <c r="A175" s="118" t="s">
        <v>2089</v>
      </c>
      <c r="B175" s="118" t="s">
        <v>1752</v>
      </c>
      <c r="C175" s="118" t="s">
        <v>1779</v>
      </c>
      <c r="D175" s="119">
        <v>42859</v>
      </c>
      <c r="E175" s="118" t="s">
        <v>2090</v>
      </c>
      <c r="F175" s="118" t="s">
        <v>1769</v>
      </c>
      <c r="G175" s="118">
        <v>7</v>
      </c>
      <c r="H175" s="118">
        <v>2</v>
      </c>
      <c r="I175" s="118">
        <v>15.3</v>
      </c>
      <c r="J175" s="118">
        <v>110</v>
      </c>
      <c r="K175" s="118"/>
      <c r="L175" s="122">
        <v>-1.31</v>
      </c>
      <c r="M175" s="122">
        <v>0.1</v>
      </c>
      <c r="N175" s="118">
        <v>-2.2400000000000002</v>
      </c>
      <c r="O175" s="123" t="s">
        <v>1747</v>
      </c>
    </row>
    <row r="176" spans="1:15" ht="43.2">
      <c r="A176" s="118" t="s">
        <v>2091</v>
      </c>
      <c r="B176" s="118" t="s">
        <v>1743</v>
      </c>
      <c r="C176" s="118" t="s">
        <v>1779</v>
      </c>
      <c r="D176" s="119">
        <v>43191</v>
      </c>
      <c r="E176" s="118" t="s">
        <v>1771</v>
      </c>
      <c r="F176" s="118" t="s">
        <v>1769</v>
      </c>
      <c r="G176" s="118">
        <v>2</v>
      </c>
      <c r="H176" s="118">
        <v>8</v>
      </c>
      <c r="I176" s="118">
        <v>8.8000000000000007</v>
      </c>
      <c r="J176" s="118">
        <v>86.3</v>
      </c>
      <c r="K176" s="118">
        <v>12.5</v>
      </c>
      <c r="L176" s="122">
        <v>-4.46</v>
      </c>
      <c r="M176" s="122">
        <v>-4.01</v>
      </c>
      <c r="N176" s="118">
        <v>-3.2</v>
      </c>
      <c r="O176" s="123" t="s">
        <v>1790</v>
      </c>
    </row>
    <row r="177" spans="1:15" ht="43.2">
      <c r="A177" s="118" t="s">
        <v>2092</v>
      </c>
      <c r="B177" s="118" t="s">
        <v>1752</v>
      </c>
      <c r="C177" s="118" t="s">
        <v>1786</v>
      </c>
      <c r="D177" s="119">
        <v>43384</v>
      </c>
      <c r="E177" s="118" t="s">
        <v>2093</v>
      </c>
      <c r="F177" s="118" t="s">
        <v>1769</v>
      </c>
      <c r="G177" s="118">
        <v>1</v>
      </c>
      <c r="H177" s="118">
        <v>12</v>
      </c>
      <c r="I177" s="118">
        <v>13.5</v>
      </c>
      <c r="J177" s="118">
        <v>102</v>
      </c>
      <c r="K177" s="118"/>
      <c r="L177" s="122">
        <v>-1.04</v>
      </c>
      <c r="M177" s="122">
        <v>0.55000000000000004</v>
      </c>
      <c r="N177" s="118">
        <v>-2.0499999999999998</v>
      </c>
      <c r="O177" s="123" t="s">
        <v>1747</v>
      </c>
    </row>
    <row r="178" spans="1:15" ht="43.2">
      <c r="A178" s="118" t="s">
        <v>2094</v>
      </c>
      <c r="B178" s="118" t="s">
        <v>1752</v>
      </c>
      <c r="C178" s="118" t="s">
        <v>1744</v>
      </c>
      <c r="D178" s="119">
        <v>44217</v>
      </c>
      <c r="E178" s="118" t="s">
        <v>2095</v>
      </c>
      <c r="F178" s="118" t="s">
        <v>1769</v>
      </c>
      <c r="G178" s="118">
        <v>1</v>
      </c>
      <c r="H178" s="118">
        <v>12</v>
      </c>
      <c r="I178" s="118">
        <v>13.35</v>
      </c>
      <c r="J178" s="118">
        <v>80</v>
      </c>
      <c r="K178" s="118">
        <v>19</v>
      </c>
      <c r="L178" s="122">
        <v>0.87</v>
      </c>
      <c r="M178" s="122">
        <v>-2.25</v>
      </c>
      <c r="N178" s="118">
        <v>2.69</v>
      </c>
      <c r="O178" s="123" t="s">
        <v>2078</v>
      </c>
    </row>
    <row r="179" spans="1:15" ht="57.6">
      <c r="A179" s="118" t="s">
        <v>2096</v>
      </c>
      <c r="B179" s="118" t="s">
        <v>1752</v>
      </c>
      <c r="C179" s="118" t="s">
        <v>1786</v>
      </c>
      <c r="D179" s="119">
        <v>43395</v>
      </c>
      <c r="E179" s="118" t="s">
        <v>2097</v>
      </c>
      <c r="F179" s="118" t="s">
        <v>1769</v>
      </c>
      <c r="G179" s="118">
        <v>6</v>
      </c>
      <c r="H179" s="118">
        <v>5</v>
      </c>
      <c r="I179" s="118">
        <v>13.5</v>
      </c>
      <c r="J179" s="118">
        <v>102</v>
      </c>
      <c r="K179" s="118"/>
      <c r="L179" s="122">
        <v>-1</v>
      </c>
      <c r="M179" s="122">
        <v>0.61</v>
      </c>
      <c r="N179" s="118">
        <v>-2.0499999999999998</v>
      </c>
      <c r="O179" s="123" t="s">
        <v>1747</v>
      </c>
    </row>
    <row r="180" spans="1:15" ht="43.2">
      <c r="A180" s="118" t="s">
        <v>2098</v>
      </c>
      <c r="B180" s="118" t="s">
        <v>1752</v>
      </c>
      <c r="C180" s="118" t="s">
        <v>1744</v>
      </c>
      <c r="D180" s="119">
        <v>44286</v>
      </c>
      <c r="E180" s="118" t="s">
        <v>2099</v>
      </c>
      <c r="F180" s="118" t="s">
        <v>1769</v>
      </c>
      <c r="G180" s="118">
        <v>9</v>
      </c>
      <c r="H180" s="118">
        <v>5</v>
      </c>
      <c r="I180" s="118">
        <v>8.8000000000000007</v>
      </c>
      <c r="J180" s="118">
        <v>79</v>
      </c>
      <c r="K180" s="118"/>
      <c r="L180" s="122">
        <v>-2.4500000000000002</v>
      </c>
      <c r="M180" s="122">
        <v>-2.21</v>
      </c>
      <c r="N180" s="118">
        <v>-1.9</v>
      </c>
      <c r="O180" s="123" t="s">
        <v>1760</v>
      </c>
    </row>
    <row r="181" spans="1:15" ht="43.2">
      <c r="A181" s="118" t="s">
        <v>2100</v>
      </c>
      <c r="B181" s="118" t="s">
        <v>1752</v>
      </c>
      <c r="C181" s="118" t="s">
        <v>1786</v>
      </c>
      <c r="D181" s="119">
        <v>43397</v>
      </c>
      <c r="E181" s="118" t="s">
        <v>2101</v>
      </c>
      <c r="F181" s="118" t="s">
        <v>1769</v>
      </c>
      <c r="G181" s="118">
        <v>9</v>
      </c>
      <c r="H181" s="118">
        <v>12</v>
      </c>
      <c r="I181" s="118">
        <v>13.5</v>
      </c>
      <c r="J181" s="118">
        <v>102</v>
      </c>
      <c r="K181" s="118"/>
      <c r="L181" s="122">
        <v>-1</v>
      </c>
      <c r="M181" s="122">
        <v>0.62</v>
      </c>
      <c r="N181" s="118">
        <v>-2.0499999999999998</v>
      </c>
      <c r="O181" s="123" t="s">
        <v>1747</v>
      </c>
    </row>
    <row r="182" spans="1:15" ht="43.2">
      <c r="A182" s="118" t="s">
        <v>2102</v>
      </c>
      <c r="B182" s="118" t="s">
        <v>1752</v>
      </c>
      <c r="C182" s="118" t="s">
        <v>1786</v>
      </c>
      <c r="D182" s="119">
        <v>43398</v>
      </c>
      <c r="E182" s="118" t="s">
        <v>2103</v>
      </c>
      <c r="F182" s="118" t="s">
        <v>1774</v>
      </c>
      <c r="G182" s="118">
        <v>2</v>
      </c>
      <c r="H182" s="118">
        <v>7</v>
      </c>
      <c r="I182" s="118">
        <v>13.5</v>
      </c>
      <c r="J182" s="118">
        <v>102</v>
      </c>
      <c r="K182" s="118"/>
      <c r="L182" s="122">
        <v>-1</v>
      </c>
      <c r="M182" s="122">
        <v>0.62</v>
      </c>
      <c r="N182" s="118">
        <v>-2.0499999999999998</v>
      </c>
      <c r="O182" s="123" t="s">
        <v>1747</v>
      </c>
    </row>
    <row r="183" spans="1:15" ht="43.2">
      <c r="A183" s="118" t="s">
        <v>2104</v>
      </c>
      <c r="B183" s="118" t="s">
        <v>1752</v>
      </c>
      <c r="C183" s="118" t="s">
        <v>1755</v>
      </c>
      <c r="D183" s="119">
        <v>44371</v>
      </c>
      <c r="E183" s="118" t="s">
        <v>2105</v>
      </c>
      <c r="F183" s="118" t="s">
        <v>1777</v>
      </c>
      <c r="G183" s="118">
        <v>4</v>
      </c>
      <c r="H183" s="118">
        <v>2</v>
      </c>
      <c r="I183" s="118">
        <v>9</v>
      </c>
      <c r="J183" s="118">
        <v>76.400000000000006</v>
      </c>
      <c r="K183" s="118">
        <v>16.5</v>
      </c>
      <c r="L183" s="122">
        <v>-1.85</v>
      </c>
      <c r="M183" s="122">
        <v>-2.36</v>
      </c>
      <c r="N183" s="118">
        <v>-1.02</v>
      </c>
      <c r="O183" s="123" t="s">
        <v>1760</v>
      </c>
    </row>
    <row r="184" spans="1:15" ht="57.6">
      <c r="A184" s="118" t="s">
        <v>2106</v>
      </c>
      <c r="B184" s="118" t="s">
        <v>1752</v>
      </c>
      <c r="C184" s="118" t="s">
        <v>1786</v>
      </c>
      <c r="D184" s="119">
        <v>43406</v>
      </c>
      <c r="E184" s="118" t="s">
        <v>2107</v>
      </c>
      <c r="F184" s="118" t="s">
        <v>1777</v>
      </c>
      <c r="G184" s="118">
        <v>4</v>
      </c>
      <c r="H184" s="118">
        <v>2</v>
      </c>
      <c r="I184" s="118">
        <v>13.2</v>
      </c>
      <c r="J184" s="118">
        <v>101</v>
      </c>
      <c r="K184" s="118"/>
      <c r="L184" s="122">
        <v>-1.1599999999999999</v>
      </c>
      <c r="M184" s="122">
        <v>0.41</v>
      </c>
      <c r="N184" s="118">
        <v>-2.11</v>
      </c>
      <c r="O184" s="123" t="s">
        <v>1747</v>
      </c>
    </row>
    <row r="185" spans="1:15" ht="43.2">
      <c r="A185" s="118" t="s">
        <v>2108</v>
      </c>
      <c r="B185" s="118" t="s">
        <v>1752</v>
      </c>
      <c r="C185" s="118" t="s">
        <v>1786</v>
      </c>
      <c r="D185" s="119">
        <v>43407</v>
      </c>
      <c r="E185" s="118" t="s">
        <v>2109</v>
      </c>
      <c r="F185" s="118" t="s">
        <v>1777</v>
      </c>
      <c r="G185" s="118">
        <v>4</v>
      </c>
      <c r="H185" s="118">
        <v>2</v>
      </c>
      <c r="I185" s="118">
        <v>13.2</v>
      </c>
      <c r="J185" s="118">
        <v>101</v>
      </c>
      <c r="K185" s="118"/>
      <c r="L185" s="122">
        <v>-1.1499999999999999</v>
      </c>
      <c r="M185" s="122">
        <v>0.42</v>
      </c>
      <c r="N185" s="118">
        <v>-2.11</v>
      </c>
      <c r="O185" s="123" t="s">
        <v>1747</v>
      </c>
    </row>
    <row r="186" spans="1:15" ht="43.2">
      <c r="A186" s="118" t="s">
        <v>2110</v>
      </c>
      <c r="B186" s="118" t="s">
        <v>1752</v>
      </c>
      <c r="C186" s="118" t="s">
        <v>1786</v>
      </c>
      <c r="D186" s="119">
        <v>43412</v>
      </c>
      <c r="E186" s="118" t="s">
        <v>2111</v>
      </c>
      <c r="F186" s="118" t="s">
        <v>1777</v>
      </c>
      <c r="G186" s="118">
        <v>8</v>
      </c>
      <c r="H186" s="118">
        <v>5</v>
      </c>
      <c r="I186" s="118">
        <v>13.2</v>
      </c>
      <c r="J186" s="118">
        <v>101</v>
      </c>
      <c r="K186" s="118"/>
      <c r="L186" s="122">
        <v>-1.1399999999999999</v>
      </c>
      <c r="M186" s="122">
        <v>0.44</v>
      </c>
      <c r="N186" s="118">
        <v>-2.11</v>
      </c>
      <c r="O186" s="123" t="s">
        <v>1747</v>
      </c>
    </row>
    <row r="187" spans="1:15" ht="43.2">
      <c r="A187" s="118" t="s">
        <v>2112</v>
      </c>
      <c r="B187" s="118" t="s">
        <v>1752</v>
      </c>
      <c r="C187" s="118" t="s">
        <v>1786</v>
      </c>
      <c r="D187" s="119">
        <v>43423</v>
      </c>
      <c r="E187" s="118" t="s">
        <v>2021</v>
      </c>
      <c r="F187" s="118" t="s">
        <v>1777</v>
      </c>
      <c r="G187" s="118">
        <v>7</v>
      </c>
      <c r="H187" s="118">
        <v>10</v>
      </c>
      <c r="I187" s="118">
        <v>13.2</v>
      </c>
      <c r="J187" s="118">
        <v>101</v>
      </c>
      <c r="K187" s="118"/>
      <c r="L187" s="122">
        <v>-1.1100000000000001</v>
      </c>
      <c r="M187" s="122">
        <v>0.5</v>
      </c>
      <c r="N187" s="118">
        <v>-2.11</v>
      </c>
      <c r="O187" s="123" t="s">
        <v>1747</v>
      </c>
    </row>
    <row r="188" spans="1:15" ht="43.2">
      <c r="A188" s="118" t="s">
        <v>2113</v>
      </c>
      <c r="B188" s="118" t="s">
        <v>1752</v>
      </c>
      <c r="C188" s="118" t="s">
        <v>1786</v>
      </c>
      <c r="D188" s="119">
        <v>43433</v>
      </c>
      <c r="E188" s="118" t="s">
        <v>1776</v>
      </c>
      <c r="F188" s="118" t="s">
        <v>1777</v>
      </c>
      <c r="G188" s="118">
        <v>1</v>
      </c>
      <c r="H188" s="118">
        <v>2</v>
      </c>
      <c r="I188" s="118">
        <v>13.2</v>
      </c>
      <c r="J188" s="118">
        <v>101</v>
      </c>
      <c r="K188" s="118"/>
      <c r="L188" s="122">
        <v>-1.08</v>
      </c>
      <c r="M188" s="122">
        <v>0.55000000000000004</v>
      </c>
      <c r="N188" s="118">
        <v>-2.11</v>
      </c>
      <c r="O188" s="123" t="s">
        <v>1747</v>
      </c>
    </row>
    <row r="189" spans="1:15" ht="43.2">
      <c r="A189" s="118" t="s">
        <v>2114</v>
      </c>
      <c r="B189" s="118" t="s">
        <v>1752</v>
      </c>
      <c r="C189" s="118" t="s">
        <v>1786</v>
      </c>
      <c r="D189" s="119">
        <v>43443</v>
      </c>
      <c r="E189" s="118" t="s">
        <v>2019</v>
      </c>
      <c r="F189" s="118" t="s">
        <v>1777</v>
      </c>
      <c r="G189" s="118">
        <v>1</v>
      </c>
      <c r="H189" s="118">
        <v>15</v>
      </c>
      <c r="I189" s="118">
        <v>13</v>
      </c>
      <c r="J189" s="118">
        <v>100</v>
      </c>
      <c r="K189" s="118"/>
      <c r="L189" s="122">
        <v>-1.18</v>
      </c>
      <c r="M189" s="122">
        <v>0.35</v>
      </c>
      <c r="N189" s="118">
        <v>-2.09</v>
      </c>
      <c r="O189" s="123" t="s">
        <v>1747</v>
      </c>
    </row>
    <row r="190" spans="1:15" ht="43.2">
      <c r="A190" s="118" t="s">
        <v>2115</v>
      </c>
      <c r="B190" s="118" t="s">
        <v>1752</v>
      </c>
      <c r="C190" s="118" t="s">
        <v>1786</v>
      </c>
      <c r="D190" s="119">
        <v>43458</v>
      </c>
      <c r="E190" s="118" t="s">
        <v>2011</v>
      </c>
      <c r="F190" s="118" t="s">
        <v>1777</v>
      </c>
      <c r="G190" s="118">
        <v>1</v>
      </c>
      <c r="H190" s="118">
        <v>9</v>
      </c>
      <c r="I190" s="118">
        <v>13</v>
      </c>
      <c r="J190" s="118">
        <v>100</v>
      </c>
      <c r="K190" s="118"/>
      <c r="L190" s="122">
        <v>-1.1299999999999999</v>
      </c>
      <c r="M190" s="122">
        <v>0.43</v>
      </c>
      <c r="N190" s="118">
        <v>-2.09</v>
      </c>
      <c r="O190" s="123" t="s">
        <v>1747</v>
      </c>
    </row>
    <row r="191" spans="1:15" ht="43.2">
      <c r="A191" s="118" t="s">
        <v>2116</v>
      </c>
      <c r="B191" s="118" t="s">
        <v>1743</v>
      </c>
      <c r="C191" s="118" t="s">
        <v>1749</v>
      </c>
      <c r="D191" s="119">
        <v>43853</v>
      </c>
      <c r="E191" s="118" t="s">
        <v>2117</v>
      </c>
      <c r="F191" s="118" t="s">
        <v>1781</v>
      </c>
      <c r="G191" s="118">
        <v>2</v>
      </c>
      <c r="H191" s="118">
        <v>9</v>
      </c>
      <c r="I191" s="118">
        <v>8.9</v>
      </c>
      <c r="J191" s="118">
        <v>84</v>
      </c>
      <c r="K191" s="118">
        <v>13</v>
      </c>
      <c r="L191" s="122">
        <v>-2.48</v>
      </c>
      <c r="M191" s="122">
        <v>-1.1000000000000001</v>
      </c>
      <c r="N191" s="118">
        <v>-2.64</v>
      </c>
      <c r="O191" s="123" t="s">
        <v>1747</v>
      </c>
    </row>
    <row r="192" spans="1:15" ht="43.2">
      <c r="A192" s="118" t="s">
        <v>2118</v>
      </c>
      <c r="B192" s="118" t="s">
        <v>1743</v>
      </c>
      <c r="C192" s="118" t="s">
        <v>1786</v>
      </c>
      <c r="D192" s="119">
        <v>43249</v>
      </c>
      <c r="E192" s="118" t="s">
        <v>2119</v>
      </c>
      <c r="F192" s="118" t="s">
        <v>1781</v>
      </c>
      <c r="G192" s="118">
        <v>2</v>
      </c>
      <c r="H192" s="118">
        <v>2</v>
      </c>
      <c r="I192" s="118">
        <v>13</v>
      </c>
      <c r="J192" s="118">
        <v>102.2</v>
      </c>
      <c r="K192" s="118"/>
      <c r="L192" s="122">
        <v>-1.49</v>
      </c>
      <c r="M192" s="122">
        <v>0.04</v>
      </c>
      <c r="N192" s="118">
        <v>-2.27</v>
      </c>
      <c r="O192" s="123" t="s">
        <v>1747</v>
      </c>
    </row>
    <row r="193" spans="1:15" ht="28.8">
      <c r="A193" s="118" t="s">
        <v>2120</v>
      </c>
      <c r="B193" s="118" t="s">
        <v>1752</v>
      </c>
      <c r="C193" s="118" t="s">
        <v>1786</v>
      </c>
      <c r="D193" s="119">
        <v>43314</v>
      </c>
      <c r="E193" s="118" t="s">
        <v>2036</v>
      </c>
      <c r="F193" s="118" t="s">
        <v>1784</v>
      </c>
      <c r="G193" s="118">
        <v>2</v>
      </c>
      <c r="H193" s="118">
        <v>4</v>
      </c>
      <c r="I193" s="118">
        <v>12.9</v>
      </c>
      <c r="J193" s="118">
        <v>102</v>
      </c>
      <c r="K193" s="118"/>
      <c r="L193" s="122">
        <v>-1.63</v>
      </c>
      <c r="M193" s="122">
        <v>0.13</v>
      </c>
      <c r="N193" s="118">
        <v>-2.63</v>
      </c>
      <c r="O193" s="123" t="s">
        <v>1747</v>
      </c>
    </row>
    <row r="194" spans="1:15" ht="43.2">
      <c r="A194" s="118" t="s">
        <v>2121</v>
      </c>
      <c r="B194" s="118" t="s">
        <v>1743</v>
      </c>
      <c r="C194" s="118" t="s">
        <v>1786</v>
      </c>
      <c r="D194" s="119">
        <v>43462</v>
      </c>
      <c r="E194" s="118" t="s">
        <v>1907</v>
      </c>
      <c r="F194" s="118" t="s">
        <v>1784</v>
      </c>
      <c r="G194" s="118">
        <v>3</v>
      </c>
      <c r="H194" s="118">
        <v>2</v>
      </c>
      <c r="I194" s="118">
        <v>13</v>
      </c>
      <c r="J194" s="118">
        <v>101.2</v>
      </c>
      <c r="K194" s="118"/>
      <c r="L194" s="122">
        <v>-0.88</v>
      </c>
      <c r="M194" s="122">
        <v>0.89</v>
      </c>
      <c r="N194" s="118">
        <v>-2.0499999999999998</v>
      </c>
      <c r="O194" s="123" t="s">
        <v>1747</v>
      </c>
    </row>
    <row r="195" spans="1:15" ht="28.8">
      <c r="A195" s="118" t="s">
        <v>2122</v>
      </c>
      <c r="B195" s="118" t="s">
        <v>1743</v>
      </c>
      <c r="C195" s="118" t="s">
        <v>1786</v>
      </c>
      <c r="D195" s="119">
        <v>43524</v>
      </c>
      <c r="E195" s="118" t="s">
        <v>1802</v>
      </c>
      <c r="F195" s="118" t="s">
        <v>1784</v>
      </c>
      <c r="G195" s="118">
        <v>3</v>
      </c>
      <c r="H195" s="118">
        <v>7</v>
      </c>
      <c r="I195" s="118">
        <v>11.4</v>
      </c>
      <c r="J195" s="118">
        <v>94.3</v>
      </c>
      <c r="K195" s="118"/>
      <c r="L195" s="122">
        <v>-1.74</v>
      </c>
      <c r="M195" s="122">
        <v>-0.51</v>
      </c>
      <c r="N195" s="118">
        <v>-2.14</v>
      </c>
      <c r="O195" s="123" t="s">
        <v>1747</v>
      </c>
    </row>
    <row r="196" spans="1:15" ht="28.8">
      <c r="A196" s="118" t="s">
        <v>2123</v>
      </c>
      <c r="B196" s="118" t="s">
        <v>1752</v>
      </c>
      <c r="C196" s="118" t="s">
        <v>1749</v>
      </c>
      <c r="D196" s="119">
        <v>43725</v>
      </c>
      <c r="E196" s="118" t="s">
        <v>1798</v>
      </c>
      <c r="F196" s="118" t="s">
        <v>1784</v>
      </c>
      <c r="G196" s="118">
        <v>4</v>
      </c>
      <c r="H196" s="118">
        <v>5</v>
      </c>
      <c r="I196" s="118">
        <v>11.2</v>
      </c>
      <c r="J196" s="118">
        <v>94</v>
      </c>
      <c r="K196" s="118"/>
      <c r="L196" s="122">
        <v>-1.59</v>
      </c>
      <c r="M196" s="122">
        <v>0.34</v>
      </c>
      <c r="N196" s="118">
        <v>-2.71</v>
      </c>
      <c r="O196" s="123" t="s">
        <v>1747</v>
      </c>
    </row>
    <row r="197" spans="1:15" ht="43.2">
      <c r="A197" s="118" t="s">
        <v>2124</v>
      </c>
      <c r="B197" s="118" t="s">
        <v>1752</v>
      </c>
      <c r="C197" s="118" t="s">
        <v>1749</v>
      </c>
      <c r="D197" s="119">
        <v>43733</v>
      </c>
      <c r="E197" s="118" t="s">
        <v>2125</v>
      </c>
      <c r="F197" s="118" t="s">
        <v>1807</v>
      </c>
      <c r="G197" s="118">
        <v>3</v>
      </c>
      <c r="H197" s="118">
        <v>4</v>
      </c>
      <c r="I197" s="118">
        <v>11.2</v>
      </c>
      <c r="J197" s="118">
        <v>93.1</v>
      </c>
      <c r="K197" s="118"/>
      <c r="L197" s="122">
        <v>-1.57</v>
      </c>
      <c r="M197" s="122">
        <v>0.14000000000000001</v>
      </c>
      <c r="N197" s="118">
        <v>-2.5099999999999998</v>
      </c>
      <c r="O197" s="123" t="s">
        <v>1747</v>
      </c>
    </row>
    <row r="198" spans="1:15" ht="43.2">
      <c r="A198" s="118" t="s">
        <v>2126</v>
      </c>
      <c r="B198" s="118" t="s">
        <v>1752</v>
      </c>
      <c r="C198" s="118" t="s">
        <v>1755</v>
      </c>
      <c r="D198" s="119">
        <v>44673</v>
      </c>
      <c r="E198" s="118" t="s">
        <v>2127</v>
      </c>
      <c r="F198" s="118" t="s">
        <v>1807</v>
      </c>
      <c r="G198" s="118">
        <v>2</v>
      </c>
      <c r="H198" s="118">
        <v>3</v>
      </c>
      <c r="I198" s="118">
        <v>2.2000000000000002</v>
      </c>
      <c r="J198" s="118">
        <v>48</v>
      </c>
      <c r="K198" s="118"/>
      <c r="L198" s="122">
        <v>-4.0599999999999996</v>
      </c>
      <c r="M198" s="122">
        <v>-2.5099999999999998</v>
      </c>
      <c r="N198" s="118">
        <v>-3.86</v>
      </c>
      <c r="O198" s="123" t="s">
        <v>1790</v>
      </c>
    </row>
    <row r="199" spans="1:15" ht="43.2">
      <c r="A199" s="118" t="s">
        <v>2128</v>
      </c>
      <c r="B199" s="118" t="s">
        <v>1752</v>
      </c>
      <c r="C199" s="118" t="s">
        <v>1755</v>
      </c>
      <c r="D199" s="119">
        <v>44657</v>
      </c>
      <c r="E199" s="118" t="s">
        <v>2129</v>
      </c>
      <c r="F199" s="118" t="s">
        <v>1746</v>
      </c>
      <c r="G199" s="118">
        <v>6</v>
      </c>
      <c r="H199" s="118">
        <v>1</v>
      </c>
      <c r="I199" s="118">
        <v>2.5</v>
      </c>
      <c r="J199" s="118">
        <v>48</v>
      </c>
      <c r="K199" s="118"/>
      <c r="L199" s="122">
        <v>-2.13</v>
      </c>
      <c r="M199" s="122">
        <v>-1.18</v>
      </c>
      <c r="N199" s="118">
        <v>-2.39</v>
      </c>
      <c r="O199" s="123" t="s">
        <v>1747</v>
      </c>
    </row>
    <row r="200" spans="1:15" ht="28.8">
      <c r="A200" s="118" t="s">
        <v>2130</v>
      </c>
      <c r="B200" s="118" t="s">
        <v>1752</v>
      </c>
      <c r="C200" s="118" t="s">
        <v>1744</v>
      </c>
      <c r="D200" s="119">
        <v>44144</v>
      </c>
      <c r="E200" s="118" t="s">
        <v>2131</v>
      </c>
      <c r="F200" s="118" t="s">
        <v>1746</v>
      </c>
      <c r="G200" s="118">
        <v>5</v>
      </c>
      <c r="H200" s="118">
        <v>3</v>
      </c>
      <c r="I200" s="118">
        <v>8.5</v>
      </c>
      <c r="J200" s="118">
        <v>78.5</v>
      </c>
      <c r="K200" s="118"/>
      <c r="L200" s="122">
        <v>-2.1</v>
      </c>
      <c r="M200" s="122">
        <v>-1.04</v>
      </c>
      <c r="N200" s="118">
        <v>-2.23</v>
      </c>
      <c r="O200" s="123" t="s">
        <v>1747</v>
      </c>
    </row>
    <row r="201" spans="1:15" ht="43.2">
      <c r="A201" s="118" t="s">
        <v>2132</v>
      </c>
      <c r="B201" s="118" t="s">
        <v>1743</v>
      </c>
      <c r="C201" s="118" t="s">
        <v>1755</v>
      </c>
      <c r="D201" s="119">
        <v>44505</v>
      </c>
      <c r="E201" s="118" t="s">
        <v>2133</v>
      </c>
      <c r="F201" s="118" t="s">
        <v>1746</v>
      </c>
      <c r="G201" s="118">
        <v>4</v>
      </c>
      <c r="H201" s="118">
        <v>3</v>
      </c>
      <c r="I201" s="118">
        <v>5.4</v>
      </c>
      <c r="J201" s="118">
        <v>64.2</v>
      </c>
      <c r="K201" s="118"/>
      <c r="L201" s="122">
        <v>-2.0699999999999998</v>
      </c>
      <c r="M201" s="122">
        <v>-0.02</v>
      </c>
      <c r="N201" s="118">
        <v>-2.81</v>
      </c>
      <c r="O201" s="123" t="s">
        <v>1747</v>
      </c>
    </row>
    <row r="202" spans="1:15" ht="28.8">
      <c r="A202" s="118" t="s">
        <v>2134</v>
      </c>
      <c r="B202" s="118" t="s">
        <v>1752</v>
      </c>
      <c r="C202" s="118" t="s">
        <v>1755</v>
      </c>
      <c r="D202" s="119">
        <v>44658</v>
      </c>
      <c r="E202" s="118" t="s">
        <v>2135</v>
      </c>
      <c r="F202" s="118" t="s">
        <v>1746</v>
      </c>
      <c r="G202" s="118">
        <v>6</v>
      </c>
      <c r="H202" s="118">
        <v>4</v>
      </c>
      <c r="I202" s="118">
        <v>2.9</v>
      </c>
      <c r="J202" s="118">
        <v>50</v>
      </c>
      <c r="K202" s="118"/>
      <c r="L202" s="122">
        <v>-1.24</v>
      </c>
      <c r="M202" s="122">
        <v>-0.22</v>
      </c>
      <c r="N202" s="118">
        <v>-2.1</v>
      </c>
      <c r="O202" s="123" t="s">
        <v>1747</v>
      </c>
    </row>
    <row r="203" spans="1:15" ht="43.2">
      <c r="A203" s="118" t="s">
        <v>2136</v>
      </c>
      <c r="B203" s="118" t="s">
        <v>1743</v>
      </c>
      <c r="C203" s="118" t="s">
        <v>1866</v>
      </c>
      <c r="D203" s="119">
        <v>42835</v>
      </c>
      <c r="E203" s="118" t="s">
        <v>2137</v>
      </c>
      <c r="F203" s="118" t="s">
        <v>1769</v>
      </c>
      <c r="G203" s="118">
        <v>1</v>
      </c>
      <c r="H203" s="118">
        <v>12</v>
      </c>
      <c r="I203" s="118">
        <v>15</v>
      </c>
      <c r="J203" s="118">
        <v>110</v>
      </c>
      <c r="K203" s="118"/>
      <c r="L203" s="122">
        <v>-1.39</v>
      </c>
      <c r="M203" s="122">
        <v>7.0000000000000007E-2</v>
      </c>
      <c r="N203" s="118">
        <v>-2.38</v>
      </c>
      <c r="O203" s="123" t="s">
        <v>1747</v>
      </c>
    </row>
    <row r="204" spans="1:15" ht="57.6">
      <c r="A204" s="118" t="s">
        <v>2138</v>
      </c>
      <c r="B204" s="118" t="s">
        <v>1752</v>
      </c>
      <c r="C204" s="118" t="s">
        <v>1749</v>
      </c>
      <c r="D204" s="119">
        <v>43798</v>
      </c>
      <c r="E204" s="118" t="s">
        <v>2139</v>
      </c>
      <c r="F204" s="118" t="s">
        <v>1769</v>
      </c>
      <c r="G204" s="118">
        <v>4</v>
      </c>
      <c r="H204" s="118">
        <v>8</v>
      </c>
      <c r="I204" s="118">
        <v>11.2</v>
      </c>
      <c r="J204" s="118">
        <v>94.3</v>
      </c>
      <c r="K204" s="118"/>
      <c r="L204" s="122">
        <v>-1.33</v>
      </c>
      <c r="M204" s="122">
        <v>0.98</v>
      </c>
      <c r="N204" s="118">
        <v>-2.78</v>
      </c>
      <c r="O204" s="123" t="s">
        <v>1747</v>
      </c>
    </row>
    <row r="205" spans="1:15" ht="43.2">
      <c r="A205" s="118" t="s">
        <v>2140</v>
      </c>
      <c r="B205" s="118" t="s">
        <v>1752</v>
      </c>
      <c r="C205" s="118" t="s">
        <v>1779</v>
      </c>
      <c r="D205" s="119">
        <v>43215</v>
      </c>
      <c r="E205" s="118" t="s">
        <v>2141</v>
      </c>
      <c r="F205" s="118" t="s">
        <v>1769</v>
      </c>
      <c r="G205" s="118">
        <v>4</v>
      </c>
      <c r="H205" s="118">
        <v>1</v>
      </c>
      <c r="I205" s="118">
        <v>13.1</v>
      </c>
      <c r="J205" s="118">
        <v>102</v>
      </c>
      <c r="K205" s="118"/>
      <c r="L205" s="122">
        <v>-1.82</v>
      </c>
      <c r="M205" s="122">
        <v>-0.42</v>
      </c>
      <c r="N205" s="118">
        <v>-2.4300000000000002</v>
      </c>
      <c r="O205" s="123" t="s">
        <v>1747</v>
      </c>
    </row>
    <row r="206" spans="1:15" ht="43.2">
      <c r="A206" s="118" t="s">
        <v>2142</v>
      </c>
      <c r="B206" s="118" t="s">
        <v>1752</v>
      </c>
      <c r="C206" s="118" t="s">
        <v>1755</v>
      </c>
      <c r="D206" s="119">
        <v>44317</v>
      </c>
      <c r="E206" s="118" t="s">
        <v>2143</v>
      </c>
      <c r="F206" s="118" t="s">
        <v>1769</v>
      </c>
      <c r="G206" s="118">
        <v>4</v>
      </c>
      <c r="H206" s="118">
        <v>1</v>
      </c>
      <c r="I206" s="118">
        <v>2.2999999999999998</v>
      </c>
      <c r="J206" s="118">
        <v>47</v>
      </c>
      <c r="K206" s="118"/>
      <c r="L206" s="122">
        <v>-2.36</v>
      </c>
      <c r="M206" s="122">
        <v>-1.25</v>
      </c>
      <c r="N206" s="118">
        <v>-2.66</v>
      </c>
      <c r="O206" s="123" t="s">
        <v>1747</v>
      </c>
    </row>
    <row r="207" spans="1:15" ht="43.2">
      <c r="A207" s="118" t="s">
        <v>2144</v>
      </c>
      <c r="B207" s="118" t="s">
        <v>1752</v>
      </c>
      <c r="C207" s="118" t="s">
        <v>1786</v>
      </c>
      <c r="D207" s="119">
        <v>43530</v>
      </c>
      <c r="E207" s="118" t="s">
        <v>2145</v>
      </c>
      <c r="F207" s="118" t="s">
        <v>1769</v>
      </c>
      <c r="G207" s="118">
        <v>4</v>
      </c>
      <c r="H207" s="118">
        <v>3</v>
      </c>
      <c r="I207" s="118">
        <v>11</v>
      </c>
      <c r="J207" s="118">
        <v>91</v>
      </c>
      <c r="K207" s="118"/>
      <c r="L207" s="122">
        <v>-2.41</v>
      </c>
      <c r="M207" s="122">
        <v>-1.71</v>
      </c>
      <c r="N207" s="118">
        <v>-2.27</v>
      </c>
      <c r="O207" s="123" t="s">
        <v>1747</v>
      </c>
    </row>
    <row r="208" spans="1:15" ht="43.2">
      <c r="A208" s="118" t="s">
        <v>2146</v>
      </c>
      <c r="B208" s="118" t="s">
        <v>1743</v>
      </c>
      <c r="C208" s="118" t="s">
        <v>1779</v>
      </c>
      <c r="D208" s="119">
        <v>42888</v>
      </c>
      <c r="E208" s="118" t="s">
        <v>1771</v>
      </c>
      <c r="F208" s="118" t="s">
        <v>1769</v>
      </c>
      <c r="G208" s="118">
        <v>2</v>
      </c>
      <c r="H208" s="118">
        <v>8</v>
      </c>
      <c r="I208" s="118">
        <v>14.3</v>
      </c>
      <c r="J208" s="118">
        <v>106</v>
      </c>
      <c r="K208" s="118"/>
      <c r="L208" s="122">
        <v>-1.66</v>
      </c>
      <c r="M208" s="122">
        <v>-0.65</v>
      </c>
      <c r="N208" s="118">
        <v>-2.0099999999999998</v>
      </c>
      <c r="O208" s="123" t="s">
        <v>1747</v>
      </c>
    </row>
    <row r="209" spans="1:15" ht="43.2">
      <c r="A209" s="118" t="s">
        <v>2147</v>
      </c>
      <c r="B209" s="118" t="s">
        <v>1743</v>
      </c>
      <c r="C209" s="118" t="s">
        <v>1779</v>
      </c>
      <c r="D209" s="119">
        <v>43176</v>
      </c>
      <c r="E209" s="118" t="s">
        <v>2148</v>
      </c>
      <c r="F209" s="118" t="s">
        <v>1769</v>
      </c>
      <c r="G209" s="118">
        <v>4</v>
      </c>
      <c r="H209" s="118">
        <v>8</v>
      </c>
      <c r="I209" s="118">
        <v>13.2</v>
      </c>
      <c r="J209" s="118">
        <v>102.3</v>
      </c>
      <c r="K209" s="118"/>
      <c r="L209" s="122">
        <v>-1.64</v>
      </c>
      <c r="M209" s="122">
        <v>-0.4</v>
      </c>
      <c r="N209" s="118">
        <v>-2.11</v>
      </c>
      <c r="O209" s="123" t="s">
        <v>1747</v>
      </c>
    </row>
    <row r="210" spans="1:15" ht="43.2">
      <c r="A210" s="118" t="s">
        <v>2149</v>
      </c>
      <c r="B210" s="118" t="s">
        <v>1752</v>
      </c>
      <c r="C210" s="118" t="s">
        <v>1779</v>
      </c>
      <c r="D210" s="119">
        <v>43181</v>
      </c>
      <c r="E210" s="118" t="s">
        <v>2150</v>
      </c>
      <c r="F210" s="118" t="s">
        <v>1769</v>
      </c>
      <c r="G210" s="118">
        <v>7</v>
      </c>
      <c r="H210" s="118">
        <v>1</v>
      </c>
      <c r="I210" s="118">
        <v>13.2</v>
      </c>
      <c r="J210" s="118">
        <v>102</v>
      </c>
      <c r="K210" s="118"/>
      <c r="L210" s="122">
        <v>-1.85</v>
      </c>
      <c r="M210" s="122">
        <v>-0.57999999999999996</v>
      </c>
      <c r="N210" s="118">
        <v>-2.34</v>
      </c>
      <c r="O210" s="123" t="s">
        <v>1747</v>
      </c>
    </row>
    <row r="211" spans="1:15" ht="43.2">
      <c r="A211" s="118" t="s">
        <v>2151</v>
      </c>
      <c r="B211" s="118" t="s">
        <v>1752</v>
      </c>
      <c r="C211" s="118" t="s">
        <v>1779</v>
      </c>
      <c r="D211" s="119">
        <v>43189</v>
      </c>
      <c r="E211" s="118" t="s">
        <v>2152</v>
      </c>
      <c r="F211" s="118" t="s">
        <v>1769</v>
      </c>
      <c r="G211" s="118">
        <v>4</v>
      </c>
      <c r="H211" s="118">
        <v>1</v>
      </c>
      <c r="I211" s="118">
        <v>13.5</v>
      </c>
      <c r="J211" s="118">
        <v>102.6</v>
      </c>
      <c r="K211" s="118"/>
      <c r="L211" s="122">
        <v>-1.65</v>
      </c>
      <c r="M211" s="122">
        <v>-0.41</v>
      </c>
      <c r="N211" s="118">
        <v>-2.1800000000000002</v>
      </c>
      <c r="O211" s="123" t="s">
        <v>1747</v>
      </c>
    </row>
    <row r="212" spans="1:15" ht="43.2">
      <c r="A212" s="118" t="s">
        <v>2153</v>
      </c>
      <c r="B212" s="118" t="s">
        <v>1752</v>
      </c>
      <c r="C212" s="118" t="s">
        <v>1779</v>
      </c>
      <c r="D212" s="119">
        <v>43197</v>
      </c>
      <c r="E212" s="118" t="s">
        <v>2154</v>
      </c>
      <c r="F212" s="118" t="s">
        <v>1769</v>
      </c>
      <c r="G212" s="118">
        <v>8</v>
      </c>
      <c r="H212" s="118">
        <v>1</v>
      </c>
      <c r="I212" s="118">
        <v>12.9</v>
      </c>
      <c r="J212" s="118">
        <v>101.8</v>
      </c>
      <c r="K212" s="118"/>
      <c r="L212" s="122">
        <v>-1.99</v>
      </c>
      <c r="M212" s="122">
        <v>-0.56000000000000005</v>
      </c>
      <c r="N212" s="118">
        <v>-2.59</v>
      </c>
      <c r="O212" s="123" t="s">
        <v>1747</v>
      </c>
    </row>
    <row r="213" spans="1:15" ht="43.2">
      <c r="A213" s="118" t="s">
        <v>2155</v>
      </c>
      <c r="B213" s="118" t="s">
        <v>1752</v>
      </c>
      <c r="C213" s="118" t="s">
        <v>1779</v>
      </c>
      <c r="D213" s="119">
        <v>43205</v>
      </c>
      <c r="E213" s="118" t="s">
        <v>2156</v>
      </c>
      <c r="F213" s="118" t="s">
        <v>1769</v>
      </c>
      <c r="G213" s="118">
        <v>4</v>
      </c>
      <c r="H213" s="118">
        <v>12</v>
      </c>
      <c r="I213" s="118">
        <v>13</v>
      </c>
      <c r="J213" s="118">
        <v>102</v>
      </c>
      <c r="K213" s="118"/>
      <c r="L213" s="122">
        <v>-1.91</v>
      </c>
      <c r="M213" s="122">
        <v>-0.48</v>
      </c>
      <c r="N213" s="118">
        <v>-2.5299999999999998</v>
      </c>
      <c r="O213" s="123" t="s">
        <v>1747</v>
      </c>
    </row>
    <row r="214" spans="1:15" ht="43.2">
      <c r="A214" s="118" t="s">
        <v>2157</v>
      </c>
      <c r="B214" s="118" t="s">
        <v>1752</v>
      </c>
      <c r="C214" s="118" t="s">
        <v>1786</v>
      </c>
      <c r="D214" s="119">
        <v>43226</v>
      </c>
      <c r="E214" s="118" t="s">
        <v>2158</v>
      </c>
      <c r="F214" s="118" t="s">
        <v>1769</v>
      </c>
      <c r="G214" s="118">
        <v>1</v>
      </c>
      <c r="H214" s="118">
        <v>2</v>
      </c>
      <c r="I214" s="118">
        <v>13.2</v>
      </c>
      <c r="J214" s="118">
        <v>101.6</v>
      </c>
      <c r="K214" s="118"/>
      <c r="L214" s="122">
        <v>-1.74</v>
      </c>
      <c r="M214" s="122">
        <v>-0.49</v>
      </c>
      <c r="N214" s="118">
        <v>-2.25</v>
      </c>
      <c r="O214" s="123" t="s">
        <v>1747</v>
      </c>
    </row>
    <row r="215" spans="1:15" ht="43.2">
      <c r="A215" s="118" t="s">
        <v>2159</v>
      </c>
      <c r="B215" s="118" t="s">
        <v>1752</v>
      </c>
      <c r="C215" s="118" t="s">
        <v>1786</v>
      </c>
      <c r="D215" s="119">
        <v>43242</v>
      </c>
      <c r="E215" s="118" t="s">
        <v>1924</v>
      </c>
      <c r="F215" s="118" t="s">
        <v>1769</v>
      </c>
      <c r="G215" s="118">
        <v>4</v>
      </c>
      <c r="H215" s="118">
        <v>8</v>
      </c>
      <c r="I215" s="118">
        <v>13</v>
      </c>
      <c r="J215" s="118">
        <v>101</v>
      </c>
      <c r="K215" s="118"/>
      <c r="L215" s="122">
        <v>-1.82</v>
      </c>
      <c r="M215" s="122">
        <v>-0.56000000000000005</v>
      </c>
      <c r="N215" s="118">
        <v>-2.31</v>
      </c>
      <c r="O215" s="123" t="s">
        <v>1747</v>
      </c>
    </row>
    <row r="216" spans="1:15" ht="43.2">
      <c r="A216" s="118" t="s">
        <v>2160</v>
      </c>
      <c r="B216" s="118" t="s">
        <v>1752</v>
      </c>
      <c r="C216" s="118" t="s">
        <v>1786</v>
      </c>
      <c r="D216" s="119">
        <v>43245</v>
      </c>
      <c r="E216" s="118" t="s">
        <v>2161</v>
      </c>
      <c r="F216" s="118" t="s">
        <v>1769</v>
      </c>
      <c r="G216" s="118">
        <v>8</v>
      </c>
      <c r="H216" s="118">
        <v>1</v>
      </c>
      <c r="I216" s="118">
        <v>13.4</v>
      </c>
      <c r="J216" s="118">
        <v>102</v>
      </c>
      <c r="K216" s="118"/>
      <c r="L216" s="122">
        <v>-1.57</v>
      </c>
      <c r="M216" s="122">
        <v>-0.31</v>
      </c>
      <c r="N216" s="118">
        <v>-2.14</v>
      </c>
      <c r="O216" s="123" t="s">
        <v>1747</v>
      </c>
    </row>
    <row r="217" spans="1:15" ht="43.2">
      <c r="A217" s="118" t="s">
        <v>2162</v>
      </c>
      <c r="B217" s="118" t="s">
        <v>1743</v>
      </c>
      <c r="C217" s="118" t="s">
        <v>1786</v>
      </c>
      <c r="D217" s="119">
        <v>43267</v>
      </c>
      <c r="E217" s="118" t="s">
        <v>2163</v>
      </c>
      <c r="F217" s="118" t="s">
        <v>1769</v>
      </c>
      <c r="G217" s="118">
        <v>8</v>
      </c>
      <c r="H217" s="118">
        <v>12</v>
      </c>
      <c r="I217" s="118">
        <v>13.1</v>
      </c>
      <c r="J217" s="118">
        <v>101.6</v>
      </c>
      <c r="K217" s="118"/>
      <c r="L217" s="122">
        <v>-1.46</v>
      </c>
      <c r="M217" s="122">
        <v>-0.16</v>
      </c>
      <c r="N217" s="118">
        <v>-2.0499999999999998</v>
      </c>
      <c r="O217" s="123" t="s">
        <v>1747</v>
      </c>
    </row>
    <row r="218" spans="1:15" ht="43.2">
      <c r="A218" s="118" t="s">
        <v>2164</v>
      </c>
      <c r="B218" s="118" t="s">
        <v>1752</v>
      </c>
      <c r="C218" s="118" t="s">
        <v>1786</v>
      </c>
      <c r="D218" s="119">
        <v>43330</v>
      </c>
      <c r="E218" s="118" t="s">
        <v>2165</v>
      </c>
      <c r="F218" s="118" t="s">
        <v>1769</v>
      </c>
      <c r="G218" s="118">
        <v>1</v>
      </c>
      <c r="H218" s="118">
        <v>12</v>
      </c>
      <c r="I218" s="118">
        <v>12.6</v>
      </c>
      <c r="J218" s="118">
        <v>102.4</v>
      </c>
      <c r="K218" s="118"/>
      <c r="L218" s="122">
        <v>-1.86</v>
      </c>
      <c r="M218" s="122">
        <v>0.17</v>
      </c>
      <c r="N218" s="118">
        <v>-3.02</v>
      </c>
      <c r="O218" s="123" t="s">
        <v>1790</v>
      </c>
    </row>
    <row r="219" spans="1:15" ht="57.6">
      <c r="A219" s="118" t="s">
        <v>2166</v>
      </c>
      <c r="B219" s="118" t="s">
        <v>1752</v>
      </c>
      <c r="C219" s="118" t="s">
        <v>1744</v>
      </c>
      <c r="D219" s="119">
        <v>43952</v>
      </c>
      <c r="E219" s="118" t="s">
        <v>2097</v>
      </c>
      <c r="F219" s="118" t="s">
        <v>1769</v>
      </c>
      <c r="G219" s="118">
        <v>6</v>
      </c>
      <c r="H219" s="118">
        <v>5</v>
      </c>
      <c r="I219" s="118">
        <v>11.7</v>
      </c>
      <c r="J219" s="118">
        <v>73.599999999999994</v>
      </c>
      <c r="K219" s="118"/>
      <c r="L219" s="122">
        <v>-0.3</v>
      </c>
      <c r="M219" s="122">
        <v>-4.5999999999999996</v>
      </c>
      <c r="N219" s="118">
        <v>2.77</v>
      </c>
      <c r="O219" s="123" t="s">
        <v>2078</v>
      </c>
    </row>
    <row r="220" spans="1:15" ht="43.2">
      <c r="A220" s="118" t="s">
        <v>2167</v>
      </c>
      <c r="B220" s="118" t="s">
        <v>1752</v>
      </c>
      <c r="C220" s="118" t="s">
        <v>1744</v>
      </c>
      <c r="D220" s="119">
        <v>43952</v>
      </c>
      <c r="E220" s="118" t="s">
        <v>2099</v>
      </c>
      <c r="F220" s="118" t="s">
        <v>1769</v>
      </c>
      <c r="G220" s="118">
        <v>9</v>
      </c>
      <c r="H220" s="118">
        <v>5</v>
      </c>
      <c r="I220" s="118">
        <v>11.4</v>
      </c>
      <c r="J220" s="118">
        <v>73.2</v>
      </c>
      <c r="K220" s="118"/>
      <c r="L220" s="122">
        <v>-0.52</v>
      </c>
      <c r="M220" s="122">
        <v>-4.74</v>
      </c>
      <c r="N220" s="118">
        <v>2.58</v>
      </c>
      <c r="O220" s="123" t="s">
        <v>2078</v>
      </c>
    </row>
    <row r="221" spans="1:15" ht="43.2">
      <c r="A221" s="118" t="s">
        <v>2168</v>
      </c>
      <c r="B221" s="118" t="s">
        <v>1752</v>
      </c>
      <c r="C221" s="118" t="s">
        <v>1744</v>
      </c>
      <c r="D221" s="119">
        <v>44027</v>
      </c>
      <c r="E221" s="118" t="s">
        <v>2169</v>
      </c>
      <c r="F221" s="118" t="s">
        <v>1769</v>
      </c>
      <c r="G221" s="118">
        <v>6</v>
      </c>
      <c r="H221" s="118">
        <v>2</v>
      </c>
      <c r="I221" s="118">
        <v>12</v>
      </c>
      <c r="J221" s="118">
        <v>73.2</v>
      </c>
      <c r="K221" s="118"/>
      <c r="L221" s="122">
        <v>0.3</v>
      </c>
      <c r="M221" s="122">
        <v>-4.22</v>
      </c>
      <c r="N221" s="118">
        <v>3.16</v>
      </c>
      <c r="O221" s="123" t="s">
        <v>2170</v>
      </c>
    </row>
    <row r="222" spans="1:15" ht="43.2">
      <c r="A222" s="118" t="s">
        <v>2171</v>
      </c>
      <c r="B222" s="118" t="s">
        <v>1752</v>
      </c>
      <c r="C222" s="118" t="s">
        <v>1744</v>
      </c>
      <c r="D222" s="119">
        <v>44035</v>
      </c>
      <c r="E222" s="118" t="s">
        <v>2172</v>
      </c>
      <c r="F222" s="118" t="s">
        <v>1769</v>
      </c>
      <c r="G222" s="118">
        <v>1</v>
      </c>
      <c r="H222" s="118">
        <v>12</v>
      </c>
      <c r="I222" s="118">
        <v>11.9</v>
      </c>
      <c r="J222" s="118">
        <v>73.099999999999994</v>
      </c>
      <c r="K222" s="118"/>
      <c r="L222" s="122">
        <v>0.26</v>
      </c>
      <c r="M222" s="122">
        <v>-4.1900000000000004</v>
      </c>
      <c r="N222" s="118">
        <v>3.09</v>
      </c>
      <c r="O222" s="123" t="s">
        <v>2170</v>
      </c>
    </row>
    <row r="223" spans="1:15" ht="43.2">
      <c r="A223" s="118" t="s">
        <v>2173</v>
      </c>
      <c r="B223" s="118" t="s">
        <v>1752</v>
      </c>
      <c r="C223" s="118" t="s">
        <v>1744</v>
      </c>
      <c r="D223" s="119">
        <v>44048</v>
      </c>
      <c r="E223" s="118" t="s">
        <v>2174</v>
      </c>
      <c r="F223" s="118" t="s">
        <v>1769</v>
      </c>
      <c r="G223" s="118">
        <v>1</v>
      </c>
      <c r="H223" s="118">
        <v>12</v>
      </c>
      <c r="I223" s="118">
        <v>11</v>
      </c>
      <c r="J223" s="118">
        <v>74.2</v>
      </c>
      <c r="K223" s="118"/>
      <c r="L223" s="122">
        <v>-0.37</v>
      </c>
      <c r="M223" s="122">
        <v>-3.71</v>
      </c>
      <c r="N223" s="118">
        <v>1.92</v>
      </c>
      <c r="O223" s="123" t="s">
        <v>1757</v>
      </c>
    </row>
    <row r="224" spans="1:15" ht="43.2">
      <c r="A224" s="118" t="s">
        <v>2175</v>
      </c>
      <c r="B224" s="118" t="s">
        <v>1752</v>
      </c>
      <c r="C224" s="118" t="s">
        <v>1786</v>
      </c>
      <c r="D224" s="119">
        <v>43343</v>
      </c>
      <c r="E224" s="118" t="s">
        <v>2093</v>
      </c>
      <c r="F224" s="118" t="s">
        <v>1769</v>
      </c>
      <c r="G224" s="118">
        <v>1</v>
      </c>
      <c r="H224" s="118">
        <v>12</v>
      </c>
      <c r="I224" s="118">
        <v>13.3</v>
      </c>
      <c r="J224" s="118">
        <v>102.2</v>
      </c>
      <c r="K224" s="118"/>
      <c r="L224" s="122">
        <v>-1.39</v>
      </c>
      <c r="M224" s="122">
        <v>0.18</v>
      </c>
      <c r="N224" s="118">
        <v>-2.2799999999999998</v>
      </c>
      <c r="O224" s="123" t="s">
        <v>1747</v>
      </c>
    </row>
    <row r="225" spans="1:15" ht="43.2">
      <c r="A225" s="118" t="s">
        <v>2176</v>
      </c>
      <c r="B225" s="118" t="s">
        <v>1752</v>
      </c>
      <c r="C225" s="118" t="s">
        <v>1786</v>
      </c>
      <c r="D225" s="119">
        <v>43353</v>
      </c>
      <c r="E225" s="118" t="s">
        <v>2177</v>
      </c>
      <c r="F225" s="118" t="s">
        <v>1769</v>
      </c>
      <c r="G225" s="118">
        <v>7</v>
      </c>
      <c r="H225" s="118">
        <v>1</v>
      </c>
      <c r="I225" s="118">
        <v>13.4</v>
      </c>
      <c r="J225" s="118">
        <v>101.6</v>
      </c>
      <c r="K225" s="118"/>
      <c r="L225" s="122">
        <v>-1.3</v>
      </c>
      <c r="M225" s="122">
        <v>0.08</v>
      </c>
      <c r="N225" s="118">
        <v>-2.0499999999999998</v>
      </c>
      <c r="O225" s="123" t="s">
        <v>1747</v>
      </c>
    </row>
    <row r="226" spans="1:15" ht="43.2">
      <c r="A226" s="118" t="s">
        <v>2178</v>
      </c>
      <c r="B226" s="118" t="s">
        <v>1743</v>
      </c>
      <c r="C226" s="118" t="s">
        <v>1786</v>
      </c>
      <c r="D226" s="119">
        <v>43367</v>
      </c>
      <c r="E226" s="118" t="s">
        <v>2179</v>
      </c>
      <c r="F226" s="118" t="s">
        <v>1774</v>
      </c>
      <c r="G226" s="118">
        <v>1</v>
      </c>
      <c r="H226" s="118">
        <v>1</v>
      </c>
      <c r="I226" s="118">
        <v>12.7</v>
      </c>
      <c r="J226" s="118">
        <v>101.7</v>
      </c>
      <c r="K226" s="118"/>
      <c r="L226" s="122">
        <v>-1.44</v>
      </c>
      <c r="M226" s="122">
        <v>0.34</v>
      </c>
      <c r="N226" s="118">
        <v>-2.44</v>
      </c>
      <c r="O226" s="123" t="s">
        <v>1747</v>
      </c>
    </row>
    <row r="227" spans="1:15" ht="43.2">
      <c r="A227" s="118" t="s">
        <v>2180</v>
      </c>
      <c r="B227" s="118" t="s">
        <v>1752</v>
      </c>
      <c r="C227" s="118" t="s">
        <v>1786</v>
      </c>
      <c r="D227" s="119">
        <v>43382</v>
      </c>
      <c r="E227" s="118" t="s">
        <v>2181</v>
      </c>
      <c r="F227" s="118" t="s">
        <v>1777</v>
      </c>
      <c r="G227" s="118">
        <v>9</v>
      </c>
      <c r="H227" s="118">
        <v>8</v>
      </c>
      <c r="I227" s="118">
        <v>13.1</v>
      </c>
      <c r="J227" s="118">
        <v>102</v>
      </c>
      <c r="K227" s="118"/>
      <c r="L227" s="122">
        <v>-1.41</v>
      </c>
      <c r="M227" s="122">
        <v>0.32</v>
      </c>
      <c r="N227" s="118">
        <v>-2.4300000000000002</v>
      </c>
      <c r="O227" s="123" t="s">
        <v>1747</v>
      </c>
    </row>
    <row r="228" spans="1:15" ht="43.2">
      <c r="A228" s="118" t="s">
        <v>2182</v>
      </c>
      <c r="B228" s="118" t="s">
        <v>1752</v>
      </c>
      <c r="C228" s="118" t="s">
        <v>1786</v>
      </c>
      <c r="D228" s="119">
        <v>43407</v>
      </c>
      <c r="E228" s="118" t="s">
        <v>2011</v>
      </c>
      <c r="F228" s="118" t="s">
        <v>1777</v>
      </c>
      <c r="G228" s="118">
        <v>1</v>
      </c>
      <c r="H228" s="118">
        <v>9</v>
      </c>
      <c r="I228" s="118">
        <v>12.7</v>
      </c>
      <c r="J228" s="118">
        <v>101.1</v>
      </c>
      <c r="K228" s="118"/>
      <c r="L228" s="122">
        <v>-1.59</v>
      </c>
      <c r="M228" s="122">
        <v>0.22</v>
      </c>
      <c r="N228" s="118">
        <v>-2.63</v>
      </c>
      <c r="O228" s="123" t="s">
        <v>1747</v>
      </c>
    </row>
    <row r="229" spans="1:15" ht="43.2">
      <c r="A229" s="118" t="s">
        <v>2183</v>
      </c>
      <c r="B229" s="118" t="s">
        <v>1743</v>
      </c>
      <c r="C229" s="118" t="s">
        <v>1786</v>
      </c>
      <c r="D229" s="119">
        <v>43418</v>
      </c>
      <c r="E229" s="118" t="s">
        <v>2019</v>
      </c>
      <c r="F229" s="118" t="s">
        <v>1777</v>
      </c>
      <c r="G229" s="118">
        <v>1</v>
      </c>
      <c r="H229" s="118">
        <v>15</v>
      </c>
      <c r="I229" s="118">
        <v>12.9</v>
      </c>
      <c r="J229" s="118">
        <v>101</v>
      </c>
      <c r="K229" s="118"/>
      <c r="L229" s="122">
        <v>-1.17</v>
      </c>
      <c r="M229" s="122">
        <v>0.44</v>
      </c>
      <c r="N229" s="118">
        <v>-2.1</v>
      </c>
      <c r="O229" s="123" t="s">
        <v>1747</v>
      </c>
    </row>
    <row r="230" spans="1:15" ht="43.2">
      <c r="A230" s="118" t="s">
        <v>2184</v>
      </c>
      <c r="B230" s="118" t="s">
        <v>1743</v>
      </c>
      <c r="C230" s="118" t="s">
        <v>1749</v>
      </c>
      <c r="D230" s="119">
        <v>43626</v>
      </c>
      <c r="E230" s="118" t="s">
        <v>2111</v>
      </c>
      <c r="F230" s="118" t="s">
        <v>1777</v>
      </c>
      <c r="G230" s="118">
        <v>8</v>
      </c>
      <c r="H230" s="118">
        <v>5</v>
      </c>
      <c r="I230" s="118">
        <v>11</v>
      </c>
      <c r="J230" s="118">
        <v>93.2</v>
      </c>
      <c r="K230" s="118"/>
      <c r="L230" s="122">
        <v>-1.79</v>
      </c>
      <c r="M230" s="122">
        <v>-0.39</v>
      </c>
      <c r="N230" s="118">
        <v>-2.33</v>
      </c>
      <c r="O230" s="123" t="s">
        <v>1747</v>
      </c>
    </row>
    <row r="231" spans="1:15" ht="43.2">
      <c r="A231" s="118" t="s">
        <v>2185</v>
      </c>
      <c r="B231" s="118" t="s">
        <v>1752</v>
      </c>
      <c r="C231" s="118" t="s">
        <v>1749</v>
      </c>
      <c r="D231" s="119">
        <v>43640</v>
      </c>
      <c r="E231" s="118" t="s">
        <v>2021</v>
      </c>
      <c r="F231" s="118" t="s">
        <v>1777</v>
      </c>
      <c r="G231" s="118">
        <v>7</v>
      </c>
      <c r="H231" s="118">
        <v>10</v>
      </c>
      <c r="I231" s="118">
        <v>11.2</v>
      </c>
      <c r="J231" s="118">
        <v>94</v>
      </c>
      <c r="K231" s="118"/>
      <c r="L231" s="122">
        <v>-1.97</v>
      </c>
      <c r="M231" s="122">
        <v>-0.39</v>
      </c>
      <c r="N231" s="118">
        <v>-2.71</v>
      </c>
      <c r="O231" s="123" t="s">
        <v>1747</v>
      </c>
    </row>
    <row r="232" spans="1:15" ht="43.2">
      <c r="A232" s="118" t="s">
        <v>2186</v>
      </c>
      <c r="B232" s="118" t="s">
        <v>1752</v>
      </c>
      <c r="C232" s="118" t="s">
        <v>1749</v>
      </c>
      <c r="D232" s="119">
        <v>43674</v>
      </c>
      <c r="E232" s="118" t="s">
        <v>1776</v>
      </c>
      <c r="F232" s="118" t="s">
        <v>1777</v>
      </c>
      <c r="G232" s="118">
        <v>1</v>
      </c>
      <c r="H232" s="118">
        <v>2</v>
      </c>
      <c r="I232" s="118">
        <v>11.8</v>
      </c>
      <c r="J232" s="118">
        <v>94.3</v>
      </c>
      <c r="K232" s="118"/>
      <c r="L232" s="122">
        <v>-1.42</v>
      </c>
      <c r="M232" s="122">
        <v>-0.1</v>
      </c>
      <c r="N232" s="118">
        <v>-2.09</v>
      </c>
      <c r="O232" s="123" t="s">
        <v>1747</v>
      </c>
    </row>
    <row r="233" spans="1:15" ht="57.6">
      <c r="A233" s="118" t="s">
        <v>2187</v>
      </c>
      <c r="B233" s="118" t="s">
        <v>1752</v>
      </c>
      <c r="C233" s="118" t="s">
        <v>1749</v>
      </c>
      <c r="D233" s="119">
        <v>43707</v>
      </c>
      <c r="E233" s="118" t="s">
        <v>2107</v>
      </c>
      <c r="F233" s="118" t="s">
        <v>1777</v>
      </c>
      <c r="G233" s="118">
        <v>4</v>
      </c>
      <c r="H233" s="118">
        <v>2</v>
      </c>
      <c r="I233" s="118">
        <v>11.5</v>
      </c>
      <c r="J233" s="118">
        <v>94.3</v>
      </c>
      <c r="K233" s="118"/>
      <c r="L233" s="122">
        <v>-1.53</v>
      </c>
      <c r="M233" s="122">
        <v>0.11</v>
      </c>
      <c r="N233" s="118">
        <v>-2.4300000000000002</v>
      </c>
      <c r="O233" s="123" t="s">
        <v>1747</v>
      </c>
    </row>
    <row r="234" spans="1:15" ht="43.2">
      <c r="A234" s="118" t="s">
        <v>2188</v>
      </c>
      <c r="B234" s="118" t="s">
        <v>1743</v>
      </c>
      <c r="C234" s="118" t="s">
        <v>1749</v>
      </c>
      <c r="D234" s="119">
        <v>43748</v>
      </c>
      <c r="E234" s="118" t="s">
        <v>2189</v>
      </c>
      <c r="F234" s="118" t="s">
        <v>2190</v>
      </c>
      <c r="G234" s="118">
        <v>2</v>
      </c>
      <c r="H234" s="118">
        <v>5</v>
      </c>
      <c r="I234" s="118">
        <v>11.5</v>
      </c>
      <c r="J234" s="118">
        <v>94.3</v>
      </c>
      <c r="K234" s="118"/>
      <c r="L234" s="122">
        <v>-0.98</v>
      </c>
      <c r="M234" s="122">
        <v>0.7</v>
      </c>
      <c r="N234" s="118">
        <v>-2.0299999999999998</v>
      </c>
      <c r="O234" s="123" t="s">
        <v>1747</v>
      </c>
    </row>
    <row r="235" spans="1:15" ht="43.2">
      <c r="A235" s="118" t="s">
        <v>2191</v>
      </c>
      <c r="B235" s="118" t="s">
        <v>1752</v>
      </c>
      <c r="C235" s="118" t="s">
        <v>1749</v>
      </c>
      <c r="D235" s="119">
        <v>43758</v>
      </c>
      <c r="E235" s="118" t="s">
        <v>2192</v>
      </c>
      <c r="F235" s="118" t="s">
        <v>2190</v>
      </c>
      <c r="G235" s="118">
        <v>1</v>
      </c>
      <c r="H235" s="118">
        <v>1</v>
      </c>
      <c r="I235" s="118">
        <v>11.3</v>
      </c>
      <c r="J235" s="118">
        <v>93.2</v>
      </c>
      <c r="K235" s="118"/>
      <c r="L235" s="122">
        <v>-1.51</v>
      </c>
      <c r="M235" s="122">
        <v>0.13</v>
      </c>
      <c r="N235" s="118">
        <v>-2.42</v>
      </c>
      <c r="O235" s="123" t="s">
        <v>1747</v>
      </c>
    </row>
    <row r="236" spans="1:15" ht="43.2">
      <c r="A236" s="118" t="s">
        <v>2193</v>
      </c>
      <c r="B236" s="118" t="s">
        <v>1752</v>
      </c>
      <c r="C236" s="118" t="s">
        <v>1749</v>
      </c>
      <c r="D236" s="119">
        <v>43782</v>
      </c>
      <c r="E236" s="118" t="s">
        <v>2194</v>
      </c>
      <c r="F236" s="118" t="s">
        <v>2190</v>
      </c>
      <c r="G236" s="118">
        <v>3</v>
      </c>
      <c r="H236" s="118">
        <v>5</v>
      </c>
      <c r="I236" s="118">
        <v>11.6</v>
      </c>
      <c r="J236" s="118">
        <v>94</v>
      </c>
      <c r="K236" s="118"/>
      <c r="L236" s="122">
        <v>-1.2</v>
      </c>
      <c r="M236" s="122">
        <v>0.53</v>
      </c>
      <c r="N236" s="118">
        <v>-2.25</v>
      </c>
      <c r="O236" s="123" t="s">
        <v>1747</v>
      </c>
    </row>
    <row r="237" spans="1:15" ht="43.2">
      <c r="A237" s="118" t="s">
        <v>2195</v>
      </c>
      <c r="B237" s="118" t="s">
        <v>1752</v>
      </c>
      <c r="C237" s="118" t="s">
        <v>1749</v>
      </c>
      <c r="D237" s="119">
        <v>43788</v>
      </c>
      <c r="E237" s="118" t="s">
        <v>2196</v>
      </c>
      <c r="F237" s="118" t="s">
        <v>1781</v>
      </c>
      <c r="G237" s="118">
        <v>3</v>
      </c>
      <c r="H237" s="118">
        <v>2</v>
      </c>
      <c r="I237" s="118">
        <v>11.5</v>
      </c>
      <c r="J237" s="118">
        <v>93.1</v>
      </c>
      <c r="K237" s="118"/>
      <c r="L237" s="122">
        <v>-1.25</v>
      </c>
      <c r="M237" s="122">
        <v>0.31</v>
      </c>
      <c r="N237" s="118">
        <v>-2.16</v>
      </c>
      <c r="O237" s="123" t="s">
        <v>1747</v>
      </c>
    </row>
    <row r="238" spans="1:15" ht="43.2">
      <c r="A238" s="118" t="s">
        <v>2197</v>
      </c>
      <c r="B238" s="118" t="s">
        <v>1743</v>
      </c>
      <c r="C238" s="118" t="s">
        <v>1749</v>
      </c>
      <c r="D238" s="119">
        <v>43802</v>
      </c>
      <c r="E238" s="118" t="s">
        <v>2119</v>
      </c>
      <c r="F238" s="118" t="s">
        <v>1781</v>
      </c>
      <c r="G238" s="118">
        <v>2</v>
      </c>
      <c r="H238" s="118">
        <v>2</v>
      </c>
      <c r="I238" s="118">
        <v>11</v>
      </c>
      <c r="J238" s="118">
        <v>94</v>
      </c>
      <c r="K238" s="118"/>
      <c r="L238" s="122">
        <v>-1.1299999999999999</v>
      </c>
      <c r="M238" s="122">
        <v>1.02</v>
      </c>
      <c r="N238" s="118">
        <v>-2.5</v>
      </c>
      <c r="O238" s="123" t="s">
        <v>1747</v>
      </c>
    </row>
    <row r="239" spans="1:15" ht="28.8">
      <c r="A239" s="118" t="s">
        <v>2198</v>
      </c>
      <c r="B239" s="118" t="s">
        <v>1743</v>
      </c>
      <c r="C239" s="118" t="s">
        <v>1755</v>
      </c>
      <c r="D239" s="119">
        <v>44551</v>
      </c>
      <c r="E239" s="118" t="s">
        <v>1802</v>
      </c>
      <c r="F239" s="118" t="s">
        <v>1784</v>
      </c>
      <c r="G239" s="118">
        <v>3</v>
      </c>
      <c r="H239" s="118">
        <v>7</v>
      </c>
      <c r="I239" s="118">
        <v>5.5</v>
      </c>
      <c r="J239" s="118">
        <v>63</v>
      </c>
      <c r="K239" s="118"/>
      <c r="L239" s="122">
        <v>-1.89</v>
      </c>
      <c r="M239" s="122">
        <v>-0.51</v>
      </c>
      <c r="N239" s="118">
        <v>-2.09</v>
      </c>
      <c r="O239" s="123" t="s">
        <v>1747</v>
      </c>
    </row>
    <row r="240" spans="1:15" ht="28.8">
      <c r="A240" s="118" t="s">
        <v>2199</v>
      </c>
      <c r="B240" s="118" t="s">
        <v>1743</v>
      </c>
      <c r="C240" s="118" t="s">
        <v>1744</v>
      </c>
      <c r="D240" s="119">
        <v>44215</v>
      </c>
      <c r="E240" s="118" t="s">
        <v>2036</v>
      </c>
      <c r="F240" s="118" t="s">
        <v>1784</v>
      </c>
      <c r="G240" s="118">
        <v>2</v>
      </c>
      <c r="H240" s="118">
        <v>4</v>
      </c>
      <c r="I240" s="118">
        <v>8</v>
      </c>
      <c r="J240" s="118">
        <v>85</v>
      </c>
      <c r="K240" s="118"/>
      <c r="L240" s="122">
        <v>-1.71</v>
      </c>
      <c r="M240" s="122">
        <v>2.27</v>
      </c>
      <c r="N240" s="118">
        <v>-3.94</v>
      </c>
      <c r="O240" s="123" t="s">
        <v>1790</v>
      </c>
    </row>
    <row r="241" spans="1:15" ht="28.8">
      <c r="A241" s="118" t="s">
        <v>2200</v>
      </c>
      <c r="B241" s="118" t="s">
        <v>1752</v>
      </c>
      <c r="C241" s="118" t="s">
        <v>1744</v>
      </c>
      <c r="D241" s="119">
        <v>43966</v>
      </c>
      <c r="E241" s="118" t="s">
        <v>1798</v>
      </c>
      <c r="F241" s="118" t="s">
        <v>1784</v>
      </c>
      <c r="G241" s="118">
        <v>4</v>
      </c>
      <c r="H241" s="118">
        <v>5</v>
      </c>
      <c r="I241" s="118">
        <v>9.8000000000000007</v>
      </c>
      <c r="J241" s="118">
        <v>90</v>
      </c>
      <c r="K241" s="118"/>
      <c r="L241" s="122">
        <v>-1.91</v>
      </c>
      <c r="M241" s="122">
        <v>0.65</v>
      </c>
      <c r="N241" s="118">
        <v>-3.37</v>
      </c>
      <c r="O241" s="123" t="s">
        <v>1790</v>
      </c>
    </row>
    <row r="242" spans="1:15" ht="86.4">
      <c r="A242" s="118" t="s">
        <v>2201</v>
      </c>
      <c r="B242" s="118" t="s">
        <v>1743</v>
      </c>
      <c r="C242" s="118" t="s">
        <v>1744</v>
      </c>
      <c r="D242" s="119">
        <v>44117</v>
      </c>
      <c r="E242" s="118" t="s">
        <v>2202</v>
      </c>
      <c r="F242" s="118" t="s">
        <v>1784</v>
      </c>
      <c r="G242" s="118">
        <v>2</v>
      </c>
      <c r="H242" s="118">
        <v>4</v>
      </c>
      <c r="I242" s="118">
        <v>8</v>
      </c>
      <c r="J242" s="118">
        <v>80</v>
      </c>
      <c r="K242" s="118"/>
      <c r="L242" s="122">
        <v>-2.27</v>
      </c>
      <c r="M242" s="122">
        <v>-0.63</v>
      </c>
      <c r="N242" s="118">
        <v>-2.71</v>
      </c>
      <c r="O242" s="123" t="s">
        <v>1747</v>
      </c>
    </row>
    <row r="243" spans="1:15" ht="28.8">
      <c r="A243" s="118" t="s">
        <v>2203</v>
      </c>
      <c r="B243" s="118" t="s">
        <v>1752</v>
      </c>
      <c r="C243" s="118" t="s">
        <v>1744</v>
      </c>
      <c r="D243" s="119">
        <v>43950</v>
      </c>
      <c r="E243" s="118" t="s">
        <v>1813</v>
      </c>
      <c r="F243" s="118" t="s">
        <v>1746</v>
      </c>
      <c r="G243" s="118">
        <v>1</v>
      </c>
      <c r="H243" s="118">
        <v>2</v>
      </c>
      <c r="I243" s="118">
        <v>9</v>
      </c>
      <c r="J243" s="118">
        <v>81</v>
      </c>
      <c r="K243" s="118"/>
      <c r="L243" s="122">
        <v>-2.72</v>
      </c>
      <c r="M243" s="122">
        <v>-2.38</v>
      </c>
      <c r="N243" s="118">
        <v>-2.0699999999999998</v>
      </c>
      <c r="O243" s="123" t="s">
        <v>1747</v>
      </c>
    </row>
    <row r="244" spans="1:15" ht="28.8">
      <c r="A244" s="118" t="s">
        <v>2204</v>
      </c>
      <c r="B244" s="118" t="s">
        <v>1752</v>
      </c>
      <c r="C244" s="118" t="s">
        <v>1779</v>
      </c>
      <c r="D244" s="119">
        <v>43153</v>
      </c>
      <c r="E244" s="118" t="s">
        <v>2205</v>
      </c>
      <c r="F244" s="118" t="s">
        <v>1746</v>
      </c>
      <c r="G244" s="118">
        <v>1</v>
      </c>
      <c r="H244" s="118">
        <v>6</v>
      </c>
      <c r="I244" s="118">
        <v>13.4</v>
      </c>
      <c r="J244" s="118">
        <v>102</v>
      </c>
      <c r="K244" s="118"/>
      <c r="L244" s="122">
        <v>-1.78</v>
      </c>
      <c r="M244" s="122">
        <v>-0.68</v>
      </c>
      <c r="N244" s="118">
        <v>-2.14</v>
      </c>
      <c r="O244" s="123" t="s">
        <v>1747</v>
      </c>
    </row>
    <row r="245" spans="1:15" ht="43.2">
      <c r="A245" s="118" t="s">
        <v>2206</v>
      </c>
      <c r="B245" s="118" t="s">
        <v>1752</v>
      </c>
      <c r="C245" s="118" t="s">
        <v>1779</v>
      </c>
      <c r="D245" s="119">
        <v>43155</v>
      </c>
      <c r="E245" s="118" t="s">
        <v>2207</v>
      </c>
      <c r="F245" s="118" t="s">
        <v>1746</v>
      </c>
      <c r="G245" s="118">
        <v>7</v>
      </c>
      <c r="H245" s="118">
        <v>7</v>
      </c>
      <c r="I245" s="118">
        <v>12.6</v>
      </c>
      <c r="J245" s="118">
        <v>102</v>
      </c>
      <c r="K245" s="118"/>
      <c r="L245" s="122">
        <v>-2.27</v>
      </c>
      <c r="M245" s="122">
        <v>-0.67</v>
      </c>
      <c r="N245" s="118">
        <v>-2.94</v>
      </c>
      <c r="O245" s="123" t="s">
        <v>1747</v>
      </c>
    </row>
    <row r="246" spans="1:15" ht="43.2">
      <c r="A246" s="118" t="s">
        <v>2208</v>
      </c>
      <c r="B246" s="118" t="s">
        <v>1752</v>
      </c>
      <c r="C246" s="118" t="s">
        <v>1779</v>
      </c>
      <c r="D246" s="119">
        <v>43169</v>
      </c>
      <c r="E246" s="118" t="s">
        <v>2129</v>
      </c>
      <c r="F246" s="118" t="s">
        <v>1746</v>
      </c>
      <c r="G246" s="118">
        <v>6</v>
      </c>
      <c r="H246" s="118">
        <v>1</v>
      </c>
      <c r="I246" s="118">
        <v>12.4</v>
      </c>
      <c r="J246" s="118">
        <v>102</v>
      </c>
      <c r="K246" s="118"/>
      <c r="L246" s="122">
        <v>-2.37</v>
      </c>
      <c r="M246" s="122">
        <v>-0.62</v>
      </c>
      <c r="N246" s="118">
        <v>-3.14</v>
      </c>
      <c r="O246" s="123" t="s">
        <v>1790</v>
      </c>
    </row>
    <row r="247" spans="1:15" ht="28.8">
      <c r="A247" s="118" t="s">
        <v>2209</v>
      </c>
      <c r="B247" s="118" t="s">
        <v>1752</v>
      </c>
      <c r="C247" s="118" t="s">
        <v>1779</v>
      </c>
      <c r="D247" s="119">
        <v>43208</v>
      </c>
      <c r="E247" s="118" t="s">
        <v>2131</v>
      </c>
      <c r="F247" s="118" t="s">
        <v>1746</v>
      </c>
      <c r="G247" s="118">
        <v>5</v>
      </c>
      <c r="H247" s="118">
        <v>3</v>
      </c>
      <c r="I247" s="118">
        <v>12.6</v>
      </c>
      <c r="J247" s="118">
        <v>103</v>
      </c>
      <c r="K247" s="118"/>
      <c r="L247" s="122">
        <v>-2.15</v>
      </c>
      <c r="M247" s="122">
        <v>-0.22</v>
      </c>
      <c r="N247" s="118">
        <v>-3.15</v>
      </c>
      <c r="O247" s="123" t="s">
        <v>1790</v>
      </c>
    </row>
    <row r="248" spans="1:15" ht="28.8">
      <c r="A248" s="118" t="s">
        <v>2210</v>
      </c>
      <c r="B248" s="118" t="s">
        <v>1752</v>
      </c>
      <c r="C248" s="118" t="s">
        <v>1786</v>
      </c>
      <c r="D248" s="119">
        <v>43263</v>
      </c>
      <c r="E248" s="118" t="s">
        <v>2211</v>
      </c>
      <c r="F248" s="118" t="s">
        <v>1746</v>
      </c>
      <c r="G248" s="118">
        <v>1</v>
      </c>
      <c r="H248" s="118">
        <v>6</v>
      </c>
      <c r="I248" s="118">
        <v>13</v>
      </c>
      <c r="J248" s="118">
        <v>102</v>
      </c>
      <c r="K248" s="118"/>
      <c r="L248" s="122">
        <v>-1.76</v>
      </c>
      <c r="M248" s="122">
        <v>-0.22</v>
      </c>
      <c r="N248" s="118">
        <v>-2.5299999999999998</v>
      </c>
      <c r="O248" s="123" t="s">
        <v>1747</v>
      </c>
    </row>
    <row r="249" spans="1:15" ht="28.8">
      <c r="A249" s="118" t="s">
        <v>2212</v>
      </c>
      <c r="B249" s="118" t="s">
        <v>1743</v>
      </c>
      <c r="C249" s="118" t="s">
        <v>1786</v>
      </c>
      <c r="D249" s="119">
        <v>43266</v>
      </c>
      <c r="E249" s="118" t="s">
        <v>2213</v>
      </c>
      <c r="F249" s="118" t="s">
        <v>1746</v>
      </c>
      <c r="G249" s="118">
        <v>2</v>
      </c>
      <c r="H249" s="118">
        <v>7</v>
      </c>
      <c r="I249" s="118">
        <v>12.7</v>
      </c>
      <c r="J249" s="118">
        <v>103</v>
      </c>
      <c r="K249" s="118"/>
      <c r="L249" s="122">
        <v>-1.7</v>
      </c>
      <c r="M249" s="122">
        <v>0.18</v>
      </c>
      <c r="N249" s="118">
        <v>-2.73</v>
      </c>
      <c r="O249" s="123" t="s">
        <v>1747</v>
      </c>
    </row>
    <row r="250" spans="1:15" ht="28.8">
      <c r="A250" s="118" t="s">
        <v>2214</v>
      </c>
      <c r="B250" s="118" t="s">
        <v>1752</v>
      </c>
      <c r="C250" s="118" t="s">
        <v>1786</v>
      </c>
      <c r="D250" s="119">
        <v>43274</v>
      </c>
      <c r="E250" s="118" t="s">
        <v>2215</v>
      </c>
      <c r="F250" s="118" t="s">
        <v>1746</v>
      </c>
      <c r="G250" s="118">
        <v>2</v>
      </c>
      <c r="H250" s="118">
        <v>7</v>
      </c>
      <c r="I250" s="118">
        <v>13.1</v>
      </c>
      <c r="J250" s="118">
        <v>103</v>
      </c>
      <c r="K250" s="118"/>
      <c r="L250" s="122">
        <v>-1.67</v>
      </c>
      <c r="M250" s="122">
        <v>7.0000000000000007E-2</v>
      </c>
      <c r="N250" s="118">
        <v>-2.66</v>
      </c>
      <c r="O250" s="123" t="s">
        <v>1747</v>
      </c>
    </row>
    <row r="251" spans="1:15" ht="28.8">
      <c r="A251" s="118" t="s">
        <v>2216</v>
      </c>
      <c r="B251" s="118" t="s">
        <v>1743</v>
      </c>
      <c r="C251" s="118" t="s">
        <v>1786</v>
      </c>
      <c r="D251" s="119">
        <v>43347</v>
      </c>
      <c r="E251" s="118" t="s">
        <v>2217</v>
      </c>
      <c r="F251" s="118" t="s">
        <v>1746</v>
      </c>
      <c r="G251" s="118">
        <v>1</v>
      </c>
      <c r="H251" s="118">
        <v>7</v>
      </c>
      <c r="I251" s="118">
        <v>12.7</v>
      </c>
      <c r="J251" s="118">
        <v>102</v>
      </c>
      <c r="K251" s="118"/>
      <c r="L251" s="122">
        <v>-1.48</v>
      </c>
      <c r="M251" s="122">
        <v>0.33</v>
      </c>
      <c r="N251" s="118">
        <v>-2.5</v>
      </c>
      <c r="O251" s="123" t="s">
        <v>1747</v>
      </c>
    </row>
    <row r="252" spans="1:15" ht="43.2">
      <c r="A252" s="118" t="s">
        <v>2218</v>
      </c>
      <c r="B252" s="118" t="s">
        <v>1743</v>
      </c>
      <c r="C252" s="118" t="s">
        <v>1786</v>
      </c>
      <c r="D252" s="119">
        <v>43350</v>
      </c>
      <c r="E252" s="118" t="s">
        <v>2219</v>
      </c>
      <c r="F252" s="118" t="s">
        <v>1769</v>
      </c>
      <c r="G252" s="118">
        <v>1</v>
      </c>
      <c r="H252" s="118">
        <v>11</v>
      </c>
      <c r="I252" s="118">
        <v>13.1</v>
      </c>
      <c r="J252" s="118">
        <v>103</v>
      </c>
      <c r="K252" s="118"/>
      <c r="L252" s="122">
        <v>-1.23</v>
      </c>
      <c r="M252" s="122">
        <v>0.59</v>
      </c>
      <c r="N252" s="118">
        <v>-2.36</v>
      </c>
      <c r="O252" s="123" t="s">
        <v>1747</v>
      </c>
    </row>
    <row r="253" spans="1:15" ht="43.2">
      <c r="A253" s="118" t="s">
        <v>2220</v>
      </c>
      <c r="B253" s="118" t="s">
        <v>1752</v>
      </c>
      <c r="C253" s="118" t="s">
        <v>1786</v>
      </c>
      <c r="D253" s="119">
        <v>43426</v>
      </c>
      <c r="E253" s="118" t="s">
        <v>2156</v>
      </c>
      <c r="F253" s="118" t="s">
        <v>1769</v>
      </c>
      <c r="G253" s="118">
        <v>4</v>
      </c>
      <c r="H253" s="118">
        <v>12</v>
      </c>
      <c r="I253" s="118">
        <v>12.6</v>
      </c>
      <c r="J253" s="118">
        <v>102.4</v>
      </c>
      <c r="K253" s="118"/>
      <c r="L253" s="122">
        <v>-1.59</v>
      </c>
      <c r="M253" s="122">
        <v>0.66</v>
      </c>
      <c r="N253" s="118">
        <v>-3.02</v>
      </c>
      <c r="O253" s="123" t="s">
        <v>1790</v>
      </c>
    </row>
    <row r="254" spans="1:15" ht="43.2">
      <c r="A254" s="118" t="s">
        <v>2221</v>
      </c>
      <c r="B254" s="118" t="s">
        <v>1743</v>
      </c>
      <c r="C254" s="118" t="s">
        <v>1786</v>
      </c>
      <c r="D254" s="119">
        <v>43436</v>
      </c>
      <c r="E254" s="118" t="s">
        <v>2158</v>
      </c>
      <c r="F254" s="118" t="s">
        <v>1769</v>
      </c>
      <c r="G254" s="118">
        <v>1</v>
      </c>
      <c r="H254" s="118">
        <v>2</v>
      </c>
      <c r="I254" s="118">
        <v>12.6</v>
      </c>
      <c r="J254" s="118">
        <v>102.8</v>
      </c>
      <c r="K254" s="118"/>
      <c r="L254" s="122">
        <v>-1.29</v>
      </c>
      <c r="M254" s="122">
        <v>1</v>
      </c>
      <c r="N254" s="118">
        <v>-2.78</v>
      </c>
      <c r="O254" s="123" t="s">
        <v>1747</v>
      </c>
    </row>
    <row r="255" spans="1:15" ht="43.2">
      <c r="A255" s="118" t="s">
        <v>2222</v>
      </c>
      <c r="B255" s="118" t="s">
        <v>1752</v>
      </c>
      <c r="C255" s="118" t="s">
        <v>1786</v>
      </c>
      <c r="D255" s="119">
        <v>43451</v>
      </c>
      <c r="E255" s="118" t="s">
        <v>2154</v>
      </c>
      <c r="F255" s="118" t="s">
        <v>1769</v>
      </c>
      <c r="G255" s="118">
        <v>8</v>
      </c>
      <c r="H255" s="118">
        <v>1</v>
      </c>
      <c r="I255" s="118">
        <v>12.5</v>
      </c>
      <c r="J255" s="118">
        <v>102.2</v>
      </c>
      <c r="K255" s="118"/>
      <c r="L255" s="122">
        <v>-1.59</v>
      </c>
      <c r="M255" s="122">
        <v>0.74</v>
      </c>
      <c r="N255" s="118">
        <v>-3.08</v>
      </c>
      <c r="O255" s="123" t="s">
        <v>1790</v>
      </c>
    </row>
    <row r="256" spans="1:15" ht="43.2">
      <c r="A256" s="118" t="s">
        <v>2223</v>
      </c>
      <c r="B256" s="118" t="s">
        <v>1752</v>
      </c>
      <c r="C256" s="118" t="s">
        <v>1749</v>
      </c>
      <c r="D256" s="119">
        <v>43772</v>
      </c>
      <c r="E256" s="118" t="s">
        <v>2224</v>
      </c>
      <c r="F256" s="118" t="s">
        <v>1769</v>
      </c>
      <c r="G256" s="118">
        <v>5</v>
      </c>
      <c r="H256" s="118">
        <v>5</v>
      </c>
      <c r="I256" s="118">
        <v>11.8</v>
      </c>
      <c r="J256" s="118">
        <v>94</v>
      </c>
      <c r="K256" s="118"/>
      <c r="L256" s="122">
        <v>-1.08</v>
      </c>
      <c r="M256" s="122">
        <v>0.49</v>
      </c>
      <c r="N256" s="118">
        <v>-2.02</v>
      </c>
      <c r="O256" s="123" t="s">
        <v>1747</v>
      </c>
    </row>
    <row r="257" spans="1:15" ht="43.2">
      <c r="A257" s="118" t="s">
        <v>2225</v>
      </c>
      <c r="B257" s="118" t="s">
        <v>1752</v>
      </c>
      <c r="C257" s="118" t="s">
        <v>1779</v>
      </c>
      <c r="D257" s="119">
        <v>43199</v>
      </c>
      <c r="E257" s="118" t="s">
        <v>2137</v>
      </c>
      <c r="F257" s="118" t="s">
        <v>1769</v>
      </c>
      <c r="G257" s="118">
        <v>1</v>
      </c>
      <c r="H257" s="118">
        <v>12</v>
      </c>
      <c r="I257" s="118">
        <v>13.7</v>
      </c>
      <c r="J257" s="118">
        <v>103.6</v>
      </c>
      <c r="K257" s="118"/>
      <c r="L257" s="122">
        <v>-1.5</v>
      </c>
      <c r="M257" s="122">
        <v>-0.11</v>
      </c>
      <c r="N257" s="118">
        <v>-2.2200000000000002</v>
      </c>
      <c r="O257" s="123" t="s">
        <v>1747</v>
      </c>
    </row>
    <row r="258" spans="1:15" ht="43.2">
      <c r="A258" s="118" t="s">
        <v>2226</v>
      </c>
      <c r="B258" s="118" t="s">
        <v>1752</v>
      </c>
      <c r="C258" s="118" t="s">
        <v>1786</v>
      </c>
      <c r="D258" s="119">
        <v>43459</v>
      </c>
      <c r="E258" s="118" t="s">
        <v>2145</v>
      </c>
      <c r="F258" s="118" t="s">
        <v>1769</v>
      </c>
      <c r="G258" s="118">
        <v>4</v>
      </c>
      <c r="H258" s="118">
        <v>3</v>
      </c>
      <c r="I258" s="118">
        <v>13</v>
      </c>
      <c r="J258" s="118">
        <v>103.6</v>
      </c>
      <c r="K258" s="118"/>
      <c r="L258" s="122">
        <v>-1.25</v>
      </c>
      <c r="M258" s="122">
        <v>1.1399999999999999</v>
      </c>
      <c r="N258" s="118">
        <v>-2.89</v>
      </c>
      <c r="O258" s="123" t="s">
        <v>1747</v>
      </c>
    </row>
    <row r="259" spans="1:15" ht="43.2">
      <c r="A259" s="118" t="s">
        <v>2227</v>
      </c>
      <c r="B259" s="118" t="s">
        <v>1752</v>
      </c>
      <c r="C259" s="118" t="s">
        <v>1749</v>
      </c>
      <c r="D259" s="119">
        <v>43719</v>
      </c>
      <c r="E259" s="118" t="s">
        <v>2228</v>
      </c>
      <c r="F259" s="118" t="s">
        <v>1769</v>
      </c>
      <c r="G259" s="118">
        <v>8</v>
      </c>
      <c r="H259" s="118">
        <v>1</v>
      </c>
      <c r="I259" s="118">
        <v>9.8000000000000007</v>
      </c>
      <c r="J259" s="118">
        <v>87</v>
      </c>
      <c r="K259" s="118"/>
      <c r="L259" s="122">
        <v>-2.84</v>
      </c>
      <c r="M259" s="122">
        <v>-1.86</v>
      </c>
      <c r="N259" s="118">
        <v>-2.78</v>
      </c>
      <c r="O259" s="123" t="s">
        <v>1747</v>
      </c>
    </row>
    <row r="260" spans="1:15" ht="43.2">
      <c r="A260" s="118" t="s">
        <v>2229</v>
      </c>
      <c r="B260" s="118" t="s">
        <v>1743</v>
      </c>
      <c r="C260" s="118" t="s">
        <v>1749</v>
      </c>
      <c r="D260" s="119">
        <v>43764</v>
      </c>
      <c r="E260" s="118" t="s">
        <v>1771</v>
      </c>
      <c r="F260" s="118" t="s">
        <v>1769</v>
      </c>
      <c r="G260" s="118">
        <v>2</v>
      </c>
      <c r="H260" s="118">
        <v>8</v>
      </c>
      <c r="I260" s="118">
        <v>12.4</v>
      </c>
      <c r="J260" s="118">
        <v>99.9</v>
      </c>
      <c r="K260" s="118"/>
      <c r="L260" s="122">
        <v>-0.28999999999999998</v>
      </c>
      <c r="M260" s="122">
        <v>2.42</v>
      </c>
      <c r="N260" s="118">
        <v>-2.33</v>
      </c>
      <c r="O260" s="123" t="s">
        <v>1747</v>
      </c>
    </row>
    <row r="261" spans="1:15" ht="43.2">
      <c r="A261" s="118" t="s">
        <v>2230</v>
      </c>
      <c r="B261" s="118" t="s">
        <v>1752</v>
      </c>
      <c r="C261" s="118" t="s">
        <v>1749</v>
      </c>
      <c r="D261" s="119">
        <v>43779</v>
      </c>
      <c r="E261" s="118" t="s">
        <v>2231</v>
      </c>
      <c r="F261" s="118" t="s">
        <v>1769</v>
      </c>
      <c r="G261" s="118">
        <v>3</v>
      </c>
      <c r="H261" s="118">
        <v>8</v>
      </c>
      <c r="I261" s="118">
        <v>10</v>
      </c>
      <c r="J261" s="118">
        <v>87</v>
      </c>
      <c r="K261" s="118"/>
      <c r="L261" s="122">
        <v>-2.4700000000000002</v>
      </c>
      <c r="M261" s="122">
        <v>-1.5</v>
      </c>
      <c r="N261" s="118">
        <v>-2.5099999999999998</v>
      </c>
      <c r="O261" s="123" t="s">
        <v>1747</v>
      </c>
    </row>
    <row r="262" spans="1:15" ht="43.2">
      <c r="A262" s="118" t="s">
        <v>2232</v>
      </c>
      <c r="B262" s="118" t="s">
        <v>1752</v>
      </c>
      <c r="C262" s="118" t="s">
        <v>1749</v>
      </c>
      <c r="D262" s="119">
        <v>43808</v>
      </c>
      <c r="E262" s="118" t="s">
        <v>2141</v>
      </c>
      <c r="F262" s="118" t="s">
        <v>1769</v>
      </c>
      <c r="G262" s="118">
        <v>4</v>
      </c>
      <c r="H262" s="118">
        <v>1</v>
      </c>
      <c r="I262" s="118">
        <v>12.3</v>
      </c>
      <c r="J262" s="118">
        <v>99.7</v>
      </c>
      <c r="K262" s="118"/>
      <c r="L262" s="122">
        <v>-0.59</v>
      </c>
      <c r="M262" s="122">
        <v>2.4500000000000002</v>
      </c>
      <c r="N262" s="118">
        <v>-2.74</v>
      </c>
      <c r="O262" s="123" t="s">
        <v>1747</v>
      </c>
    </row>
    <row r="263" spans="1:15" ht="43.2">
      <c r="A263" s="118" t="s">
        <v>2233</v>
      </c>
      <c r="B263" s="118" t="s">
        <v>1752</v>
      </c>
      <c r="C263" s="118" t="s">
        <v>1749</v>
      </c>
      <c r="D263" s="119">
        <v>43814</v>
      </c>
      <c r="E263" s="118" t="s">
        <v>2150</v>
      </c>
      <c r="F263" s="118" t="s">
        <v>1769</v>
      </c>
      <c r="G263" s="118">
        <v>7</v>
      </c>
      <c r="H263" s="118">
        <v>1</v>
      </c>
      <c r="I263" s="118">
        <v>12.7</v>
      </c>
      <c r="J263" s="118">
        <v>99.6</v>
      </c>
      <c r="K263" s="118"/>
      <c r="L263" s="122">
        <v>-0.28999999999999998</v>
      </c>
      <c r="M263" s="122">
        <v>2.4700000000000002</v>
      </c>
      <c r="N263" s="118">
        <v>-2.2999999999999998</v>
      </c>
      <c r="O263" s="123" t="s">
        <v>1747</v>
      </c>
    </row>
    <row r="264" spans="1:15" ht="43.2">
      <c r="A264" s="118" t="s">
        <v>2234</v>
      </c>
      <c r="B264" s="118" t="s">
        <v>1752</v>
      </c>
      <c r="C264" s="118" t="s">
        <v>1755</v>
      </c>
      <c r="D264" s="119">
        <v>44586</v>
      </c>
      <c r="E264" s="118" t="s">
        <v>2148</v>
      </c>
      <c r="F264" s="118" t="s">
        <v>1769</v>
      </c>
      <c r="G264" s="118">
        <v>4</v>
      </c>
      <c r="H264" s="118">
        <v>8</v>
      </c>
      <c r="I264" s="118">
        <v>8</v>
      </c>
      <c r="J264" s="118">
        <v>77.5</v>
      </c>
      <c r="K264" s="118"/>
      <c r="L264" s="122">
        <v>1.35</v>
      </c>
      <c r="M264" s="122">
        <v>6.81</v>
      </c>
      <c r="N264" s="118">
        <v>-2.78</v>
      </c>
      <c r="O264" s="123" t="s">
        <v>1747</v>
      </c>
    </row>
    <row r="265" spans="1:15" ht="43.2">
      <c r="A265" s="118" t="s">
        <v>2235</v>
      </c>
      <c r="B265" s="118" t="s">
        <v>1752</v>
      </c>
      <c r="C265" s="118" t="s">
        <v>1755</v>
      </c>
      <c r="D265" s="119">
        <v>44612</v>
      </c>
      <c r="E265" s="118" t="s">
        <v>2161</v>
      </c>
      <c r="F265" s="118" t="s">
        <v>1769</v>
      </c>
      <c r="G265" s="118">
        <v>8</v>
      </c>
      <c r="H265" s="118">
        <v>1</v>
      </c>
      <c r="I265" s="118">
        <v>7.8</v>
      </c>
      <c r="J265" s="118">
        <v>74</v>
      </c>
      <c r="K265" s="118"/>
      <c r="L265" s="122">
        <v>1.82</v>
      </c>
      <c r="M265" s="122">
        <v>6.26</v>
      </c>
      <c r="N265" s="118">
        <v>-2.19</v>
      </c>
      <c r="O265" s="123" t="s">
        <v>1747</v>
      </c>
    </row>
    <row r="266" spans="1:15" ht="43.2">
      <c r="A266" s="118" t="s">
        <v>2236</v>
      </c>
      <c r="B266" s="118" t="s">
        <v>1743</v>
      </c>
      <c r="C266" s="118" t="s">
        <v>1755</v>
      </c>
      <c r="D266" s="119">
        <v>44664</v>
      </c>
      <c r="E266" s="118" t="s">
        <v>2169</v>
      </c>
      <c r="F266" s="118" t="s">
        <v>1769</v>
      </c>
      <c r="G266" s="118">
        <v>6</v>
      </c>
      <c r="H266" s="118">
        <v>2</v>
      </c>
      <c r="I266" s="118">
        <v>5</v>
      </c>
      <c r="J266" s="118">
        <v>60.8</v>
      </c>
      <c r="K266" s="118"/>
      <c r="L266" s="122">
        <v>0.93</v>
      </c>
      <c r="M266" s="122">
        <v>3.2</v>
      </c>
      <c r="N266" s="118">
        <v>-2.2200000000000002</v>
      </c>
      <c r="O266" s="123" t="s">
        <v>1747</v>
      </c>
    </row>
    <row r="267" spans="1:15" ht="43.2">
      <c r="A267" s="118" t="s">
        <v>2237</v>
      </c>
      <c r="B267" s="118" t="s">
        <v>1752</v>
      </c>
      <c r="C267" s="118" t="s">
        <v>1755</v>
      </c>
      <c r="D267" s="119">
        <v>44677</v>
      </c>
      <c r="E267" s="118" t="s">
        <v>1924</v>
      </c>
      <c r="F267" s="118" t="s">
        <v>1769</v>
      </c>
      <c r="G267" s="118">
        <v>4</v>
      </c>
      <c r="H267" s="118">
        <v>8</v>
      </c>
      <c r="I267" s="118">
        <v>5.0999999999999996</v>
      </c>
      <c r="J267" s="118">
        <v>60.4</v>
      </c>
      <c r="K267" s="118"/>
      <c r="L267" s="122">
        <v>1.47</v>
      </c>
      <c r="M267" s="122">
        <v>3.4</v>
      </c>
      <c r="N267" s="118">
        <v>-2.2200000000000002</v>
      </c>
      <c r="O267" s="123" t="s">
        <v>1747</v>
      </c>
    </row>
    <row r="268" spans="1:15" ht="43.2">
      <c r="A268" s="118" t="s">
        <v>2238</v>
      </c>
      <c r="B268" s="118" t="s">
        <v>1752</v>
      </c>
      <c r="C268" s="118" t="s">
        <v>1779</v>
      </c>
      <c r="D268" s="119">
        <v>42966</v>
      </c>
      <c r="E268" s="118" t="s">
        <v>2163</v>
      </c>
      <c r="F268" s="118" t="s">
        <v>1769</v>
      </c>
      <c r="G268" s="118">
        <v>8</v>
      </c>
      <c r="H268" s="118">
        <v>12</v>
      </c>
      <c r="I268" s="118">
        <v>14</v>
      </c>
      <c r="J268" s="118">
        <v>105.3</v>
      </c>
      <c r="K268" s="118"/>
      <c r="L268" s="122">
        <v>-1.84</v>
      </c>
      <c r="M268" s="122">
        <v>-0.64</v>
      </c>
      <c r="N268" s="118">
        <v>-2.3199999999999998</v>
      </c>
      <c r="O268" s="123" t="s">
        <v>1747</v>
      </c>
    </row>
    <row r="269" spans="1:15" ht="43.2">
      <c r="A269" s="118" t="s">
        <v>2239</v>
      </c>
      <c r="B269" s="118" t="s">
        <v>1752</v>
      </c>
      <c r="C269" s="118" t="s">
        <v>1749</v>
      </c>
      <c r="D269" s="119">
        <v>43747</v>
      </c>
      <c r="E269" s="118" t="s">
        <v>2240</v>
      </c>
      <c r="F269" s="118" t="s">
        <v>1769</v>
      </c>
      <c r="G269" s="118">
        <v>4</v>
      </c>
      <c r="H269" s="118">
        <v>12</v>
      </c>
      <c r="I269" s="118">
        <v>10.5</v>
      </c>
      <c r="J269" s="118">
        <v>90</v>
      </c>
      <c r="K269" s="118">
        <v>14</v>
      </c>
      <c r="L269" s="122">
        <v>-2.16</v>
      </c>
      <c r="M269" s="122">
        <v>-0.84</v>
      </c>
      <c r="N269" s="118">
        <v>-2.64</v>
      </c>
      <c r="O269" s="123" t="s">
        <v>1747</v>
      </c>
    </row>
    <row r="270" spans="1:15" ht="43.2">
      <c r="A270" s="118" t="s">
        <v>2241</v>
      </c>
      <c r="B270" s="118" t="s">
        <v>1752</v>
      </c>
      <c r="C270" s="118" t="s">
        <v>1786</v>
      </c>
      <c r="D270" s="119">
        <v>43445</v>
      </c>
      <c r="E270" s="118" t="s">
        <v>2242</v>
      </c>
      <c r="F270" s="118" t="s">
        <v>1769</v>
      </c>
      <c r="G270" s="118">
        <v>6</v>
      </c>
      <c r="H270" s="118">
        <v>12</v>
      </c>
      <c r="I270" s="118">
        <v>13</v>
      </c>
      <c r="J270" s="118">
        <v>100</v>
      </c>
      <c r="K270" s="118"/>
      <c r="L270" s="122">
        <v>-1.27</v>
      </c>
      <c r="M270" s="122">
        <v>0.19</v>
      </c>
      <c r="N270" s="118">
        <v>-2.09</v>
      </c>
      <c r="O270" s="123" t="s">
        <v>1747</v>
      </c>
    </row>
    <row r="271" spans="1:15" ht="43.2">
      <c r="A271" s="118" t="s">
        <v>2243</v>
      </c>
      <c r="B271" s="118" t="s">
        <v>1743</v>
      </c>
      <c r="C271" s="118" t="s">
        <v>1749</v>
      </c>
      <c r="D271" s="119">
        <v>43664</v>
      </c>
      <c r="E271" s="118" t="s">
        <v>2165</v>
      </c>
      <c r="F271" s="118" t="s">
        <v>1769</v>
      </c>
      <c r="G271" s="118">
        <v>1</v>
      </c>
      <c r="H271" s="118">
        <v>12</v>
      </c>
      <c r="I271" s="118">
        <v>12</v>
      </c>
      <c r="J271" s="118">
        <v>97</v>
      </c>
      <c r="K271" s="118"/>
      <c r="L271" s="122">
        <v>-0.9</v>
      </c>
      <c r="M271" s="122">
        <v>0.94</v>
      </c>
      <c r="N271" s="118">
        <v>-2.1</v>
      </c>
      <c r="O271" s="123" t="s">
        <v>1747</v>
      </c>
    </row>
    <row r="272" spans="1:15" ht="43.2">
      <c r="A272" s="118" t="s">
        <v>2244</v>
      </c>
      <c r="B272" s="118" t="s">
        <v>1743</v>
      </c>
      <c r="C272" s="118" t="s">
        <v>1786</v>
      </c>
      <c r="D272" s="119">
        <v>43418</v>
      </c>
      <c r="E272" s="118" t="s">
        <v>2245</v>
      </c>
      <c r="F272" s="118" t="s">
        <v>1769</v>
      </c>
      <c r="G272" s="118">
        <v>1</v>
      </c>
      <c r="H272" s="118">
        <v>8</v>
      </c>
      <c r="I272" s="118">
        <v>13</v>
      </c>
      <c r="J272" s="118">
        <v>101</v>
      </c>
      <c r="K272" s="118"/>
      <c r="L272" s="122">
        <v>-1.07</v>
      </c>
      <c r="M272" s="122">
        <v>0.49</v>
      </c>
      <c r="N272" s="118">
        <v>-2.0099999999999998</v>
      </c>
      <c r="O272" s="123" t="s">
        <v>1747</v>
      </c>
    </row>
    <row r="273" spans="1:15" ht="43.2">
      <c r="A273" s="118" t="s">
        <v>2246</v>
      </c>
      <c r="B273" s="118" t="s">
        <v>1752</v>
      </c>
      <c r="C273" s="118" t="s">
        <v>1779</v>
      </c>
      <c r="D273" s="119">
        <v>43169</v>
      </c>
      <c r="E273" s="118" t="s">
        <v>2099</v>
      </c>
      <c r="F273" s="118" t="s">
        <v>1769</v>
      </c>
      <c r="G273" s="118">
        <v>9</v>
      </c>
      <c r="H273" s="118">
        <v>5</v>
      </c>
      <c r="I273" s="118">
        <v>13</v>
      </c>
      <c r="J273" s="118">
        <v>101</v>
      </c>
      <c r="K273" s="118"/>
      <c r="L273" s="122">
        <v>-2</v>
      </c>
      <c r="M273" s="122">
        <v>-0.86</v>
      </c>
      <c r="N273" s="118">
        <v>-2.31</v>
      </c>
      <c r="O273" s="123" t="s">
        <v>1747</v>
      </c>
    </row>
    <row r="274" spans="1:15" ht="43.2">
      <c r="A274" s="118" t="s">
        <v>2247</v>
      </c>
      <c r="B274" s="118" t="s">
        <v>1743</v>
      </c>
      <c r="C274" s="118" t="s">
        <v>1749</v>
      </c>
      <c r="D274" s="119">
        <v>43778</v>
      </c>
      <c r="E274" s="118" t="s">
        <v>2248</v>
      </c>
      <c r="F274" s="118" t="s">
        <v>1769</v>
      </c>
      <c r="G274" s="118">
        <v>4</v>
      </c>
      <c r="H274" s="118">
        <v>8</v>
      </c>
      <c r="I274" s="118">
        <v>11.5</v>
      </c>
      <c r="J274" s="118">
        <v>94.3</v>
      </c>
      <c r="K274" s="118"/>
      <c r="L274" s="122">
        <v>-0.86</v>
      </c>
      <c r="M274" s="122">
        <v>0.92</v>
      </c>
      <c r="N274" s="118">
        <v>-2.0299999999999998</v>
      </c>
      <c r="O274" s="123" t="s">
        <v>1747</v>
      </c>
    </row>
    <row r="275" spans="1:15" ht="43.2">
      <c r="A275" s="118" t="s">
        <v>2249</v>
      </c>
      <c r="B275" s="118" t="s">
        <v>1752</v>
      </c>
      <c r="C275" s="118" t="s">
        <v>1786</v>
      </c>
      <c r="D275" s="119">
        <v>43429</v>
      </c>
      <c r="E275" s="118" t="s">
        <v>2250</v>
      </c>
      <c r="F275" s="118" t="s">
        <v>1769</v>
      </c>
      <c r="G275" s="118">
        <v>4</v>
      </c>
      <c r="H275" s="118">
        <v>8</v>
      </c>
      <c r="I275" s="118">
        <v>13.5</v>
      </c>
      <c r="J275" s="118">
        <v>102.5</v>
      </c>
      <c r="K275" s="118"/>
      <c r="L275" s="122">
        <v>-1.02</v>
      </c>
      <c r="M275" s="122">
        <v>0.7</v>
      </c>
      <c r="N275" s="118">
        <v>-2.16</v>
      </c>
      <c r="O275" s="123" t="s">
        <v>1747</v>
      </c>
    </row>
    <row r="276" spans="1:15" ht="43.2">
      <c r="A276" s="118" t="s">
        <v>2251</v>
      </c>
      <c r="B276" s="118" t="s">
        <v>1743</v>
      </c>
      <c r="C276" s="118" t="s">
        <v>1786</v>
      </c>
      <c r="D276" s="119">
        <v>43513</v>
      </c>
      <c r="E276" s="118" t="s">
        <v>2252</v>
      </c>
      <c r="F276" s="118" t="s">
        <v>1769</v>
      </c>
      <c r="G276" s="118">
        <v>5</v>
      </c>
      <c r="H276" s="118">
        <v>5</v>
      </c>
      <c r="I276" s="118">
        <v>12.3</v>
      </c>
      <c r="J276" s="118">
        <v>99.5</v>
      </c>
      <c r="K276" s="118"/>
      <c r="L276" s="122">
        <v>-1.24</v>
      </c>
      <c r="M276" s="122">
        <v>0.61</v>
      </c>
      <c r="N276" s="118">
        <v>-2.34</v>
      </c>
      <c r="O276" s="123" t="s">
        <v>1747</v>
      </c>
    </row>
    <row r="277" spans="1:15" ht="43.2">
      <c r="A277" s="118" t="s">
        <v>2253</v>
      </c>
      <c r="B277" s="118" t="s">
        <v>1752</v>
      </c>
      <c r="C277" s="118" t="s">
        <v>1786</v>
      </c>
      <c r="D277" s="119">
        <v>43532</v>
      </c>
      <c r="E277" s="118" t="s">
        <v>2254</v>
      </c>
      <c r="F277" s="118" t="s">
        <v>1769</v>
      </c>
      <c r="G277" s="118">
        <v>7</v>
      </c>
      <c r="H277" s="118">
        <v>2</v>
      </c>
      <c r="I277" s="118">
        <v>12.9</v>
      </c>
      <c r="J277" s="118">
        <v>99.9</v>
      </c>
      <c r="K277" s="118"/>
      <c r="L277" s="122">
        <v>-1.1000000000000001</v>
      </c>
      <c r="M277" s="122">
        <v>0.59</v>
      </c>
      <c r="N277" s="118">
        <v>-2.16</v>
      </c>
      <c r="O277" s="123" t="s">
        <v>1747</v>
      </c>
    </row>
    <row r="278" spans="1:15" ht="43.2">
      <c r="A278" s="118" t="s">
        <v>2255</v>
      </c>
      <c r="B278" s="118" t="s">
        <v>1752</v>
      </c>
      <c r="C278" s="118" t="s">
        <v>1749</v>
      </c>
      <c r="D278" s="119">
        <v>43808</v>
      </c>
      <c r="E278" s="118" t="s">
        <v>2256</v>
      </c>
      <c r="F278" s="118" t="s">
        <v>1774</v>
      </c>
      <c r="G278" s="118">
        <v>2</v>
      </c>
      <c r="H278" s="118">
        <v>5</v>
      </c>
      <c r="I278" s="118">
        <v>12.4</v>
      </c>
      <c r="J278" s="118">
        <v>99.9</v>
      </c>
      <c r="K278" s="118"/>
      <c r="L278" s="122">
        <v>-0.52</v>
      </c>
      <c r="M278" s="122">
        <v>2.5099999999999998</v>
      </c>
      <c r="N278" s="118">
        <v>-2.68</v>
      </c>
      <c r="O278" s="123" t="s">
        <v>1747</v>
      </c>
    </row>
    <row r="279" spans="1:15" ht="43.2">
      <c r="A279" s="118" t="s">
        <v>2257</v>
      </c>
      <c r="B279" s="118" t="s">
        <v>1743</v>
      </c>
      <c r="C279" s="118" t="s">
        <v>1786</v>
      </c>
      <c r="D279" s="119">
        <v>43492</v>
      </c>
      <c r="E279" s="118" t="s">
        <v>2258</v>
      </c>
      <c r="F279" s="118" t="s">
        <v>1774</v>
      </c>
      <c r="G279" s="118">
        <v>6</v>
      </c>
      <c r="H279" s="118">
        <v>7</v>
      </c>
      <c r="I279" s="118">
        <v>12</v>
      </c>
      <c r="J279" s="118">
        <v>100</v>
      </c>
      <c r="K279" s="118"/>
      <c r="L279" s="122">
        <v>-1.5</v>
      </c>
      <c r="M279" s="122">
        <v>0.62</v>
      </c>
      <c r="N279" s="118">
        <v>-2.74</v>
      </c>
      <c r="O279" s="123" t="s">
        <v>1747</v>
      </c>
    </row>
    <row r="280" spans="1:15" ht="43.2">
      <c r="A280" s="118" t="s">
        <v>2259</v>
      </c>
      <c r="B280" s="118" t="s">
        <v>1743</v>
      </c>
      <c r="C280" s="118" t="s">
        <v>1755</v>
      </c>
      <c r="D280" s="119">
        <v>44472</v>
      </c>
      <c r="E280" s="118" t="s">
        <v>2260</v>
      </c>
      <c r="F280" s="118" t="s">
        <v>1774</v>
      </c>
      <c r="G280" s="118">
        <v>3</v>
      </c>
      <c r="H280" s="118">
        <v>5</v>
      </c>
      <c r="I280" s="118">
        <v>6.3</v>
      </c>
      <c r="J280" s="118">
        <v>69</v>
      </c>
      <c r="K280" s="118"/>
      <c r="L280" s="122">
        <v>-1.76</v>
      </c>
      <c r="M280" s="122">
        <v>0.44</v>
      </c>
      <c r="N280" s="118">
        <v>-2.69</v>
      </c>
      <c r="O280" s="123" t="s">
        <v>1747</v>
      </c>
    </row>
    <row r="281" spans="1:15" ht="43.2">
      <c r="A281" s="118" t="s">
        <v>2261</v>
      </c>
      <c r="B281" s="118" t="s">
        <v>1743</v>
      </c>
      <c r="C281" s="118" t="s">
        <v>1744</v>
      </c>
      <c r="D281" s="119">
        <v>44118</v>
      </c>
      <c r="E281" s="118" t="s">
        <v>2262</v>
      </c>
      <c r="F281" s="118" t="s">
        <v>1774</v>
      </c>
      <c r="G281" s="118">
        <v>1</v>
      </c>
      <c r="H281" s="118">
        <v>7</v>
      </c>
      <c r="I281" s="118">
        <v>9</v>
      </c>
      <c r="J281" s="118">
        <v>87</v>
      </c>
      <c r="K281" s="118"/>
      <c r="L281" s="122">
        <v>-1.24</v>
      </c>
      <c r="M281" s="122">
        <v>1.75</v>
      </c>
      <c r="N281" s="118">
        <v>-3.12</v>
      </c>
      <c r="O281" s="123" t="s">
        <v>1790</v>
      </c>
    </row>
    <row r="282" spans="1:15" ht="57.6">
      <c r="A282" s="118" t="s">
        <v>2263</v>
      </c>
      <c r="B282" s="118" t="s">
        <v>1743</v>
      </c>
      <c r="C282" s="118" t="s">
        <v>1749</v>
      </c>
      <c r="D282" s="119">
        <v>43818</v>
      </c>
      <c r="E282" s="118" t="s">
        <v>2264</v>
      </c>
      <c r="F282" s="118" t="s">
        <v>1777</v>
      </c>
      <c r="G282" s="118">
        <v>1</v>
      </c>
      <c r="H282" s="118">
        <v>12</v>
      </c>
      <c r="I282" s="118">
        <v>10</v>
      </c>
      <c r="J282" s="118">
        <v>89</v>
      </c>
      <c r="K282" s="118"/>
      <c r="L282" s="122">
        <v>-1.84</v>
      </c>
      <c r="M282" s="122">
        <v>-0.45</v>
      </c>
      <c r="N282" s="118">
        <v>-2.34</v>
      </c>
      <c r="O282" s="123" t="s">
        <v>1747</v>
      </c>
    </row>
    <row r="283" spans="1:15" ht="43.2">
      <c r="A283" s="118" t="s">
        <v>2265</v>
      </c>
      <c r="B283" s="118" t="s">
        <v>1752</v>
      </c>
      <c r="C283" s="118" t="s">
        <v>1779</v>
      </c>
      <c r="D283" s="119">
        <v>43018</v>
      </c>
      <c r="E283" s="118" t="s">
        <v>2266</v>
      </c>
      <c r="F283" s="118" t="s">
        <v>1777</v>
      </c>
      <c r="G283" s="118">
        <v>3</v>
      </c>
      <c r="H283" s="118">
        <v>8</v>
      </c>
      <c r="I283" s="118">
        <v>14</v>
      </c>
      <c r="J283" s="118">
        <v>105</v>
      </c>
      <c r="K283" s="118"/>
      <c r="L283" s="122">
        <v>-1.74</v>
      </c>
      <c r="M283" s="122">
        <v>-0.53</v>
      </c>
      <c r="N283" s="118">
        <v>-2.25</v>
      </c>
      <c r="O283" s="123" t="s">
        <v>1747</v>
      </c>
    </row>
    <row r="284" spans="1:15" ht="43.2">
      <c r="A284" s="118" t="s">
        <v>2267</v>
      </c>
      <c r="B284" s="118" t="s">
        <v>1752</v>
      </c>
      <c r="C284" s="118" t="s">
        <v>1786</v>
      </c>
      <c r="D284" s="119">
        <v>43271</v>
      </c>
      <c r="E284" s="118" t="s">
        <v>2268</v>
      </c>
      <c r="F284" s="118" t="s">
        <v>1777</v>
      </c>
      <c r="G284" s="118">
        <v>0</v>
      </c>
      <c r="H284" s="118">
        <v>0</v>
      </c>
      <c r="I284" s="118">
        <v>13.2</v>
      </c>
      <c r="J284" s="118">
        <v>101.4</v>
      </c>
      <c r="K284" s="118"/>
      <c r="L284" s="122">
        <v>-1.63</v>
      </c>
      <c r="M284" s="122">
        <v>-0.34</v>
      </c>
      <c r="N284" s="118">
        <v>-2.2000000000000002</v>
      </c>
      <c r="O284" s="123" t="s">
        <v>1747</v>
      </c>
    </row>
    <row r="285" spans="1:15" ht="43.2">
      <c r="A285" s="118" t="s">
        <v>2269</v>
      </c>
      <c r="B285" s="118" t="s">
        <v>1743</v>
      </c>
      <c r="C285" s="118" t="s">
        <v>1749</v>
      </c>
      <c r="D285" s="119">
        <v>43646</v>
      </c>
      <c r="E285" s="118" t="s">
        <v>2021</v>
      </c>
      <c r="F285" s="118" t="s">
        <v>1777</v>
      </c>
      <c r="G285" s="118">
        <v>7</v>
      </c>
      <c r="H285" s="118">
        <v>10</v>
      </c>
      <c r="I285" s="118">
        <v>11</v>
      </c>
      <c r="J285" s="118">
        <v>95.2</v>
      </c>
      <c r="K285" s="118"/>
      <c r="L285" s="122">
        <v>-1.72</v>
      </c>
      <c r="M285" s="122">
        <v>0.26</v>
      </c>
      <c r="N285" s="118">
        <v>-2.76</v>
      </c>
      <c r="O285" s="123" t="s">
        <v>1747</v>
      </c>
    </row>
    <row r="286" spans="1:15" ht="43.2">
      <c r="A286" s="118" t="s">
        <v>2270</v>
      </c>
      <c r="B286" s="118" t="s">
        <v>1743</v>
      </c>
      <c r="C286" s="118" t="s">
        <v>1749</v>
      </c>
      <c r="D286" s="119">
        <v>43604</v>
      </c>
      <c r="E286" s="118" t="s">
        <v>1776</v>
      </c>
      <c r="F286" s="118" t="s">
        <v>1777</v>
      </c>
      <c r="G286" s="118">
        <v>1</v>
      </c>
      <c r="H286" s="118">
        <v>2</v>
      </c>
      <c r="I286" s="118">
        <v>8.6999999999999993</v>
      </c>
      <c r="J286" s="118">
        <v>87</v>
      </c>
      <c r="K286" s="118"/>
      <c r="L286" s="122">
        <v>-3.77</v>
      </c>
      <c r="M286" s="122">
        <v>-2.12</v>
      </c>
      <c r="N286" s="118">
        <v>-3.67</v>
      </c>
      <c r="O286" s="123" t="s">
        <v>1790</v>
      </c>
    </row>
    <row r="287" spans="1:15" ht="43.2">
      <c r="A287" s="118" t="s">
        <v>2271</v>
      </c>
      <c r="B287" s="118" t="s">
        <v>1743</v>
      </c>
      <c r="C287" s="118" t="s">
        <v>1779</v>
      </c>
      <c r="D287" s="119">
        <v>43135</v>
      </c>
      <c r="E287" s="118" t="s">
        <v>2019</v>
      </c>
      <c r="F287" s="118" t="s">
        <v>1777</v>
      </c>
      <c r="G287" s="118">
        <v>1</v>
      </c>
      <c r="H287" s="118">
        <v>15</v>
      </c>
      <c r="I287" s="118">
        <v>13</v>
      </c>
      <c r="J287" s="118">
        <v>102</v>
      </c>
      <c r="K287" s="118"/>
      <c r="L287" s="122">
        <v>-1.84</v>
      </c>
      <c r="M287" s="122">
        <v>-0.62</v>
      </c>
      <c r="N287" s="118">
        <v>-2.23</v>
      </c>
      <c r="O287" s="123" t="s">
        <v>1747</v>
      </c>
    </row>
    <row r="288" spans="1:15" ht="57.6">
      <c r="A288" s="118" t="s">
        <v>2272</v>
      </c>
      <c r="B288" s="118" t="s">
        <v>1752</v>
      </c>
      <c r="C288" s="118" t="s">
        <v>1779</v>
      </c>
      <c r="D288" s="119">
        <v>43159</v>
      </c>
      <c r="E288" s="118" t="s">
        <v>2107</v>
      </c>
      <c r="F288" s="118" t="s">
        <v>1777</v>
      </c>
      <c r="G288" s="118">
        <v>4</v>
      </c>
      <c r="H288" s="118">
        <v>2</v>
      </c>
      <c r="I288" s="118">
        <v>13.7</v>
      </c>
      <c r="J288" s="118">
        <v>103</v>
      </c>
      <c r="K288" s="118"/>
      <c r="L288" s="122">
        <v>-1.59</v>
      </c>
      <c r="M288" s="122">
        <v>-0.42</v>
      </c>
      <c r="N288" s="118">
        <v>-2.08</v>
      </c>
      <c r="O288" s="123" t="s">
        <v>1747</v>
      </c>
    </row>
    <row r="289" spans="1:15" ht="43.2">
      <c r="A289" s="118" t="s">
        <v>2273</v>
      </c>
      <c r="B289" s="118" t="s">
        <v>1743</v>
      </c>
      <c r="C289" s="118" t="s">
        <v>1779</v>
      </c>
      <c r="D289" s="119">
        <v>43161</v>
      </c>
      <c r="E289" s="118" t="s">
        <v>2274</v>
      </c>
      <c r="F289" s="118" t="s">
        <v>1777</v>
      </c>
      <c r="G289" s="118">
        <v>2</v>
      </c>
      <c r="H289" s="118">
        <v>15</v>
      </c>
      <c r="I289" s="118">
        <v>13.4</v>
      </c>
      <c r="J289" s="118">
        <v>103</v>
      </c>
      <c r="K289" s="118"/>
      <c r="L289" s="122">
        <v>-1.55</v>
      </c>
      <c r="M289" s="122">
        <v>-0.28000000000000003</v>
      </c>
      <c r="N289" s="118">
        <v>-2.09</v>
      </c>
      <c r="O289" s="123" t="s">
        <v>1747</v>
      </c>
    </row>
    <row r="290" spans="1:15" ht="43.2">
      <c r="A290" s="118" t="s">
        <v>2275</v>
      </c>
      <c r="B290" s="118" t="s">
        <v>1743</v>
      </c>
      <c r="C290" s="118" t="s">
        <v>1786</v>
      </c>
      <c r="D290" s="119">
        <v>43333</v>
      </c>
      <c r="E290" s="118" t="s">
        <v>2276</v>
      </c>
      <c r="F290" s="118" t="s">
        <v>2190</v>
      </c>
      <c r="G290" s="118">
        <v>2</v>
      </c>
      <c r="H290" s="118">
        <v>3</v>
      </c>
      <c r="I290" s="118">
        <v>12.7</v>
      </c>
      <c r="J290" s="118">
        <v>102</v>
      </c>
      <c r="K290" s="118"/>
      <c r="L290" s="122">
        <v>-1.52</v>
      </c>
      <c r="M290" s="122">
        <v>0.27</v>
      </c>
      <c r="N290" s="118">
        <v>-2.5</v>
      </c>
      <c r="O290" s="123" t="s">
        <v>1747</v>
      </c>
    </row>
    <row r="291" spans="1:15" ht="43.2">
      <c r="A291" s="118" t="s">
        <v>2277</v>
      </c>
      <c r="B291" s="118" t="s">
        <v>1752</v>
      </c>
      <c r="C291" s="118" t="s">
        <v>1786</v>
      </c>
      <c r="D291" s="119">
        <v>43355</v>
      </c>
      <c r="E291" s="118" t="s">
        <v>2192</v>
      </c>
      <c r="F291" s="118" t="s">
        <v>2190</v>
      </c>
      <c r="G291" s="118">
        <v>1</v>
      </c>
      <c r="H291" s="118">
        <v>1</v>
      </c>
      <c r="I291" s="118">
        <v>13.4</v>
      </c>
      <c r="J291" s="118">
        <v>102.9</v>
      </c>
      <c r="K291" s="118"/>
      <c r="L291" s="122">
        <v>-1.28</v>
      </c>
      <c r="M291" s="122">
        <v>0.43</v>
      </c>
      <c r="N291" s="118">
        <v>-2.34</v>
      </c>
      <c r="O291" s="123" t="s">
        <v>1747</v>
      </c>
    </row>
    <row r="292" spans="1:15" ht="43.2">
      <c r="A292" s="118" t="s">
        <v>2278</v>
      </c>
      <c r="B292" s="118" t="s">
        <v>1743</v>
      </c>
      <c r="C292" s="118" t="s">
        <v>1786</v>
      </c>
      <c r="D292" s="119">
        <v>43379</v>
      </c>
      <c r="E292" s="118" t="s">
        <v>2279</v>
      </c>
      <c r="F292" s="118" t="s">
        <v>2190</v>
      </c>
      <c r="G292" s="118">
        <v>4</v>
      </c>
      <c r="H292" s="118">
        <v>6</v>
      </c>
      <c r="I292" s="118">
        <v>13</v>
      </c>
      <c r="J292" s="118">
        <v>102.4</v>
      </c>
      <c r="K292" s="118"/>
      <c r="L292" s="122">
        <v>-1.21</v>
      </c>
      <c r="M292" s="122">
        <v>0.59</v>
      </c>
      <c r="N292" s="118">
        <v>-2.3199999999999998</v>
      </c>
      <c r="O292" s="123" t="s">
        <v>1747</v>
      </c>
    </row>
    <row r="293" spans="1:15" ht="43.2">
      <c r="A293" s="118" t="s">
        <v>2280</v>
      </c>
      <c r="B293" s="118" t="s">
        <v>1752</v>
      </c>
      <c r="C293" s="118" t="s">
        <v>1786</v>
      </c>
      <c r="D293" s="119">
        <v>43392</v>
      </c>
      <c r="E293" s="118" t="s">
        <v>2194</v>
      </c>
      <c r="F293" s="118" t="s">
        <v>2190</v>
      </c>
      <c r="G293" s="118">
        <v>3</v>
      </c>
      <c r="H293" s="118">
        <v>5</v>
      </c>
      <c r="I293" s="118">
        <v>13.6</v>
      </c>
      <c r="J293" s="118">
        <v>103</v>
      </c>
      <c r="K293" s="118"/>
      <c r="L293" s="122">
        <v>-1.06</v>
      </c>
      <c r="M293" s="122">
        <v>0.64</v>
      </c>
      <c r="N293" s="118">
        <v>-2.1800000000000002</v>
      </c>
      <c r="O293" s="123" t="s">
        <v>1747</v>
      </c>
    </row>
    <row r="294" spans="1:15" ht="43.2">
      <c r="A294" s="118" t="s">
        <v>2281</v>
      </c>
      <c r="B294" s="118" t="s">
        <v>1752</v>
      </c>
      <c r="C294" s="118" t="s">
        <v>1786</v>
      </c>
      <c r="D294" s="119">
        <v>43427</v>
      </c>
      <c r="E294" s="118" t="s">
        <v>2282</v>
      </c>
      <c r="F294" s="118" t="s">
        <v>2190</v>
      </c>
      <c r="G294" s="118">
        <v>2</v>
      </c>
      <c r="H294" s="118">
        <v>1</v>
      </c>
      <c r="I294" s="118">
        <v>13</v>
      </c>
      <c r="J294" s="118">
        <v>102.3</v>
      </c>
      <c r="K294" s="118"/>
      <c r="L294" s="122">
        <v>-1.33</v>
      </c>
      <c r="M294" s="122">
        <v>0.64</v>
      </c>
      <c r="N294" s="118">
        <v>-2.6</v>
      </c>
      <c r="O294" s="123" t="s">
        <v>1747</v>
      </c>
    </row>
    <row r="295" spans="1:15" ht="43.2">
      <c r="A295" s="118" t="s">
        <v>2283</v>
      </c>
      <c r="B295" s="118" t="s">
        <v>1752</v>
      </c>
      <c r="C295" s="118" t="s">
        <v>1786</v>
      </c>
      <c r="D295" s="119">
        <v>43491</v>
      </c>
      <c r="E295" s="118" t="s">
        <v>2279</v>
      </c>
      <c r="F295" s="118" t="s">
        <v>2190</v>
      </c>
      <c r="G295" s="118">
        <v>4</v>
      </c>
      <c r="H295" s="118">
        <v>6</v>
      </c>
      <c r="I295" s="118">
        <v>12</v>
      </c>
      <c r="J295" s="118">
        <v>95</v>
      </c>
      <c r="K295" s="118"/>
      <c r="L295" s="122">
        <v>-1.81</v>
      </c>
      <c r="M295" s="122">
        <v>-0.9</v>
      </c>
      <c r="N295" s="118">
        <v>-2.02</v>
      </c>
      <c r="O295" s="123" t="s">
        <v>1747</v>
      </c>
    </row>
    <row r="296" spans="1:15" ht="43.2">
      <c r="A296" s="118" t="s">
        <v>2284</v>
      </c>
      <c r="B296" s="118" t="s">
        <v>1752</v>
      </c>
      <c r="C296" s="118" t="s">
        <v>1786</v>
      </c>
      <c r="D296" s="119">
        <v>43255</v>
      </c>
      <c r="E296" s="118" t="s">
        <v>2285</v>
      </c>
      <c r="F296" s="118" t="s">
        <v>2190</v>
      </c>
      <c r="G296" s="118">
        <v>5</v>
      </c>
      <c r="H296" s="118">
        <v>2</v>
      </c>
      <c r="I296" s="118">
        <v>13.5</v>
      </c>
      <c r="J296" s="118">
        <v>103.2</v>
      </c>
      <c r="K296" s="118"/>
      <c r="L296" s="122">
        <v>-1.48</v>
      </c>
      <c r="M296" s="122">
        <v>0.04</v>
      </c>
      <c r="N296" s="118">
        <v>-2.31</v>
      </c>
      <c r="O296" s="123" t="s">
        <v>1747</v>
      </c>
    </row>
    <row r="297" spans="1:15" ht="43.2">
      <c r="A297" s="118" t="s">
        <v>2286</v>
      </c>
      <c r="B297" s="118" t="s">
        <v>1752</v>
      </c>
      <c r="C297" s="118" t="s">
        <v>1786</v>
      </c>
      <c r="D297" s="119">
        <v>43267</v>
      </c>
      <c r="E297" s="118" t="s">
        <v>2287</v>
      </c>
      <c r="F297" s="118" t="s">
        <v>2190</v>
      </c>
      <c r="G297" s="118">
        <v>5</v>
      </c>
      <c r="H297" s="118">
        <v>2</v>
      </c>
      <c r="I297" s="118">
        <v>13</v>
      </c>
      <c r="J297" s="118">
        <v>102.9</v>
      </c>
      <c r="K297" s="118"/>
      <c r="L297" s="122">
        <v>-1.75</v>
      </c>
      <c r="M297" s="122">
        <v>0.02</v>
      </c>
      <c r="N297" s="118">
        <v>-2.73</v>
      </c>
      <c r="O297" s="123" t="s">
        <v>1747</v>
      </c>
    </row>
    <row r="298" spans="1:15" ht="43.2">
      <c r="A298" s="118" t="s">
        <v>2288</v>
      </c>
      <c r="B298" s="118" t="s">
        <v>1752</v>
      </c>
      <c r="C298" s="118" t="s">
        <v>1786</v>
      </c>
      <c r="D298" s="119">
        <v>43481</v>
      </c>
      <c r="E298" s="118" t="s">
        <v>2289</v>
      </c>
      <c r="F298" s="118" t="s">
        <v>2190</v>
      </c>
      <c r="G298" s="118">
        <v>2</v>
      </c>
      <c r="H298" s="118">
        <v>2</v>
      </c>
      <c r="I298" s="118">
        <v>12.7</v>
      </c>
      <c r="J298" s="118">
        <v>99.8</v>
      </c>
      <c r="K298" s="118"/>
      <c r="L298" s="122">
        <v>-1.38</v>
      </c>
      <c r="M298" s="122">
        <v>0.28999999999999998</v>
      </c>
      <c r="N298" s="118">
        <v>-2.34</v>
      </c>
      <c r="O298" s="123" t="s">
        <v>1747</v>
      </c>
    </row>
    <row r="299" spans="1:15" ht="43.2">
      <c r="A299" s="118" t="s">
        <v>2290</v>
      </c>
      <c r="B299" s="118" t="s">
        <v>1743</v>
      </c>
      <c r="C299" s="118" t="s">
        <v>1786</v>
      </c>
      <c r="D299" s="119">
        <v>43526</v>
      </c>
      <c r="E299" s="118" t="s">
        <v>2287</v>
      </c>
      <c r="F299" s="118" t="s">
        <v>2190</v>
      </c>
      <c r="G299" s="118">
        <v>5</v>
      </c>
      <c r="H299" s="118">
        <v>2</v>
      </c>
      <c r="I299" s="118">
        <v>12.4</v>
      </c>
      <c r="J299" s="118">
        <v>100</v>
      </c>
      <c r="K299" s="118"/>
      <c r="L299" s="122">
        <v>-1.1399999999999999</v>
      </c>
      <c r="M299" s="122">
        <v>0.81</v>
      </c>
      <c r="N299" s="118">
        <v>-2.35</v>
      </c>
      <c r="O299" s="123" t="s">
        <v>1747</v>
      </c>
    </row>
    <row r="300" spans="1:15" ht="43.2">
      <c r="A300" s="118" t="s">
        <v>2291</v>
      </c>
      <c r="B300" s="118" t="s">
        <v>1752</v>
      </c>
      <c r="C300" s="118" t="s">
        <v>1749</v>
      </c>
      <c r="D300" s="119">
        <v>43586</v>
      </c>
      <c r="E300" s="118" t="s">
        <v>2292</v>
      </c>
      <c r="F300" s="118" t="s">
        <v>2190</v>
      </c>
      <c r="G300" s="118">
        <v>3</v>
      </c>
      <c r="H300" s="118">
        <v>2</v>
      </c>
      <c r="I300" s="118">
        <v>12.7</v>
      </c>
      <c r="J300" s="118">
        <v>99.7</v>
      </c>
      <c r="K300" s="118"/>
      <c r="L300" s="122">
        <v>-1.07</v>
      </c>
      <c r="M300" s="122">
        <v>0.86</v>
      </c>
      <c r="N300" s="118">
        <v>-2.3199999999999998</v>
      </c>
      <c r="O300" s="123" t="s">
        <v>1747</v>
      </c>
    </row>
    <row r="301" spans="1:15" ht="43.2">
      <c r="A301" s="118" t="s">
        <v>2293</v>
      </c>
      <c r="B301" s="118" t="s">
        <v>1743</v>
      </c>
      <c r="C301" s="118" t="s">
        <v>1749</v>
      </c>
      <c r="D301" s="119">
        <v>43683</v>
      </c>
      <c r="E301" s="118" t="s">
        <v>2294</v>
      </c>
      <c r="F301" s="118" t="s">
        <v>2190</v>
      </c>
      <c r="G301" s="118">
        <v>3</v>
      </c>
      <c r="H301" s="118">
        <v>3</v>
      </c>
      <c r="I301" s="118">
        <v>12.4</v>
      </c>
      <c r="J301" s="118">
        <v>99.9</v>
      </c>
      <c r="K301" s="118"/>
      <c r="L301" s="122">
        <v>-0.6</v>
      </c>
      <c r="M301" s="122">
        <v>1.8</v>
      </c>
      <c r="N301" s="118">
        <v>-2.33</v>
      </c>
      <c r="O301" s="123" t="s">
        <v>1747</v>
      </c>
    </row>
    <row r="302" spans="1:15" ht="57.6">
      <c r="A302" s="118" t="s">
        <v>2295</v>
      </c>
      <c r="B302" s="118" t="s">
        <v>1752</v>
      </c>
      <c r="C302" s="118" t="s">
        <v>1749</v>
      </c>
      <c r="D302" s="119">
        <v>43755</v>
      </c>
      <c r="E302" s="118" t="s">
        <v>2296</v>
      </c>
      <c r="F302" s="118" t="s">
        <v>2190</v>
      </c>
      <c r="G302" s="118">
        <v>1</v>
      </c>
      <c r="H302" s="118">
        <v>3</v>
      </c>
      <c r="I302" s="118">
        <v>12.4</v>
      </c>
      <c r="J302" s="118">
        <v>100</v>
      </c>
      <c r="K302" s="118"/>
      <c r="L302" s="122">
        <v>-0.72</v>
      </c>
      <c r="M302" s="122">
        <v>2.1</v>
      </c>
      <c r="N302" s="118">
        <v>-2.7</v>
      </c>
      <c r="O302" s="123" t="s">
        <v>1747</v>
      </c>
    </row>
    <row r="303" spans="1:15" ht="43.2">
      <c r="A303" s="118" t="s">
        <v>2297</v>
      </c>
      <c r="B303" s="118" t="s">
        <v>1752</v>
      </c>
      <c r="C303" s="118" t="s">
        <v>1749</v>
      </c>
      <c r="D303" s="119">
        <v>43642</v>
      </c>
      <c r="E303" s="118" t="s">
        <v>2298</v>
      </c>
      <c r="F303" s="118" t="s">
        <v>2190</v>
      </c>
      <c r="G303" s="118">
        <v>8</v>
      </c>
      <c r="H303" s="118">
        <v>3</v>
      </c>
      <c r="I303" s="118">
        <v>12.9</v>
      </c>
      <c r="J303" s="118">
        <v>100</v>
      </c>
      <c r="K303" s="118"/>
      <c r="L303" s="122">
        <v>-0.76</v>
      </c>
      <c r="M303" s="122">
        <v>1.29</v>
      </c>
      <c r="N303" s="118">
        <v>-2.19</v>
      </c>
      <c r="O303" s="123" t="s">
        <v>1747</v>
      </c>
    </row>
    <row r="304" spans="1:15" ht="43.2">
      <c r="A304" s="118" t="s">
        <v>2299</v>
      </c>
      <c r="B304" s="118" t="s">
        <v>1752</v>
      </c>
      <c r="C304" s="118" t="s">
        <v>1786</v>
      </c>
      <c r="D304" s="119">
        <v>43316</v>
      </c>
      <c r="E304" s="118" t="s">
        <v>2300</v>
      </c>
      <c r="F304" s="118" t="s">
        <v>2190</v>
      </c>
      <c r="G304" s="118">
        <v>5</v>
      </c>
      <c r="H304" s="118">
        <v>3</v>
      </c>
      <c r="I304" s="118">
        <v>13.5</v>
      </c>
      <c r="J304" s="118">
        <v>103</v>
      </c>
      <c r="K304" s="118"/>
      <c r="L304" s="122">
        <v>-1.33</v>
      </c>
      <c r="M304" s="122">
        <v>0.27</v>
      </c>
      <c r="N304" s="118">
        <v>-2.27</v>
      </c>
      <c r="O304" s="123" t="s">
        <v>1747</v>
      </c>
    </row>
    <row r="305" spans="1:15" ht="43.2">
      <c r="A305" s="118" t="s">
        <v>2301</v>
      </c>
      <c r="B305" s="118" t="s">
        <v>1752</v>
      </c>
      <c r="C305" s="118" t="s">
        <v>1779</v>
      </c>
      <c r="D305" s="119">
        <v>42859</v>
      </c>
      <c r="E305" s="118" t="s">
        <v>2302</v>
      </c>
      <c r="F305" s="118" t="s">
        <v>2190</v>
      </c>
      <c r="G305" s="118">
        <v>1</v>
      </c>
      <c r="H305" s="118">
        <v>5</v>
      </c>
      <c r="I305" s="118">
        <v>15.5</v>
      </c>
      <c r="J305" s="118">
        <v>110.2</v>
      </c>
      <c r="K305" s="118"/>
      <c r="L305" s="122">
        <v>-1.27</v>
      </c>
      <c r="M305" s="122">
        <v>0.02</v>
      </c>
      <c r="N305" s="118">
        <v>-2.13</v>
      </c>
      <c r="O305" s="123" t="s">
        <v>1747</v>
      </c>
    </row>
    <row r="306" spans="1:15" ht="43.2">
      <c r="A306" s="118" t="s">
        <v>2303</v>
      </c>
      <c r="B306" s="118" t="s">
        <v>1743</v>
      </c>
      <c r="C306" s="118" t="s">
        <v>1779</v>
      </c>
      <c r="D306" s="119">
        <v>43191</v>
      </c>
      <c r="E306" s="118" t="s">
        <v>2304</v>
      </c>
      <c r="F306" s="118" t="s">
        <v>2190</v>
      </c>
      <c r="G306" s="118">
        <v>3</v>
      </c>
      <c r="H306" s="118">
        <v>5</v>
      </c>
      <c r="I306" s="118">
        <v>8.9</v>
      </c>
      <c r="J306" s="118">
        <v>86.5</v>
      </c>
      <c r="K306" s="118">
        <v>12.5</v>
      </c>
      <c r="L306" s="122">
        <v>-4.4400000000000004</v>
      </c>
      <c r="M306" s="122">
        <v>-4.07</v>
      </c>
      <c r="N306" s="118">
        <v>-3.12</v>
      </c>
      <c r="O306" s="123" t="s">
        <v>1790</v>
      </c>
    </row>
    <row r="307" spans="1:15" ht="43.2">
      <c r="A307" s="118" t="s">
        <v>2305</v>
      </c>
      <c r="B307" s="118" t="s">
        <v>1743</v>
      </c>
      <c r="C307" s="118" t="s">
        <v>1749</v>
      </c>
      <c r="D307" s="119">
        <v>43645</v>
      </c>
      <c r="E307" s="118" t="s">
        <v>2306</v>
      </c>
      <c r="F307" s="118" t="s">
        <v>2190</v>
      </c>
      <c r="G307" s="118">
        <v>1</v>
      </c>
      <c r="H307" s="118">
        <v>6</v>
      </c>
      <c r="I307" s="118">
        <v>8.6999999999999993</v>
      </c>
      <c r="J307" s="118">
        <v>82.8</v>
      </c>
      <c r="K307" s="118"/>
      <c r="L307" s="122">
        <v>-3.63</v>
      </c>
      <c r="M307" s="122">
        <v>-2.98</v>
      </c>
      <c r="N307" s="118">
        <v>-2.6</v>
      </c>
      <c r="O307" s="123" t="s">
        <v>1747</v>
      </c>
    </row>
    <row r="308" spans="1:15" ht="43.2">
      <c r="A308" s="118" t="s">
        <v>2307</v>
      </c>
      <c r="B308" s="118" t="s">
        <v>1743</v>
      </c>
      <c r="C308" s="118" t="s">
        <v>1786</v>
      </c>
      <c r="D308" s="119">
        <v>43249</v>
      </c>
      <c r="E308" s="118" t="s">
        <v>2308</v>
      </c>
      <c r="F308" s="118" t="s">
        <v>1781</v>
      </c>
      <c r="G308" s="118">
        <v>4</v>
      </c>
      <c r="H308" s="118">
        <v>2</v>
      </c>
      <c r="I308" s="118">
        <v>13</v>
      </c>
      <c r="J308" s="118">
        <v>102.2</v>
      </c>
      <c r="K308" s="118"/>
      <c r="L308" s="122">
        <v>-1.57</v>
      </c>
      <c r="M308" s="122">
        <v>-0.1</v>
      </c>
      <c r="N308" s="118">
        <v>-2.27</v>
      </c>
      <c r="O308" s="123" t="s">
        <v>1747</v>
      </c>
    </row>
    <row r="309" spans="1:15" ht="43.2">
      <c r="A309" s="118" t="s">
        <v>2309</v>
      </c>
      <c r="B309" s="118" t="s">
        <v>1752</v>
      </c>
      <c r="C309" s="118" t="s">
        <v>1786</v>
      </c>
      <c r="D309" s="119">
        <v>43314</v>
      </c>
      <c r="E309" s="118" t="s">
        <v>2310</v>
      </c>
      <c r="F309" s="118" t="s">
        <v>1781</v>
      </c>
      <c r="G309" s="118">
        <v>1</v>
      </c>
      <c r="H309" s="118">
        <v>11</v>
      </c>
      <c r="I309" s="118">
        <v>12.9</v>
      </c>
      <c r="J309" s="118">
        <v>102</v>
      </c>
      <c r="K309" s="118"/>
      <c r="L309" s="122">
        <v>-1.71</v>
      </c>
      <c r="M309" s="122">
        <v>-0.01</v>
      </c>
      <c r="N309" s="118">
        <v>-2.63</v>
      </c>
      <c r="O309" s="123" t="s">
        <v>1747</v>
      </c>
    </row>
    <row r="310" spans="1:15" ht="43.2">
      <c r="A310" s="118" t="s">
        <v>2311</v>
      </c>
      <c r="B310" s="118" t="s">
        <v>1743</v>
      </c>
      <c r="C310" s="118" t="s">
        <v>1786</v>
      </c>
      <c r="D310" s="119">
        <v>43462</v>
      </c>
      <c r="E310" s="118" t="s">
        <v>2131</v>
      </c>
      <c r="F310" s="118" t="s">
        <v>1781</v>
      </c>
      <c r="G310" s="118">
        <v>2</v>
      </c>
      <c r="H310" s="118">
        <v>11</v>
      </c>
      <c r="I310" s="118">
        <v>13</v>
      </c>
      <c r="J310" s="118">
        <v>101.2</v>
      </c>
      <c r="K310" s="118"/>
      <c r="L310" s="122">
        <v>-0.97</v>
      </c>
      <c r="M310" s="122">
        <v>0.72</v>
      </c>
      <c r="N310" s="118">
        <v>-2.0499999999999998</v>
      </c>
      <c r="O310" s="123" t="s">
        <v>1747</v>
      </c>
    </row>
    <row r="311" spans="1:15" ht="43.2">
      <c r="A311" s="118" t="s">
        <v>2312</v>
      </c>
      <c r="B311" s="118" t="s">
        <v>1743</v>
      </c>
      <c r="C311" s="118" t="s">
        <v>1786</v>
      </c>
      <c r="D311" s="119">
        <v>43524</v>
      </c>
      <c r="E311" s="118" t="s">
        <v>2313</v>
      </c>
      <c r="F311" s="118" t="s">
        <v>1781</v>
      </c>
      <c r="G311" s="118">
        <v>2</v>
      </c>
      <c r="H311" s="118">
        <v>11</v>
      </c>
      <c r="I311" s="118">
        <v>11.4</v>
      </c>
      <c r="J311" s="118">
        <v>94.3</v>
      </c>
      <c r="K311" s="118"/>
      <c r="L311" s="122">
        <v>-1.84</v>
      </c>
      <c r="M311" s="122">
        <v>-0.68</v>
      </c>
      <c r="N311" s="118">
        <v>-2.14</v>
      </c>
      <c r="O311" s="123" t="s">
        <v>1747</v>
      </c>
    </row>
    <row r="312" spans="1:15" ht="43.2">
      <c r="A312" s="118" t="s">
        <v>2314</v>
      </c>
      <c r="B312" s="118" t="s">
        <v>1752</v>
      </c>
      <c r="C312" s="118" t="s">
        <v>1749</v>
      </c>
      <c r="D312" s="119">
        <v>43725</v>
      </c>
      <c r="E312" s="118" t="s">
        <v>2196</v>
      </c>
      <c r="F312" s="118" t="s">
        <v>1781</v>
      </c>
      <c r="G312" s="118">
        <v>3</v>
      </c>
      <c r="H312" s="118">
        <v>2</v>
      </c>
      <c r="I312" s="118">
        <v>11.2</v>
      </c>
      <c r="J312" s="118">
        <v>94</v>
      </c>
      <c r="K312" s="118"/>
      <c r="L312" s="122">
        <v>-1.7</v>
      </c>
      <c r="M312" s="122">
        <v>0.14000000000000001</v>
      </c>
      <c r="N312" s="118">
        <v>-2.71</v>
      </c>
      <c r="O312" s="123" t="s">
        <v>1747</v>
      </c>
    </row>
    <row r="313" spans="1:15" ht="43.2">
      <c r="A313" s="118" t="s">
        <v>2315</v>
      </c>
      <c r="B313" s="118" t="s">
        <v>1752</v>
      </c>
      <c r="C313" s="118" t="s">
        <v>1749</v>
      </c>
      <c r="D313" s="119">
        <v>43733</v>
      </c>
      <c r="E313" s="118" t="s">
        <v>2119</v>
      </c>
      <c r="F313" s="118" t="s">
        <v>1781</v>
      </c>
      <c r="G313" s="118">
        <v>2</v>
      </c>
      <c r="H313" s="118">
        <v>2</v>
      </c>
      <c r="I313" s="118">
        <v>11.2</v>
      </c>
      <c r="J313" s="118">
        <v>93.1</v>
      </c>
      <c r="K313" s="118"/>
      <c r="L313" s="122">
        <v>-1.67</v>
      </c>
      <c r="M313" s="122">
        <v>-7.0000000000000007E-2</v>
      </c>
      <c r="N313" s="118">
        <v>-2.5099999999999998</v>
      </c>
      <c r="O313" s="123" t="s">
        <v>1747</v>
      </c>
    </row>
    <row r="314" spans="1:15" ht="43.2">
      <c r="A314" s="118" t="s">
        <v>2316</v>
      </c>
      <c r="B314" s="118" t="s">
        <v>1752</v>
      </c>
      <c r="C314" s="118" t="s">
        <v>1786</v>
      </c>
      <c r="D314" s="119">
        <v>43298</v>
      </c>
      <c r="E314" s="118" t="s">
        <v>2317</v>
      </c>
      <c r="F314" s="118" t="s">
        <v>1781</v>
      </c>
      <c r="G314" s="118">
        <v>2</v>
      </c>
      <c r="H314" s="118">
        <v>11</v>
      </c>
      <c r="I314" s="118">
        <v>8.8000000000000007</v>
      </c>
      <c r="J314" s="118">
        <v>84</v>
      </c>
      <c r="K314" s="118"/>
      <c r="L314" s="122">
        <v>-4.58</v>
      </c>
      <c r="M314" s="122">
        <v>-4.45</v>
      </c>
      <c r="N314" s="118">
        <v>-3.32</v>
      </c>
      <c r="O314" s="123" t="s">
        <v>1790</v>
      </c>
    </row>
    <row r="315" spans="1:15" ht="43.2">
      <c r="A315" s="118" t="s">
        <v>2318</v>
      </c>
      <c r="B315" s="118" t="s">
        <v>1743</v>
      </c>
      <c r="C315" s="118" t="s">
        <v>1779</v>
      </c>
      <c r="D315" s="119">
        <v>43185</v>
      </c>
      <c r="E315" s="118" t="s">
        <v>2131</v>
      </c>
      <c r="F315" s="118" t="s">
        <v>1781</v>
      </c>
      <c r="G315" s="118">
        <v>1</v>
      </c>
      <c r="H315" s="118">
        <v>11</v>
      </c>
      <c r="I315" s="118">
        <v>12.7</v>
      </c>
      <c r="J315" s="118">
        <v>102</v>
      </c>
      <c r="K315" s="118"/>
      <c r="L315" s="122">
        <v>-1.9</v>
      </c>
      <c r="M315" s="122">
        <v>-0.41</v>
      </c>
      <c r="N315" s="118">
        <v>-2.5</v>
      </c>
      <c r="O315" s="123" t="s">
        <v>1747</v>
      </c>
    </row>
    <row r="316" spans="1:15" ht="43.2">
      <c r="A316" s="118" t="s">
        <v>2319</v>
      </c>
      <c r="B316" s="118" t="s">
        <v>1752</v>
      </c>
      <c r="C316" s="118" t="s">
        <v>1786</v>
      </c>
      <c r="D316" s="119">
        <v>43272</v>
      </c>
      <c r="E316" s="118" t="s">
        <v>2320</v>
      </c>
      <c r="F316" s="118" t="s">
        <v>1781</v>
      </c>
      <c r="G316" s="118">
        <v>3</v>
      </c>
      <c r="H316" s="118">
        <v>11</v>
      </c>
      <c r="I316" s="118">
        <v>12.6</v>
      </c>
      <c r="J316" s="118">
        <v>102</v>
      </c>
      <c r="K316" s="118"/>
      <c r="L316" s="122">
        <v>-1.99</v>
      </c>
      <c r="M316" s="122">
        <v>-0.18</v>
      </c>
      <c r="N316" s="118">
        <v>-2.94</v>
      </c>
      <c r="O316" s="123" t="s">
        <v>1747</v>
      </c>
    </row>
    <row r="317" spans="1:15" ht="28.8">
      <c r="A317" s="118" t="s">
        <v>2321</v>
      </c>
      <c r="B317" s="118" t="s">
        <v>1752</v>
      </c>
      <c r="C317" s="118" t="s">
        <v>1786</v>
      </c>
      <c r="D317" s="119">
        <v>43420</v>
      </c>
      <c r="E317" s="118" t="s">
        <v>1798</v>
      </c>
      <c r="F317" s="118" t="s">
        <v>1784</v>
      </c>
      <c r="G317" s="118">
        <v>4</v>
      </c>
      <c r="H317" s="118">
        <v>5</v>
      </c>
      <c r="I317" s="118">
        <v>12.3</v>
      </c>
      <c r="J317" s="118">
        <v>102.9</v>
      </c>
      <c r="K317" s="118"/>
      <c r="L317" s="122">
        <v>-1.81</v>
      </c>
      <c r="M317" s="122">
        <v>0.76</v>
      </c>
      <c r="N317" s="118">
        <v>-3.42</v>
      </c>
      <c r="O317" s="123" t="s">
        <v>1790</v>
      </c>
    </row>
    <row r="318" spans="1:15" ht="28.8">
      <c r="A318" s="118" t="s">
        <v>2322</v>
      </c>
      <c r="B318" s="118" t="s">
        <v>1752</v>
      </c>
      <c r="C318" s="118" t="s">
        <v>1786</v>
      </c>
      <c r="D318" s="119">
        <v>43451</v>
      </c>
      <c r="E318" s="118" t="s">
        <v>1802</v>
      </c>
      <c r="F318" s="118" t="s">
        <v>1784</v>
      </c>
      <c r="G318" s="118">
        <v>3</v>
      </c>
      <c r="H318" s="118">
        <v>7</v>
      </c>
      <c r="I318" s="118">
        <v>13.7</v>
      </c>
      <c r="J318" s="118">
        <v>103.8</v>
      </c>
      <c r="K318" s="118"/>
      <c r="L318" s="122">
        <v>-0.84</v>
      </c>
      <c r="M318" s="122">
        <v>1.1499999999999999</v>
      </c>
      <c r="N318" s="118">
        <v>-2.2599999999999998</v>
      </c>
      <c r="O318" s="123" t="s">
        <v>1747</v>
      </c>
    </row>
    <row r="319" spans="1:15" ht="28.8">
      <c r="A319" s="118" t="s">
        <v>2323</v>
      </c>
      <c r="B319" s="118" t="s">
        <v>1752</v>
      </c>
      <c r="C319" s="118" t="s">
        <v>1749</v>
      </c>
      <c r="D319" s="119">
        <v>43802</v>
      </c>
      <c r="E319" s="118" t="s">
        <v>2324</v>
      </c>
      <c r="F319" s="118" t="s">
        <v>1784</v>
      </c>
      <c r="G319" s="118">
        <v>3</v>
      </c>
      <c r="H319" s="118">
        <v>7</v>
      </c>
      <c r="I319" s="118">
        <v>11.7</v>
      </c>
      <c r="J319" s="118">
        <v>93.6</v>
      </c>
      <c r="K319" s="118"/>
      <c r="L319" s="122">
        <v>-1.04</v>
      </c>
      <c r="M319" s="122">
        <v>0.6</v>
      </c>
      <c r="N319" s="118">
        <v>-2.0499999999999998</v>
      </c>
      <c r="O319" s="123" t="s">
        <v>1747</v>
      </c>
    </row>
    <row r="320" spans="1:15" ht="28.8">
      <c r="A320" s="118" t="s">
        <v>2325</v>
      </c>
      <c r="B320" s="118" t="s">
        <v>1743</v>
      </c>
      <c r="C320" s="118" t="s">
        <v>1755</v>
      </c>
      <c r="D320" s="119">
        <v>44505</v>
      </c>
      <c r="E320" s="118" t="s">
        <v>2326</v>
      </c>
      <c r="F320" s="118" t="s">
        <v>1784</v>
      </c>
      <c r="G320" s="118">
        <v>7</v>
      </c>
      <c r="H320" s="118">
        <v>7</v>
      </c>
      <c r="I320" s="118">
        <v>6</v>
      </c>
      <c r="J320" s="118">
        <v>65.5</v>
      </c>
      <c r="K320" s="118"/>
      <c r="L320" s="122">
        <v>-1.73</v>
      </c>
      <c r="M320" s="122">
        <v>-0.28999999999999998</v>
      </c>
      <c r="N320" s="118">
        <v>-2.06</v>
      </c>
      <c r="O320" s="123" t="s">
        <v>1747</v>
      </c>
    </row>
    <row r="321" spans="1:15" ht="43.2">
      <c r="A321" s="118" t="s">
        <v>2327</v>
      </c>
      <c r="B321" s="118" t="s">
        <v>1752</v>
      </c>
      <c r="C321" s="118" t="s">
        <v>1786</v>
      </c>
      <c r="D321" s="119">
        <v>43337</v>
      </c>
      <c r="E321" s="118" t="s">
        <v>2328</v>
      </c>
      <c r="F321" s="118" t="s">
        <v>1784</v>
      </c>
      <c r="G321" s="118">
        <v>3</v>
      </c>
      <c r="H321" s="118">
        <v>4</v>
      </c>
      <c r="I321" s="118">
        <v>13</v>
      </c>
      <c r="J321" s="118">
        <v>102</v>
      </c>
      <c r="K321" s="118"/>
      <c r="L321" s="122">
        <v>-1.58</v>
      </c>
      <c r="M321" s="122">
        <v>0.12</v>
      </c>
      <c r="N321" s="118">
        <v>-2.5299999999999998</v>
      </c>
      <c r="O321" s="123" t="s">
        <v>1747</v>
      </c>
    </row>
    <row r="322" spans="1:15" ht="57.6">
      <c r="A322" s="118" t="s">
        <v>2329</v>
      </c>
      <c r="B322" s="118" t="s">
        <v>1752</v>
      </c>
      <c r="C322" s="118" t="s">
        <v>1749</v>
      </c>
      <c r="D322" s="119">
        <v>43798</v>
      </c>
      <c r="E322" s="118" t="s">
        <v>2330</v>
      </c>
      <c r="F322" s="118" t="s">
        <v>1784</v>
      </c>
      <c r="G322" s="118">
        <v>1</v>
      </c>
      <c r="H322" s="118">
        <v>4</v>
      </c>
      <c r="I322" s="118">
        <v>11.2</v>
      </c>
      <c r="J322" s="118">
        <v>94.3</v>
      </c>
      <c r="K322" s="118"/>
      <c r="L322" s="122">
        <v>-1.44</v>
      </c>
      <c r="M322" s="122">
        <v>0.74</v>
      </c>
      <c r="N322" s="118">
        <v>-2.78</v>
      </c>
      <c r="O322" s="123" t="s">
        <v>1747</v>
      </c>
    </row>
    <row r="323" spans="1:15" ht="28.8">
      <c r="A323" s="118" t="s">
        <v>2331</v>
      </c>
      <c r="B323" s="118" t="s">
        <v>1743</v>
      </c>
      <c r="C323" s="118" t="s">
        <v>1779</v>
      </c>
      <c r="D323" s="119">
        <v>42888</v>
      </c>
      <c r="E323" s="118" t="s">
        <v>2036</v>
      </c>
      <c r="F323" s="118" t="s">
        <v>1784</v>
      </c>
      <c r="G323" s="118">
        <v>2</v>
      </c>
      <c r="H323" s="118">
        <v>4</v>
      </c>
      <c r="I323" s="118">
        <v>14.3</v>
      </c>
      <c r="J323" s="118">
        <v>106</v>
      </c>
      <c r="K323" s="118"/>
      <c r="L323" s="122">
        <v>-1.73</v>
      </c>
      <c r="M323" s="122">
        <v>-0.75</v>
      </c>
      <c r="N323" s="118">
        <v>-2.0099999999999998</v>
      </c>
      <c r="O323" s="123" t="s">
        <v>1747</v>
      </c>
    </row>
    <row r="324" spans="1:15" ht="43.2">
      <c r="A324" s="118" t="s">
        <v>2332</v>
      </c>
      <c r="B324" s="118" t="s">
        <v>1752</v>
      </c>
      <c r="C324" s="118" t="s">
        <v>1786</v>
      </c>
      <c r="D324" s="119">
        <v>43530</v>
      </c>
      <c r="E324" s="118" t="s">
        <v>1907</v>
      </c>
      <c r="F324" s="118" t="s">
        <v>1784</v>
      </c>
      <c r="G324" s="118">
        <v>3</v>
      </c>
      <c r="H324" s="118">
        <v>2</v>
      </c>
      <c r="I324" s="118">
        <v>11</v>
      </c>
      <c r="J324" s="118">
        <v>91</v>
      </c>
      <c r="K324" s="118"/>
      <c r="L324" s="122">
        <v>-2.4900000000000002</v>
      </c>
      <c r="M324" s="122">
        <v>-1.86</v>
      </c>
      <c r="N324" s="118">
        <v>-2.27</v>
      </c>
      <c r="O324" s="123" t="s">
        <v>1747</v>
      </c>
    </row>
    <row r="325" spans="1:15" ht="43.2">
      <c r="A325" s="118" t="s">
        <v>2333</v>
      </c>
      <c r="B325" s="118" t="s">
        <v>1752</v>
      </c>
      <c r="C325" s="118" t="s">
        <v>1749</v>
      </c>
      <c r="D325" s="119">
        <v>43719</v>
      </c>
      <c r="E325" s="118" t="s">
        <v>2334</v>
      </c>
      <c r="F325" s="118" t="s">
        <v>1784</v>
      </c>
      <c r="G325" s="118">
        <v>1</v>
      </c>
      <c r="H325" s="118">
        <v>4</v>
      </c>
      <c r="I325" s="118">
        <v>10</v>
      </c>
      <c r="J325" s="118">
        <v>88</v>
      </c>
      <c r="K325" s="118">
        <v>17</v>
      </c>
      <c r="L325" s="122">
        <v>-2.72</v>
      </c>
      <c r="M325" s="122">
        <v>-1.67</v>
      </c>
      <c r="N325" s="118">
        <v>-2.78</v>
      </c>
      <c r="O325" s="123" t="s">
        <v>1747</v>
      </c>
    </row>
    <row r="326" spans="1:15" ht="28.8">
      <c r="A326" s="118" t="s">
        <v>2335</v>
      </c>
      <c r="B326" s="118" t="s">
        <v>1743</v>
      </c>
      <c r="C326" s="118" t="s">
        <v>1749</v>
      </c>
      <c r="D326" s="119">
        <v>43764</v>
      </c>
      <c r="E326" s="118" t="s">
        <v>2336</v>
      </c>
      <c r="F326" s="118" t="s">
        <v>1784</v>
      </c>
      <c r="G326" s="118">
        <v>1</v>
      </c>
      <c r="H326" s="118">
        <v>4</v>
      </c>
      <c r="I326" s="118">
        <v>12.5</v>
      </c>
      <c r="J326" s="118">
        <v>100</v>
      </c>
      <c r="K326" s="118"/>
      <c r="L326" s="122">
        <v>-0.28999999999999998</v>
      </c>
      <c r="M326" s="122">
        <v>2.3199999999999998</v>
      </c>
      <c r="N326" s="118">
        <v>-2.25</v>
      </c>
      <c r="O326" s="123" t="s">
        <v>1747</v>
      </c>
    </row>
    <row r="327" spans="1:15" ht="28.8">
      <c r="A327" s="118" t="s">
        <v>2337</v>
      </c>
      <c r="B327" s="118" t="s">
        <v>1752</v>
      </c>
      <c r="C327" s="118" t="s">
        <v>1744</v>
      </c>
      <c r="D327" s="119">
        <v>44156</v>
      </c>
      <c r="E327" s="118" t="s">
        <v>2338</v>
      </c>
      <c r="F327" s="118" t="s">
        <v>1784</v>
      </c>
      <c r="G327" s="118">
        <v>1</v>
      </c>
      <c r="H327" s="118">
        <v>4</v>
      </c>
      <c r="I327" s="118">
        <v>9</v>
      </c>
      <c r="J327" s="118">
        <v>81</v>
      </c>
      <c r="K327" s="118"/>
      <c r="L327" s="122">
        <v>-1.88</v>
      </c>
      <c r="M327" s="122">
        <v>-0.49</v>
      </c>
      <c r="N327" s="118">
        <v>-2.2400000000000002</v>
      </c>
      <c r="O327" s="123" t="s">
        <v>1747</v>
      </c>
    </row>
    <row r="328" spans="1:15" ht="72">
      <c r="A328" s="118" t="s">
        <v>2339</v>
      </c>
      <c r="B328" s="118" t="s">
        <v>1743</v>
      </c>
      <c r="C328" s="118" t="s">
        <v>1744</v>
      </c>
      <c r="D328" s="119">
        <v>44117</v>
      </c>
      <c r="E328" s="118" t="s">
        <v>2340</v>
      </c>
      <c r="F328" s="118" t="s">
        <v>1807</v>
      </c>
      <c r="G328" s="118">
        <v>3</v>
      </c>
      <c r="H328" s="118">
        <v>3</v>
      </c>
      <c r="I328" s="118">
        <v>8.1999999999999993</v>
      </c>
      <c r="J328" s="118">
        <v>80</v>
      </c>
      <c r="K328" s="118"/>
      <c r="L328" s="122">
        <v>-2.21</v>
      </c>
      <c r="M328" s="122">
        <v>-0.69</v>
      </c>
      <c r="N328" s="118">
        <v>-2.59</v>
      </c>
      <c r="O328" s="123" t="s">
        <v>1747</v>
      </c>
    </row>
    <row r="329" spans="1:15" ht="43.2">
      <c r="A329" s="118" t="s">
        <v>2341</v>
      </c>
      <c r="B329" s="118" t="s">
        <v>1752</v>
      </c>
      <c r="C329" s="118" t="s">
        <v>1755</v>
      </c>
      <c r="D329" s="119">
        <v>44481</v>
      </c>
      <c r="E329" s="118" t="s">
        <v>1806</v>
      </c>
      <c r="F329" s="118" t="s">
        <v>1807</v>
      </c>
      <c r="G329" s="118">
        <v>11</v>
      </c>
      <c r="H329" s="118">
        <v>3</v>
      </c>
      <c r="I329" s="118">
        <v>6.7</v>
      </c>
      <c r="J329" s="118">
        <v>68</v>
      </c>
      <c r="K329" s="118">
        <v>13</v>
      </c>
      <c r="L329" s="122">
        <v>-2.3199999999999998</v>
      </c>
      <c r="M329" s="122">
        <v>-1.25</v>
      </c>
      <c r="N329" s="118">
        <v>-2.17</v>
      </c>
      <c r="O329" s="123" t="s">
        <v>1747</v>
      </c>
    </row>
    <row r="330" spans="1:15" ht="43.2">
      <c r="A330" s="118" t="s">
        <v>2342</v>
      </c>
      <c r="B330" s="118" t="s">
        <v>1743</v>
      </c>
      <c r="C330" s="118" t="s">
        <v>1749</v>
      </c>
      <c r="D330" s="119">
        <v>43664</v>
      </c>
      <c r="E330" s="118" t="s">
        <v>2343</v>
      </c>
      <c r="F330" s="118" t="s">
        <v>1807</v>
      </c>
      <c r="G330" s="118">
        <v>3</v>
      </c>
      <c r="H330" s="118">
        <v>2</v>
      </c>
      <c r="I330" s="118">
        <v>12.2</v>
      </c>
      <c r="J330" s="118">
        <v>97.8</v>
      </c>
      <c r="K330" s="118"/>
      <c r="L330" s="122">
        <v>-0.85</v>
      </c>
      <c r="M330" s="122">
        <v>1</v>
      </c>
      <c r="N330" s="118">
        <v>-2.0699999999999998</v>
      </c>
      <c r="O330" s="123" t="s">
        <v>1747</v>
      </c>
    </row>
    <row r="331" spans="1:15" ht="43.2">
      <c r="A331" s="118" t="s">
        <v>2344</v>
      </c>
      <c r="B331" s="118" t="s">
        <v>1743</v>
      </c>
      <c r="C331" s="118" t="s">
        <v>1786</v>
      </c>
      <c r="D331" s="119">
        <v>43379</v>
      </c>
      <c r="E331" s="118" t="s">
        <v>2345</v>
      </c>
      <c r="F331" s="118" t="s">
        <v>1807</v>
      </c>
      <c r="G331" s="118">
        <v>1</v>
      </c>
      <c r="H331" s="118">
        <v>3</v>
      </c>
      <c r="I331" s="118">
        <v>13.3</v>
      </c>
      <c r="J331" s="118">
        <v>103.3</v>
      </c>
      <c r="K331" s="118"/>
      <c r="L331" s="122">
        <v>-1.08</v>
      </c>
      <c r="M331" s="122">
        <v>0.72</v>
      </c>
      <c r="N331" s="118">
        <v>-2.25</v>
      </c>
      <c r="O331" s="123" t="s">
        <v>1747</v>
      </c>
    </row>
    <row r="332" spans="1:15" ht="57.6">
      <c r="A332" s="118" t="s">
        <v>2346</v>
      </c>
      <c r="B332" s="118" t="s">
        <v>1752</v>
      </c>
      <c r="C332" s="118" t="s">
        <v>1786</v>
      </c>
      <c r="D332" s="119">
        <v>43392</v>
      </c>
      <c r="E332" s="118" t="s">
        <v>2347</v>
      </c>
      <c r="F332" s="118" t="s">
        <v>1807</v>
      </c>
      <c r="G332" s="118">
        <v>3</v>
      </c>
      <c r="H332" s="118">
        <v>4</v>
      </c>
      <c r="I332" s="118">
        <v>13.7</v>
      </c>
      <c r="J332" s="118">
        <v>103.4</v>
      </c>
      <c r="K332" s="118"/>
      <c r="L332" s="122">
        <v>-1.05</v>
      </c>
      <c r="M332" s="122">
        <v>0.65</v>
      </c>
      <c r="N332" s="118">
        <v>-2.17</v>
      </c>
      <c r="O332" s="123" t="s">
        <v>1747</v>
      </c>
    </row>
    <row r="333" spans="1:15" ht="43.2">
      <c r="A333" s="118" t="s">
        <v>2348</v>
      </c>
      <c r="B333" s="118" t="s">
        <v>1752</v>
      </c>
      <c r="C333" s="118" t="s">
        <v>1786</v>
      </c>
      <c r="D333" s="119">
        <v>43427</v>
      </c>
      <c r="E333" s="118" t="s">
        <v>2349</v>
      </c>
      <c r="F333" s="118" t="s">
        <v>1807</v>
      </c>
      <c r="G333" s="118">
        <v>3</v>
      </c>
      <c r="H333" s="118">
        <v>4</v>
      </c>
      <c r="I333" s="118">
        <v>13.5</v>
      </c>
      <c r="J333" s="118">
        <v>102.5</v>
      </c>
      <c r="K333" s="118"/>
      <c r="L333" s="122">
        <v>-1.08</v>
      </c>
      <c r="M333" s="122">
        <v>0.6</v>
      </c>
      <c r="N333" s="118">
        <v>-2.16</v>
      </c>
      <c r="O333" s="123" t="s">
        <v>1747</v>
      </c>
    </row>
    <row r="334" spans="1:15" ht="28.8">
      <c r="A334" s="118" t="s">
        <v>2350</v>
      </c>
      <c r="B334" s="118" t="s">
        <v>1743</v>
      </c>
      <c r="C334" s="118" t="s">
        <v>1744</v>
      </c>
      <c r="D334" s="119">
        <v>44118</v>
      </c>
      <c r="E334" s="118" t="s">
        <v>1813</v>
      </c>
      <c r="F334" s="118" t="s">
        <v>1746</v>
      </c>
      <c r="G334" s="118">
        <v>1</v>
      </c>
      <c r="H334" s="118">
        <v>2</v>
      </c>
      <c r="I334" s="118">
        <v>9.4</v>
      </c>
      <c r="J334" s="118">
        <v>87.8</v>
      </c>
      <c r="K334" s="118"/>
      <c r="L334" s="122">
        <v>-1.05</v>
      </c>
      <c r="M334" s="122">
        <v>1.65</v>
      </c>
      <c r="N334" s="118">
        <v>-2.8</v>
      </c>
      <c r="O334" s="123" t="s">
        <v>1747</v>
      </c>
    </row>
    <row r="335" spans="1:15" ht="28.8">
      <c r="A335" s="118" t="s">
        <v>2351</v>
      </c>
      <c r="B335" s="118" t="s">
        <v>1752</v>
      </c>
      <c r="C335" s="118" t="s">
        <v>1779</v>
      </c>
      <c r="D335" s="119">
        <v>43018</v>
      </c>
      <c r="E335" s="118" t="s">
        <v>2352</v>
      </c>
      <c r="F335" s="118" t="s">
        <v>1746</v>
      </c>
      <c r="G335" s="118">
        <v>2</v>
      </c>
      <c r="H335" s="118">
        <v>1</v>
      </c>
      <c r="I335" s="118">
        <v>14.2</v>
      </c>
      <c r="J335" s="118">
        <v>105.2</v>
      </c>
      <c r="K335" s="118"/>
      <c r="L335" s="122">
        <v>-1.69</v>
      </c>
      <c r="M335" s="122">
        <v>-0.59</v>
      </c>
      <c r="N335" s="118">
        <v>-2.12</v>
      </c>
      <c r="O335" s="123" t="s">
        <v>1747</v>
      </c>
    </row>
    <row r="336" spans="1:15" ht="28.8">
      <c r="A336" s="118" t="s">
        <v>2353</v>
      </c>
      <c r="B336" s="118" t="s">
        <v>1743</v>
      </c>
      <c r="C336" s="118" t="s">
        <v>1749</v>
      </c>
      <c r="D336" s="119">
        <v>43604</v>
      </c>
      <c r="E336" s="118" t="s">
        <v>2354</v>
      </c>
      <c r="F336" s="118" t="s">
        <v>1746</v>
      </c>
      <c r="G336" s="118">
        <v>1</v>
      </c>
      <c r="H336" s="118">
        <v>7</v>
      </c>
      <c r="I336" s="118">
        <v>8.9</v>
      </c>
      <c r="J336" s="118">
        <v>87.2</v>
      </c>
      <c r="K336" s="118"/>
      <c r="L336" s="122">
        <v>-3.7</v>
      </c>
      <c r="M336" s="122">
        <v>-2.25</v>
      </c>
      <c r="N336" s="118">
        <v>-3.46</v>
      </c>
      <c r="O336" s="123" t="s">
        <v>1790</v>
      </c>
    </row>
    <row r="337" spans="1:15" ht="28.8">
      <c r="A337" s="118" t="s">
        <v>2355</v>
      </c>
      <c r="B337" s="118" t="s">
        <v>1743</v>
      </c>
      <c r="C337" s="118" t="s">
        <v>1749</v>
      </c>
      <c r="D337" s="119">
        <v>43818</v>
      </c>
      <c r="E337" s="118" t="s">
        <v>2356</v>
      </c>
      <c r="F337" s="118" t="s">
        <v>1746</v>
      </c>
      <c r="G337" s="118">
        <v>3</v>
      </c>
      <c r="H337" s="118">
        <v>11</v>
      </c>
      <c r="I337" s="118">
        <v>10.199999999999999</v>
      </c>
      <c r="J337" s="118">
        <v>89.2</v>
      </c>
      <c r="K337" s="118"/>
      <c r="L337" s="122">
        <v>-1.83</v>
      </c>
      <c r="M337" s="122">
        <v>-0.46</v>
      </c>
      <c r="N337" s="118">
        <v>-2.3199999999999998</v>
      </c>
      <c r="O337" s="123" t="s">
        <v>1747</v>
      </c>
    </row>
    <row r="338" spans="1:15" ht="43.2">
      <c r="A338" s="118" t="s">
        <v>2357</v>
      </c>
      <c r="B338" s="118" t="s">
        <v>1743</v>
      </c>
      <c r="C338" s="118" t="s">
        <v>1786</v>
      </c>
      <c r="D338" s="119">
        <v>43492</v>
      </c>
      <c r="E338" s="118" t="s">
        <v>2358</v>
      </c>
      <c r="F338" s="118" t="s">
        <v>1746</v>
      </c>
      <c r="G338" s="118">
        <v>5</v>
      </c>
      <c r="H338" s="118">
        <v>3</v>
      </c>
      <c r="I338" s="118">
        <v>12.2</v>
      </c>
      <c r="J338" s="118">
        <v>100.2</v>
      </c>
      <c r="K338" s="118"/>
      <c r="L338" s="122">
        <v>-1.48</v>
      </c>
      <c r="M338" s="122">
        <v>0.46</v>
      </c>
      <c r="N338" s="118">
        <v>-2.59</v>
      </c>
      <c r="O338" s="123" t="s">
        <v>1747</v>
      </c>
    </row>
    <row r="339" spans="1:15" ht="43.2">
      <c r="A339" s="118" t="s">
        <v>2359</v>
      </c>
      <c r="B339" s="118" t="s">
        <v>1752</v>
      </c>
      <c r="C339" s="118" t="s">
        <v>1786</v>
      </c>
      <c r="D339" s="119">
        <v>43316</v>
      </c>
      <c r="E339" s="118" t="s">
        <v>2360</v>
      </c>
      <c r="F339" s="118" t="s">
        <v>1746</v>
      </c>
      <c r="G339" s="118">
        <v>7</v>
      </c>
      <c r="H339" s="118">
        <v>10</v>
      </c>
      <c r="I339" s="118">
        <v>13.7</v>
      </c>
      <c r="J339" s="118">
        <v>103.5</v>
      </c>
      <c r="K339" s="118"/>
      <c r="L339" s="122">
        <v>-1.25</v>
      </c>
      <c r="M339" s="122">
        <v>0.3</v>
      </c>
      <c r="N339" s="118">
        <v>-2.19</v>
      </c>
      <c r="O339" s="123" t="s">
        <v>1747</v>
      </c>
    </row>
    <row r="340" spans="1:15" ht="28.8">
      <c r="A340" s="118" t="s">
        <v>2361</v>
      </c>
      <c r="B340" s="118" t="s">
        <v>1752</v>
      </c>
      <c r="C340" s="118" t="s">
        <v>1749</v>
      </c>
      <c r="D340" s="119">
        <v>43848</v>
      </c>
      <c r="E340" s="118" t="s">
        <v>2362</v>
      </c>
      <c r="F340" s="118" t="s">
        <v>1746</v>
      </c>
      <c r="G340" s="118">
        <v>8</v>
      </c>
      <c r="H340" s="118">
        <v>10</v>
      </c>
      <c r="I340" s="118">
        <v>9</v>
      </c>
      <c r="J340" s="118">
        <v>81</v>
      </c>
      <c r="K340" s="118">
        <v>13.5</v>
      </c>
      <c r="L340" s="122">
        <v>-3.2</v>
      </c>
      <c r="M340" s="122">
        <v>-3.01</v>
      </c>
      <c r="N340" s="118">
        <v>-2.2400000000000002</v>
      </c>
      <c r="O340" s="123" t="s">
        <v>1747</v>
      </c>
    </row>
    <row r="341" spans="1:15" ht="43.2">
      <c r="A341" s="118" t="s">
        <v>2363</v>
      </c>
      <c r="B341" s="118" t="s">
        <v>1752</v>
      </c>
      <c r="C341" s="118" t="s">
        <v>1786</v>
      </c>
      <c r="D341" s="119">
        <v>43298</v>
      </c>
      <c r="E341" s="118" t="s">
        <v>2364</v>
      </c>
      <c r="F341" s="118" t="s">
        <v>1746</v>
      </c>
      <c r="G341" s="118">
        <v>5</v>
      </c>
      <c r="H341" s="118">
        <v>9</v>
      </c>
      <c r="I341" s="118">
        <v>9</v>
      </c>
      <c r="J341" s="118">
        <v>84.2</v>
      </c>
      <c r="K341" s="118"/>
      <c r="L341" s="122">
        <v>-4.46</v>
      </c>
      <c r="M341" s="122">
        <v>-4.45</v>
      </c>
      <c r="N341" s="118">
        <v>-3.1</v>
      </c>
      <c r="O341" s="123" t="s">
        <v>1790</v>
      </c>
    </row>
    <row r="342" spans="1:15" ht="72">
      <c r="A342" s="118" t="s">
        <v>2365</v>
      </c>
      <c r="B342" s="118" t="s">
        <v>1743</v>
      </c>
      <c r="C342" s="118" t="s">
        <v>1749</v>
      </c>
      <c r="D342" s="119">
        <v>43853</v>
      </c>
      <c r="E342" s="118" t="s">
        <v>2366</v>
      </c>
      <c r="F342" s="118" t="s">
        <v>1746</v>
      </c>
      <c r="G342" s="118">
        <v>3</v>
      </c>
      <c r="H342" s="118">
        <v>6</v>
      </c>
      <c r="I342" s="118">
        <v>9.1</v>
      </c>
      <c r="J342" s="118">
        <v>82.7</v>
      </c>
      <c r="K342" s="118">
        <v>14.2</v>
      </c>
      <c r="L342" s="122">
        <v>-2.62</v>
      </c>
      <c r="M342" s="122">
        <v>-2</v>
      </c>
      <c r="N342" s="118">
        <v>-2.0299999999999998</v>
      </c>
      <c r="O342" s="123" t="s">
        <v>1747</v>
      </c>
    </row>
    <row r="343" spans="1:15" ht="28.8">
      <c r="A343" s="118" t="s">
        <v>2367</v>
      </c>
      <c r="B343" s="118" t="s">
        <v>1743</v>
      </c>
      <c r="C343" s="118" t="s">
        <v>1779</v>
      </c>
      <c r="D343" s="119">
        <v>43191</v>
      </c>
      <c r="E343" s="118" t="s">
        <v>2368</v>
      </c>
      <c r="F343" s="118" t="s">
        <v>1746</v>
      </c>
      <c r="G343" s="118">
        <v>1</v>
      </c>
      <c r="H343" s="118">
        <v>7</v>
      </c>
      <c r="I343" s="118">
        <v>9.1999999999999993</v>
      </c>
      <c r="J343" s="118">
        <v>86.7</v>
      </c>
      <c r="K343" s="118"/>
      <c r="L343" s="122">
        <v>-4.29</v>
      </c>
      <c r="M343" s="122">
        <v>-4.12</v>
      </c>
      <c r="N343" s="118">
        <v>-2.77</v>
      </c>
      <c r="O343" s="123" t="s">
        <v>1747</v>
      </c>
    </row>
    <row r="344" spans="1:15" ht="43.2">
      <c r="A344" s="118" t="s">
        <v>2369</v>
      </c>
      <c r="B344" s="118" t="s">
        <v>1743</v>
      </c>
      <c r="C344" s="118" t="s">
        <v>1749</v>
      </c>
      <c r="D344" s="119">
        <v>43645</v>
      </c>
      <c r="E344" s="118" t="s">
        <v>2370</v>
      </c>
      <c r="F344" s="118" t="s">
        <v>1746</v>
      </c>
      <c r="G344" s="118">
        <v>12</v>
      </c>
      <c r="H344" s="118">
        <v>9</v>
      </c>
      <c r="I344" s="118">
        <v>8.9</v>
      </c>
      <c r="J344" s="118">
        <v>83</v>
      </c>
      <c r="K344" s="118"/>
      <c r="L344" s="122">
        <v>-3.55</v>
      </c>
      <c r="M344" s="122">
        <v>-3.27</v>
      </c>
      <c r="N344" s="118">
        <v>-2.19</v>
      </c>
      <c r="O344" s="123" t="s">
        <v>1747</v>
      </c>
    </row>
    <row r="345" spans="1:15" ht="28.8">
      <c r="A345" s="118" t="s">
        <v>2371</v>
      </c>
      <c r="B345" s="118" t="s">
        <v>1752</v>
      </c>
      <c r="C345" s="118" t="s">
        <v>1786</v>
      </c>
      <c r="D345" s="119">
        <v>43337</v>
      </c>
      <c r="E345" s="118" t="s">
        <v>2372</v>
      </c>
      <c r="F345" s="118" t="s">
        <v>1746</v>
      </c>
      <c r="G345" s="118">
        <v>1</v>
      </c>
      <c r="H345" s="118">
        <v>8</v>
      </c>
      <c r="I345" s="118">
        <v>13.2</v>
      </c>
      <c r="J345" s="118">
        <v>103</v>
      </c>
      <c r="K345" s="118"/>
      <c r="L345" s="122">
        <v>-1.5</v>
      </c>
      <c r="M345" s="122">
        <v>0.28000000000000003</v>
      </c>
      <c r="N345" s="118">
        <v>-2.56</v>
      </c>
      <c r="O345" s="123" t="s">
        <v>1747</v>
      </c>
    </row>
    <row r="346" spans="1:15" ht="28.8">
      <c r="A346" s="118" t="s">
        <v>2373</v>
      </c>
      <c r="B346" s="118" t="s">
        <v>1752</v>
      </c>
      <c r="C346" s="118" t="s">
        <v>2055</v>
      </c>
      <c r="D346" s="119">
        <v>44716</v>
      </c>
      <c r="E346" s="118" t="s">
        <v>2374</v>
      </c>
      <c r="F346" s="118" t="s">
        <v>1746</v>
      </c>
      <c r="G346" s="118">
        <v>1</v>
      </c>
      <c r="H346" s="118">
        <v>8</v>
      </c>
      <c r="I346" s="118">
        <v>2.7</v>
      </c>
      <c r="J346" s="118">
        <v>49</v>
      </c>
      <c r="K346" s="118"/>
      <c r="L346" s="122">
        <v>-1.51</v>
      </c>
      <c r="M346" s="122">
        <v>-0.47</v>
      </c>
      <c r="N346" s="118">
        <v>-2.21</v>
      </c>
      <c r="O346" s="123" t="s">
        <v>1747</v>
      </c>
    </row>
    <row r="347" spans="1:15" ht="43.2">
      <c r="A347" s="118" t="s">
        <v>2375</v>
      </c>
      <c r="B347" s="118" t="s">
        <v>1752</v>
      </c>
      <c r="C347" s="118" t="s">
        <v>1755</v>
      </c>
      <c r="D347" s="119">
        <v>44365</v>
      </c>
      <c r="E347" s="118" t="s">
        <v>2376</v>
      </c>
      <c r="F347" s="118" t="s">
        <v>1746</v>
      </c>
      <c r="G347" s="118">
        <v>4</v>
      </c>
      <c r="H347" s="118">
        <v>1</v>
      </c>
      <c r="I347" s="118">
        <v>8</v>
      </c>
      <c r="J347" s="118">
        <v>76.5</v>
      </c>
      <c r="K347" s="118">
        <v>13.5</v>
      </c>
      <c r="L347" s="122">
        <v>-2.04</v>
      </c>
      <c r="M347" s="122">
        <v>-0.46</v>
      </c>
      <c r="N347" s="118">
        <v>-2.5299999999999998</v>
      </c>
      <c r="O347" s="123" t="s">
        <v>1747</v>
      </c>
    </row>
    <row r="348" spans="1:15" ht="28.8">
      <c r="A348" s="118" t="s">
        <v>2377</v>
      </c>
      <c r="B348" s="118" t="s">
        <v>1752</v>
      </c>
      <c r="C348" s="118" t="s">
        <v>1755</v>
      </c>
      <c r="D348" s="119">
        <v>44611</v>
      </c>
      <c r="E348" s="118" t="s">
        <v>2378</v>
      </c>
      <c r="F348" s="118" t="s">
        <v>1746</v>
      </c>
      <c r="G348" s="118">
        <v>2</v>
      </c>
      <c r="H348" s="118">
        <v>1</v>
      </c>
      <c r="I348" s="118">
        <v>6.1</v>
      </c>
      <c r="J348" s="118">
        <v>66</v>
      </c>
      <c r="K348" s="118">
        <v>14</v>
      </c>
      <c r="L348" s="122">
        <v>-1.73</v>
      </c>
      <c r="M348" s="122">
        <v>0.23</v>
      </c>
      <c r="N348" s="118">
        <v>-2.61</v>
      </c>
      <c r="O348" s="123" t="s">
        <v>1747</v>
      </c>
    </row>
    <row r="349" spans="1:15" ht="28.8">
      <c r="A349" s="118" t="s">
        <v>2379</v>
      </c>
      <c r="B349" s="118" t="s">
        <v>1752</v>
      </c>
      <c r="C349" s="118" t="s">
        <v>2055</v>
      </c>
      <c r="D349" s="119">
        <v>44771</v>
      </c>
      <c r="E349" s="118" t="s">
        <v>2380</v>
      </c>
      <c r="F349" s="118" t="s">
        <v>1746</v>
      </c>
      <c r="G349" s="118">
        <v>2</v>
      </c>
      <c r="H349" s="118">
        <v>5</v>
      </c>
      <c r="I349" s="118">
        <v>2.8</v>
      </c>
      <c r="J349" s="118">
        <v>50</v>
      </c>
      <c r="K349" s="118"/>
      <c r="L349" s="122">
        <v>-3.19</v>
      </c>
      <c r="M349" s="122">
        <v>-1.97</v>
      </c>
      <c r="N349" s="118">
        <v>-2.5299999999999998</v>
      </c>
      <c r="O349" s="123" t="s">
        <v>1747</v>
      </c>
    </row>
    <row r="350" spans="1:15" ht="28.8">
      <c r="A350" s="118" t="s">
        <v>2381</v>
      </c>
      <c r="B350" s="118" t="s">
        <v>1743</v>
      </c>
      <c r="C350" s="118" t="s">
        <v>2055</v>
      </c>
      <c r="D350" s="119">
        <v>44748</v>
      </c>
      <c r="E350" s="118" t="s">
        <v>2382</v>
      </c>
      <c r="F350" s="118" t="s">
        <v>1746</v>
      </c>
      <c r="G350" s="118">
        <v>4</v>
      </c>
      <c r="H350" s="118">
        <v>7</v>
      </c>
      <c r="I350" s="118">
        <v>2.4</v>
      </c>
      <c r="J350" s="118">
        <v>48</v>
      </c>
      <c r="K350" s="118"/>
      <c r="L350" s="122">
        <v>-2.1</v>
      </c>
      <c r="M350" s="122">
        <v>-0.78</v>
      </c>
      <c r="N350" s="118">
        <v>-2.97</v>
      </c>
      <c r="O350" s="123" t="s">
        <v>1747</v>
      </c>
    </row>
    <row r="351" spans="1:15" ht="28.8">
      <c r="A351" s="118" t="s">
        <v>2383</v>
      </c>
      <c r="B351" s="118" t="s">
        <v>1752</v>
      </c>
      <c r="C351" s="118" t="s">
        <v>1779</v>
      </c>
      <c r="D351" s="119">
        <v>43203</v>
      </c>
      <c r="E351" s="118" t="s">
        <v>2213</v>
      </c>
      <c r="F351" s="118" t="s">
        <v>1746</v>
      </c>
      <c r="G351" s="118">
        <v>2</v>
      </c>
      <c r="H351" s="118">
        <v>7</v>
      </c>
      <c r="I351" s="118">
        <v>14</v>
      </c>
      <c r="J351" s="118">
        <v>104</v>
      </c>
      <c r="K351" s="118"/>
      <c r="L351" s="122">
        <v>-1.44</v>
      </c>
      <c r="M351" s="122">
        <v>-0.22</v>
      </c>
      <c r="N351" s="118">
        <v>-2.0299999999999998</v>
      </c>
      <c r="O351" s="123" t="s">
        <v>1747</v>
      </c>
    </row>
    <row r="352" spans="1:15" ht="28.8">
      <c r="A352" s="118" t="s">
        <v>2384</v>
      </c>
      <c r="B352" s="118" t="s">
        <v>1743</v>
      </c>
      <c r="C352" s="118" t="s">
        <v>1779</v>
      </c>
      <c r="D352" s="119">
        <v>42931</v>
      </c>
      <c r="E352" s="118" t="s">
        <v>2385</v>
      </c>
      <c r="F352" s="118" t="s">
        <v>1746</v>
      </c>
      <c r="G352" s="118">
        <v>2</v>
      </c>
      <c r="H352" s="118">
        <v>7</v>
      </c>
      <c r="I352" s="118">
        <v>15.3</v>
      </c>
      <c r="J352" s="118">
        <v>112.8</v>
      </c>
      <c r="K352" s="118"/>
      <c r="L352" s="122">
        <v>-1.2</v>
      </c>
      <c r="M352" s="122">
        <v>0.73</v>
      </c>
      <c r="N352" s="118">
        <v>-2.8</v>
      </c>
      <c r="O352" s="123" t="s">
        <v>1747</v>
      </c>
    </row>
    <row r="353" spans="1:15" ht="28.8">
      <c r="A353" s="118" t="s">
        <v>2386</v>
      </c>
      <c r="B353" s="118" t="s">
        <v>1752</v>
      </c>
      <c r="C353" s="118" t="s">
        <v>1749</v>
      </c>
      <c r="D353" s="119">
        <v>43596</v>
      </c>
      <c r="E353" s="118" t="s">
        <v>2215</v>
      </c>
      <c r="F353" s="118" t="s">
        <v>1746</v>
      </c>
      <c r="G353" s="118">
        <v>2</v>
      </c>
      <c r="H353" s="118">
        <v>7</v>
      </c>
      <c r="I353" s="118">
        <v>11.8</v>
      </c>
      <c r="J353" s="118">
        <v>96</v>
      </c>
      <c r="K353" s="118"/>
      <c r="L353" s="122">
        <v>-1.8</v>
      </c>
      <c r="M353" s="122">
        <v>-0.36</v>
      </c>
      <c r="N353" s="118">
        <v>-2.46</v>
      </c>
      <c r="O353" s="123" t="s">
        <v>1747</v>
      </c>
    </row>
    <row r="354" spans="1:15" ht="28.8">
      <c r="A354" s="118" t="s">
        <v>2387</v>
      </c>
      <c r="B354" s="118" t="s">
        <v>1743</v>
      </c>
      <c r="C354" s="118" t="s">
        <v>1786</v>
      </c>
      <c r="D354" s="119">
        <v>43333</v>
      </c>
      <c r="E354" s="118" t="s">
        <v>2388</v>
      </c>
      <c r="F354" s="118" t="s">
        <v>1746</v>
      </c>
      <c r="G354" s="118">
        <v>1</v>
      </c>
      <c r="H354" s="118">
        <v>2</v>
      </c>
      <c r="I354" s="118">
        <v>14.3</v>
      </c>
      <c r="J354" s="118">
        <v>107</v>
      </c>
      <c r="K354" s="118"/>
      <c r="L354" s="122">
        <v>-0.75</v>
      </c>
      <c r="M354" s="122">
        <v>1.2</v>
      </c>
      <c r="N354" s="118">
        <v>-2.2400000000000002</v>
      </c>
      <c r="O354" s="123" t="s">
        <v>1747</v>
      </c>
    </row>
    <row r="355" spans="1:15" ht="57.6">
      <c r="A355" s="118" t="s">
        <v>2389</v>
      </c>
      <c r="B355" s="118" t="s">
        <v>1752</v>
      </c>
      <c r="C355" s="118" t="s">
        <v>1786</v>
      </c>
      <c r="D355" s="119">
        <v>43285</v>
      </c>
      <c r="E355" s="118" t="s">
        <v>2390</v>
      </c>
      <c r="F355" s="118" t="s">
        <v>1746</v>
      </c>
      <c r="G355" s="118">
        <v>3</v>
      </c>
      <c r="H355" s="118">
        <v>7</v>
      </c>
      <c r="I355" s="118">
        <v>13.6</v>
      </c>
      <c r="J355" s="118">
        <v>103</v>
      </c>
      <c r="K355" s="118"/>
      <c r="L355" s="122">
        <v>-1.47</v>
      </c>
      <c r="M355" s="122">
        <v>-0.1</v>
      </c>
      <c r="N355" s="118">
        <v>-2.1800000000000002</v>
      </c>
      <c r="O355" s="123" t="s">
        <v>1747</v>
      </c>
    </row>
    <row r="356" spans="1:15" ht="28.8">
      <c r="A356" s="118" t="s">
        <v>2391</v>
      </c>
      <c r="B356" s="118" t="s">
        <v>1752</v>
      </c>
      <c r="C356" s="118" t="s">
        <v>1786</v>
      </c>
      <c r="D356" s="119">
        <v>43530</v>
      </c>
      <c r="E356" s="118" t="s">
        <v>2392</v>
      </c>
      <c r="F356" s="118" t="s">
        <v>1746</v>
      </c>
      <c r="G356" s="118">
        <v>1</v>
      </c>
      <c r="H356" s="118">
        <v>10</v>
      </c>
      <c r="I356" s="118">
        <v>11</v>
      </c>
      <c r="J356" s="118">
        <v>92</v>
      </c>
      <c r="K356" s="118"/>
      <c r="L356" s="122">
        <v>-2.57</v>
      </c>
      <c r="M356" s="122">
        <v>-1.73</v>
      </c>
      <c r="N356" s="118">
        <v>-2.5</v>
      </c>
      <c r="O356" s="123" t="s">
        <v>1747</v>
      </c>
    </row>
    <row r="357" spans="1:15" ht="28.8">
      <c r="A357" s="118" t="s">
        <v>2393</v>
      </c>
      <c r="B357" s="118" t="s">
        <v>1743</v>
      </c>
      <c r="C357" s="118" t="s">
        <v>1749</v>
      </c>
      <c r="D357" s="119">
        <v>43642</v>
      </c>
      <c r="E357" s="118" t="s">
        <v>2394</v>
      </c>
      <c r="F357" s="118" t="s">
        <v>1746</v>
      </c>
      <c r="G357" s="118">
        <v>5</v>
      </c>
      <c r="H357" s="118">
        <v>4</v>
      </c>
      <c r="I357" s="118">
        <v>11.7</v>
      </c>
      <c r="J357" s="118">
        <v>96.4</v>
      </c>
      <c r="K357" s="118"/>
      <c r="L357" s="122">
        <v>-1.39</v>
      </c>
      <c r="M357" s="122">
        <v>0.27</v>
      </c>
      <c r="N357" s="118">
        <v>-2.27</v>
      </c>
      <c r="O357" s="123" t="s">
        <v>1747</v>
      </c>
    </row>
    <row r="358" spans="1:15" ht="43.2">
      <c r="A358" s="118" t="s">
        <v>2395</v>
      </c>
      <c r="B358" s="118" t="s">
        <v>1752</v>
      </c>
      <c r="C358" s="118" t="s">
        <v>1749</v>
      </c>
      <c r="D358" s="119">
        <v>43624</v>
      </c>
      <c r="E358" s="118" t="s">
        <v>2396</v>
      </c>
      <c r="F358" s="118" t="s">
        <v>1769</v>
      </c>
      <c r="G358" s="118">
        <v>1</v>
      </c>
      <c r="H358" s="118">
        <v>1</v>
      </c>
      <c r="I358" s="118">
        <v>11.6</v>
      </c>
      <c r="J358" s="118">
        <v>94</v>
      </c>
      <c r="K358" s="118"/>
      <c r="L358" s="122">
        <v>-1.86</v>
      </c>
      <c r="M358" s="122">
        <v>-0.74</v>
      </c>
      <c r="N358" s="118">
        <v>-2.25</v>
      </c>
      <c r="O358" s="123" t="s">
        <v>1747</v>
      </c>
    </row>
    <row r="359" spans="1:15" ht="43.2">
      <c r="A359" s="118" t="s">
        <v>2397</v>
      </c>
      <c r="B359" s="118" t="s">
        <v>1743</v>
      </c>
      <c r="C359" s="118" t="s">
        <v>1786</v>
      </c>
      <c r="D359" s="119">
        <v>43503</v>
      </c>
      <c r="E359" s="118" t="s">
        <v>2398</v>
      </c>
      <c r="F359" s="118" t="s">
        <v>1769</v>
      </c>
      <c r="G359" s="118">
        <v>4</v>
      </c>
      <c r="H359" s="118">
        <v>1</v>
      </c>
      <c r="I359" s="118">
        <v>12.2</v>
      </c>
      <c r="J359" s="118">
        <v>98.5</v>
      </c>
      <c r="K359" s="118"/>
      <c r="L359" s="122">
        <v>-1.5</v>
      </c>
      <c r="M359" s="122">
        <v>0.02</v>
      </c>
      <c r="N359" s="118">
        <v>-2.2200000000000002</v>
      </c>
      <c r="O359" s="123" t="s">
        <v>1747</v>
      </c>
    </row>
    <row r="360" spans="1:15" ht="43.2">
      <c r="A360" s="118" t="s">
        <v>2399</v>
      </c>
      <c r="B360" s="118" t="s">
        <v>1752</v>
      </c>
      <c r="C360" s="118" t="s">
        <v>1779</v>
      </c>
      <c r="D360" s="119">
        <v>43135</v>
      </c>
      <c r="E360" s="118" t="s">
        <v>2400</v>
      </c>
      <c r="F360" s="118" t="s">
        <v>1769</v>
      </c>
      <c r="G360" s="118">
        <v>2</v>
      </c>
      <c r="H360" s="118">
        <v>5</v>
      </c>
      <c r="I360" s="118">
        <v>14.5</v>
      </c>
      <c r="J360" s="118">
        <v>108</v>
      </c>
      <c r="K360" s="118"/>
      <c r="L360" s="122">
        <v>-1.32</v>
      </c>
      <c r="M360" s="122">
        <v>0.41</v>
      </c>
      <c r="N360" s="118">
        <v>-2.4700000000000002</v>
      </c>
      <c r="O360" s="123" t="s">
        <v>1747</v>
      </c>
    </row>
    <row r="361" spans="1:15" ht="43.2">
      <c r="A361" s="118" t="s">
        <v>2401</v>
      </c>
      <c r="B361" s="118" t="s">
        <v>1743</v>
      </c>
      <c r="C361" s="118" t="s">
        <v>1779</v>
      </c>
      <c r="D361" s="119">
        <v>43093</v>
      </c>
      <c r="E361" s="118" t="s">
        <v>2402</v>
      </c>
      <c r="F361" s="118" t="s">
        <v>1769</v>
      </c>
      <c r="G361" s="118">
        <v>7</v>
      </c>
      <c r="H361" s="118">
        <v>5</v>
      </c>
      <c r="I361" s="118">
        <v>14</v>
      </c>
      <c r="J361" s="118">
        <v>105</v>
      </c>
      <c r="K361" s="118"/>
      <c r="L361" s="122">
        <v>-1.5</v>
      </c>
      <c r="M361" s="122">
        <v>-0.32</v>
      </c>
      <c r="N361" s="118">
        <v>-2.0299999999999998</v>
      </c>
      <c r="O361" s="123" t="s">
        <v>1747</v>
      </c>
    </row>
    <row r="362" spans="1:15" ht="43.2">
      <c r="A362" s="118" t="s">
        <v>2403</v>
      </c>
      <c r="B362" s="118" t="s">
        <v>1743</v>
      </c>
      <c r="C362" s="118" t="s">
        <v>1786</v>
      </c>
      <c r="D362" s="119">
        <v>43464</v>
      </c>
      <c r="E362" s="118" t="s">
        <v>1771</v>
      </c>
      <c r="F362" s="118" t="s">
        <v>1769</v>
      </c>
      <c r="G362" s="118">
        <v>2</v>
      </c>
      <c r="H362" s="118">
        <v>8</v>
      </c>
      <c r="I362" s="118">
        <v>13</v>
      </c>
      <c r="J362" s="118">
        <v>104</v>
      </c>
      <c r="K362" s="118"/>
      <c r="L362" s="122">
        <v>-2.0499999999999998</v>
      </c>
      <c r="M362" s="122">
        <v>-0.52</v>
      </c>
      <c r="N362" s="118">
        <v>-2.67</v>
      </c>
      <c r="O362" s="123" t="s">
        <v>1747</v>
      </c>
    </row>
    <row r="363" spans="1:15" ht="43.2">
      <c r="A363" s="118" t="s">
        <v>2404</v>
      </c>
      <c r="B363" s="118" t="s">
        <v>1752</v>
      </c>
      <c r="C363" s="118" t="s">
        <v>1744</v>
      </c>
      <c r="D363" s="119">
        <v>43950</v>
      </c>
      <c r="E363" s="118" t="s">
        <v>2405</v>
      </c>
      <c r="F363" s="118" t="s">
        <v>1769</v>
      </c>
      <c r="G363" s="118">
        <v>2</v>
      </c>
      <c r="H363" s="118">
        <v>8</v>
      </c>
      <c r="I363" s="118">
        <v>9.4</v>
      </c>
      <c r="J363" s="118">
        <v>83.2</v>
      </c>
      <c r="K363" s="118"/>
      <c r="L363" s="122">
        <v>-2.5499999999999998</v>
      </c>
      <c r="M363" s="122">
        <v>-1.84</v>
      </c>
      <c r="N363" s="118">
        <v>-2.25</v>
      </c>
      <c r="O363" s="123" t="s">
        <v>1747</v>
      </c>
    </row>
    <row r="364" spans="1:15" ht="43.2">
      <c r="A364" s="118" t="s">
        <v>2406</v>
      </c>
      <c r="B364" s="118" t="s">
        <v>1743</v>
      </c>
      <c r="C364" s="118" t="s">
        <v>1749</v>
      </c>
      <c r="D364" s="119">
        <v>43782</v>
      </c>
      <c r="E364" s="118" t="s">
        <v>2148</v>
      </c>
      <c r="F364" s="118" t="s">
        <v>1769</v>
      </c>
      <c r="G364" s="118">
        <v>4</v>
      </c>
      <c r="H364" s="118">
        <v>8</v>
      </c>
      <c r="I364" s="118">
        <v>9.4</v>
      </c>
      <c r="J364" s="118">
        <v>92</v>
      </c>
      <c r="K364" s="118">
        <v>15</v>
      </c>
      <c r="L364" s="122">
        <v>-2.74</v>
      </c>
      <c r="M364" s="122">
        <v>-0.03</v>
      </c>
      <c r="N364" s="118">
        <v>-3.9</v>
      </c>
      <c r="O364" s="123" t="s">
        <v>1790</v>
      </c>
    </row>
    <row r="365" spans="1:15" ht="43.2">
      <c r="A365" s="118" t="s">
        <v>2407</v>
      </c>
      <c r="B365" s="118" t="s">
        <v>1752</v>
      </c>
      <c r="C365" s="118" t="s">
        <v>1744</v>
      </c>
      <c r="D365" s="119">
        <v>44082</v>
      </c>
      <c r="E365" s="118" t="s">
        <v>2408</v>
      </c>
      <c r="F365" s="118" t="s">
        <v>1769</v>
      </c>
      <c r="G365" s="118">
        <v>8</v>
      </c>
      <c r="H365" s="118">
        <v>1</v>
      </c>
      <c r="I365" s="118">
        <v>10</v>
      </c>
      <c r="J365" s="118">
        <v>86</v>
      </c>
      <c r="K365" s="118"/>
      <c r="L365" s="122">
        <v>-1.43</v>
      </c>
      <c r="M365" s="122">
        <v>-0.02</v>
      </c>
      <c r="N365" s="118">
        <v>-2.0299999999999998</v>
      </c>
      <c r="O365" s="123" t="s">
        <v>1747</v>
      </c>
    </row>
    <row r="366" spans="1:15" ht="43.2">
      <c r="A366" s="118" t="s">
        <v>2409</v>
      </c>
      <c r="B366" s="118" t="s">
        <v>1743</v>
      </c>
      <c r="C366" s="118" t="s">
        <v>1755</v>
      </c>
      <c r="D366" s="119">
        <v>44537</v>
      </c>
      <c r="E366" s="118" t="s">
        <v>2410</v>
      </c>
      <c r="F366" s="118" t="s">
        <v>1769</v>
      </c>
      <c r="G366" s="118"/>
      <c r="H366" s="118"/>
      <c r="I366" s="118">
        <v>7.3</v>
      </c>
      <c r="J366" s="118">
        <v>75</v>
      </c>
      <c r="K366" s="118"/>
      <c r="L366" s="122">
        <v>-0.46</v>
      </c>
      <c r="M366" s="122">
        <v>3.17</v>
      </c>
      <c r="N366" s="118">
        <v>-2.62</v>
      </c>
      <c r="O366" s="123" t="s">
        <v>1747</v>
      </c>
    </row>
    <row r="367" spans="1:15" ht="43.2">
      <c r="A367" s="118" t="s">
        <v>2411</v>
      </c>
      <c r="B367" s="118" t="s">
        <v>1752</v>
      </c>
      <c r="C367" s="118" t="s">
        <v>1744</v>
      </c>
      <c r="D367" s="119">
        <v>44156</v>
      </c>
      <c r="E367" s="118" t="s">
        <v>2412</v>
      </c>
      <c r="F367" s="118" t="s">
        <v>1769</v>
      </c>
      <c r="G367" s="118">
        <v>4</v>
      </c>
      <c r="H367" s="118">
        <v>8</v>
      </c>
      <c r="I367" s="118">
        <v>9.1</v>
      </c>
      <c r="J367" s="118">
        <v>81</v>
      </c>
      <c r="K367" s="118"/>
      <c r="L367" s="122">
        <v>-1.93</v>
      </c>
      <c r="M367" s="122">
        <v>-0.81</v>
      </c>
      <c r="N367" s="118">
        <v>-2.1</v>
      </c>
      <c r="O367" s="123" t="s">
        <v>1747</v>
      </c>
    </row>
    <row r="368" spans="1:15" ht="43.2">
      <c r="A368" s="118" t="s">
        <v>2413</v>
      </c>
      <c r="B368" s="118" t="s">
        <v>1743</v>
      </c>
      <c r="C368" s="118" t="s">
        <v>1744</v>
      </c>
      <c r="D368" s="119">
        <v>44117</v>
      </c>
      <c r="E368" s="118" t="s">
        <v>2414</v>
      </c>
      <c r="F368" s="118" t="s">
        <v>1769</v>
      </c>
      <c r="G368" s="118">
        <v>4</v>
      </c>
      <c r="H368" s="118">
        <v>8</v>
      </c>
      <c r="I368" s="118">
        <v>8.1999999999999993</v>
      </c>
      <c r="J368" s="118">
        <v>80</v>
      </c>
      <c r="K368" s="118"/>
      <c r="L368" s="122">
        <v>-2.36</v>
      </c>
      <c r="M368" s="122">
        <v>-0.97</v>
      </c>
      <c r="N368" s="118">
        <v>-2.59</v>
      </c>
      <c r="O368" s="123" t="s">
        <v>1747</v>
      </c>
    </row>
    <row r="369" spans="1:15" ht="43.2">
      <c r="A369" s="118" t="s">
        <v>2415</v>
      </c>
      <c r="B369" s="118" t="s">
        <v>1752</v>
      </c>
      <c r="C369" s="118" t="s">
        <v>1749</v>
      </c>
      <c r="D369" s="119">
        <v>43808</v>
      </c>
      <c r="E369" s="118" t="s">
        <v>1924</v>
      </c>
      <c r="F369" s="118" t="s">
        <v>1769</v>
      </c>
      <c r="G369" s="118">
        <v>4</v>
      </c>
      <c r="H369" s="118">
        <v>8</v>
      </c>
      <c r="I369" s="118">
        <v>10.4</v>
      </c>
      <c r="J369" s="118">
        <v>89</v>
      </c>
      <c r="K369" s="118"/>
      <c r="L369" s="122">
        <v>-2.21</v>
      </c>
      <c r="M369" s="122">
        <v>-1.06</v>
      </c>
      <c r="N369" s="118">
        <v>-2.52</v>
      </c>
      <c r="O369" s="123" t="s">
        <v>1747</v>
      </c>
    </row>
    <row r="370" spans="1:15" ht="43.2">
      <c r="A370" s="118" t="s">
        <v>2416</v>
      </c>
      <c r="B370" s="118" t="s">
        <v>1752</v>
      </c>
      <c r="C370" s="118" t="s">
        <v>1779</v>
      </c>
      <c r="D370" s="119">
        <v>43199</v>
      </c>
      <c r="E370" s="118" t="s">
        <v>2161</v>
      </c>
      <c r="F370" s="118" t="s">
        <v>1769</v>
      </c>
      <c r="G370" s="118">
        <v>8</v>
      </c>
      <c r="H370" s="118">
        <v>1</v>
      </c>
      <c r="I370" s="118">
        <v>14</v>
      </c>
      <c r="J370" s="118">
        <v>104</v>
      </c>
      <c r="K370" s="118"/>
      <c r="L370" s="122">
        <v>-1.45</v>
      </c>
      <c r="M370" s="122">
        <v>-0.24</v>
      </c>
      <c r="N370" s="118">
        <v>-2.0299999999999998</v>
      </c>
      <c r="O370" s="123" t="s">
        <v>1747</v>
      </c>
    </row>
    <row r="371" spans="1:15" ht="43.2">
      <c r="A371" s="118" t="s">
        <v>2417</v>
      </c>
      <c r="B371" s="118" t="s">
        <v>1752</v>
      </c>
      <c r="C371" s="118" t="s">
        <v>1786</v>
      </c>
      <c r="D371" s="119">
        <v>43459</v>
      </c>
      <c r="E371" s="118" t="s">
        <v>2418</v>
      </c>
      <c r="F371" s="118" t="s">
        <v>1769</v>
      </c>
      <c r="G371" s="118">
        <v>6</v>
      </c>
      <c r="H371" s="118">
        <v>1</v>
      </c>
      <c r="I371" s="118">
        <v>14</v>
      </c>
      <c r="J371" s="118">
        <v>104</v>
      </c>
      <c r="K371" s="118"/>
      <c r="L371" s="122">
        <v>-0.78</v>
      </c>
      <c r="M371" s="122">
        <v>0.97</v>
      </c>
      <c r="N371" s="118">
        <v>-2.0299999999999998</v>
      </c>
      <c r="O371" s="123" t="s">
        <v>1747</v>
      </c>
    </row>
    <row r="372" spans="1:15" ht="43.2">
      <c r="A372" s="118" t="s">
        <v>2419</v>
      </c>
      <c r="B372" s="118" t="s">
        <v>1752</v>
      </c>
      <c r="C372" s="118" t="s">
        <v>1749</v>
      </c>
      <c r="D372" s="119">
        <v>43719</v>
      </c>
      <c r="E372" s="118" t="s">
        <v>1961</v>
      </c>
      <c r="F372" s="118" t="s">
        <v>1769</v>
      </c>
      <c r="G372" s="118">
        <v>4</v>
      </c>
      <c r="H372" s="118">
        <v>4</v>
      </c>
      <c r="I372" s="118">
        <v>11</v>
      </c>
      <c r="J372" s="118">
        <v>90</v>
      </c>
      <c r="K372" s="118"/>
      <c r="L372" s="122">
        <v>-2.02</v>
      </c>
      <c r="M372" s="122">
        <v>-1.31</v>
      </c>
      <c r="N372" s="118">
        <v>-2.0299999999999998</v>
      </c>
      <c r="O372" s="123" t="s">
        <v>1747</v>
      </c>
    </row>
    <row r="373" spans="1:15" ht="43.2">
      <c r="A373" s="118" t="s">
        <v>2420</v>
      </c>
      <c r="B373" s="118" t="s">
        <v>1752</v>
      </c>
      <c r="C373" s="118" t="s">
        <v>2055</v>
      </c>
      <c r="D373" s="119">
        <v>44767</v>
      </c>
      <c r="E373" s="118" t="s">
        <v>1953</v>
      </c>
      <c r="F373" s="118" t="s">
        <v>1769</v>
      </c>
      <c r="G373" s="118">
        <v>4</v>
      </c>
      <c r="H373" s="118">
        <v>4</v>
      </c>
      <c r="I373" s="118">
        <v>2.4</v>
      </c>
      <c r="J373" s="118">
        <v>48</v>
      </c>
      <c r="K373" s="118"/>
      <c r="L373" s="122">
        <v>-3.81</v>
      </c>
      <c r="M373" s="122">
        <v>-2.72</v>
      </c>
      <c r="N373" s="118">
        <v>-2.89</v>
      </c>
      <c r="O373" s="123" t="s">
        <v>1747</v>
      </c>
    </row>
    <row r="374" spans="1:15" ht="43.2">
      <c r="A374" s="118" t="s">
        <v>2421</v>
      </c>
      <c r="B374" s="118" t="s">
        <v>1752</v>
      </c>
      <c r="C374" s="118" t="s">
        <v>1749</v>
      </c>
      <c r="D374" s="119">
        <v>43663</v>
      </c>
      <c r="E374" s="118" t="s">
        <v>1951</v>
      </c>
      <c r="F374" s="118" t="s">
        <v>1769</v>
      </c>
      <c r="G374" s="118">
        <v>4</v>
      </c>
      <c r="H374" s="118">
        <v>4</v>
      </c>
      <c r="I374" s="118">
        <v>12</v>
      </c>
      <c r="J374" s="118">
        <v>95</v>
      </c>
      <c r="K374" s="118"/>
      <c r="L374" s="122">
        <v>-1.48</v>
      </c>
      <c r="M374" s="122">
        <v>-0.28999999999999998</v>
      </c>
      <c r="N374" s="118">
        <v>-2.02</v>
      </c>
      <c r="O374" s="123" t="s">
        <v>1747</v>
      </c>
    </row>
    <row r="375" spans="1:15" ht="43.2">
      <c r="A375" s="118" t="s">
        <v>2422</v>
      </c>
      <c r="B375" s="118" t="s">
        <v>1752</v>
      </c>
      <c r="C375" s="118" t="s">
        <v>1744</v>
      </c>
      <c r="D375" s="119">
        <v>44256</v>
      </c>
      <c r="E375" s="118" t="s">
        <v>2423</v>
      </c>
      <c r="F375" s="118" t="s">
        <v>1769</v>
      </c>
      <c r="G375" s="118">
        <v>4</v>
      </c>
      <c r="H375" s="118">
        <v>4</v>
      </c>
      <c r="I375" s="118">
        <v>10</v>
      </c>
      <c r="J375" s="118">
        <v>86</v>
      </c>
      <c r="K375" s="118"/>
      <c r="L375" s="122">
        <v>-0.56999999999999995</v>
      </c>
      <c r="M375" s="122">
        <v>1.98</v>
      </c>
      <c r="N375" s="118">
        <v>-2.0299999999999998</v>
      </c>
      <c r="O375" s="123" t="s">
        <v>1747</v>
      </c>
    </row>
    <row r="376" spans="1:15" ht="43.2">
      <c r="A376" s="118" t="s">
        <v>2424</v>
      </c>
      <c r="B376" s="118" t="s">
        <v>1743</v>
      </c>
      <c r="C376" s="118" t="s">
        <v>1786</v>
      </c>
      <c r="D376" s="119">
        <v>43492</v>
      </c>
      <c r="E376" s="118" t="s">
        <v>1957</v>
      </c>
      <c r="F376" s="118" t="s">
        <v>1769</v>
      </c>
      <c r="G376" s="118">
        <v>4</v>
      </c>
      <c r="H376" s="118">
        <v>4</v>
      </c>
      <c r="I376" s="118">
        <v>12.4</v>
      </c>
      <c r="J376" s="118">
        <v>100.5</v>
      </c>
      <c r="K376" s="118"/>
      <c r="L376" s="122">
        <v>-1.42</v>
      </c>
      <c r="M376" s="122">
        <v>0.41</v>
      </c>
      <c r="N376" s="118">
        <v>-2.46</v>
      </c>
      <c r="O376" s="123" t="s">
        <v>1747</v>
      </c>
    </row>
    <row r="377" spans="1:15" ht="43.2">
      <c r="A377" s="118" t="s">
        <v>2425</v>
      </c>
      <c r="B377" s="118" t="s">
        <v>1743</v>
      </c>
      <c r="C377" s="118" t="s">
        <v>1749</v>
      </c>
      <c r="D377" s="119">
        <v>43818</v>
      </c>
      <c r="E377" s="118" t="s">
        <v>2426</v>
      </c>
      <c r="F377" s="118" t="s">
        <v>1769</v>
      </c>
      <c r="G377" s="118">
        <v>4</v>
      </c>
      <c r="H377" s="118">
        <v>4</v>
      </c>
      <c r="I377" s="118">
        <v>10.4</v>
      </c>
      <c r="J377" s="118">
        <v>89.5</v>
      </c>
      <c r="K377" s="118"/>
      <c r="L377" s="122">
        <v>-1.76</v>
      </c>
      <c r="M377" s="122">
        <v>-0.54</v>
      </c>
      <c r="N377" s="118">
        <v>-2.16</v>
      </c>
      <c r="O377" s="123" t="s">
        <v>1747</v>
      </c>
    </row>
    <row r="378" spans="1:15" ht="43.2">
      <c r="A378" s="118" t="s">
        <v>2427</v>
      </c>
      <c r="B378" s="118" t="s">
        <v>1743</v>
      </c>
      <c r="C378" s="118" t="s">
        <v>1744</v>
      </c>
      <c r="D378" s="119">
        <v>44118</v>
      </c>
      <c r="E378" s="118" t="s">
        <v>2428</v>
      </c>
      <c r="F378" s="118" t="s">
        <v>1769</v>
      </c>
      <c r="G378" s="118">
        <v>4</v>
      </c>
      <c r="H378" s="118">
        <v>4</v>
      </c>
      <c r="I378" s="118">
        <v>9.6</v>
      </c>
      <c r="J378" s="118">
        <v>88.1</v>
      </c>
      <c r="K378" s="118"/>
      <c r="L378" s="122">
        <v>-1.03</v>
      </c>
      <c r="M378" s="122">
        <v>1.42</v>
      </c>
      <c r="N378" s="118">
        <v>-2.62</v>
      </c>
      <c r="O378" s="123" t="s">
        <v>1747</v>
      </c>
    </row>
    <row r="379" spans="1:15" ht="57.6">
      <c r="A379" s="118" t="s">
        <v>2429</v>
      </c>
      <c r="B379" s="118" t="s">
        <v>1752</v>
      </c>
      <c r="C379" s="118" t="s">
        <v>1779</v>
      </c>
      <c r="D379" s="119">
        <v>43018</v>
      </c>
      <c r="E379" s="118" t="s">
        <v>2430</v>
      </c>
      <c r="F379" s="118" t="s">
        <v>1769</v>
      </c>
      <c r="G379" s="118">
        <v>4</v>
      </c>
      <c r="H379" s="118">
        <v>12</v>
      </c>
      <c r="I379" s="118">
        <v>14.4</v>
      </c>
      <c r="J379" s="118">
        <v>105.5</v>
      </c>
      <c r="K379" s="118"/>
      <c r="L379" s="122">
        <v>-1.65</v>
      </c>
      <c r="M379" s="122">
        <v>-0.65</v>
      </c>
      <c r="N379" s="118">
        <v>-2.0099999999999998</v>
      </c>
      <c r="O379" s="123" t="s">
        <v>1747</v>
      </c>
    </row>
    <row r="380" spans="1:15" ht="57.6">
      <c r="A380" s="118" t="s">
        <v>2431</v>
      </c>
      <c r="B380" s="118" t="s">
        <v>1743</v>
      </c>
      <c r="C380" s="118" t="s">
        <v>1749</v>
      </c>
      <c r="D380" s="119">
        <v>43604</v>
      </c>
      <c r="E380" s="118" t="s">
        <v>2432</v>
      </c>
      <c r="F380" s="118" t="s">
        <v>1769</v>
      </c>
      <c r="G380" s="118">
        <v>4</v>
      </c>
      <c r="H380" s="118">
        <v>12</v>
      </c>
      <c r="I380" s="118">
        <v>9.1</v>
      </c>
      <c r="J380" s="118">
        <v>87.5</v>
      </c>
      <c r="K380" s="118"/>
      <c r="L380" s="122">
        <v>-3.6</v>
      </c>
      <c r="M380" s="122">
        <v>-2.29</v>
      </c>
      <c r="N380" s="118">
        <v>-3.28</v>
      </c>
      <c r="O380" s="123" t="s">
        <v>1790</v>
      </c>
    </row>
    <row r="381" spans="1:15" ht="43.2">
      <c r="A381" s="118" t="s">
        <v>2433</v>
      </c>
      <c r="B381" s="118" t="s">
        <v>1752</v>
      </c>
      <c r="C381" s="118" t="s">
        <v>1786</v>
      </c>
      <c r="D381" s="119">
        <v>43392</v>
      </c>
      <c r="E381" s="118" t="s">
        <v>2434</v>
      </c>
      <c r="F381" s="118" t="s">
        <v>1769</v>
      </c>
      <c r="G381" s="118">
        <v>5</v>
      </c>
      <c r="H381" s="118">
        <v>12</v>
      </c>
      <c r="I381" s="118">
        <v>13.8</v>
      </c>
      <c r="J381" s="118">
        <v>104.1</v>
      </c>
      <c r="K381" s="118"/>
      <c r="L381" s="122">
        <v>-1.08</v>
      </c>
      <c r="M381" s="122">
        <v>0.66</v>
      </c>
      <c r="N381" s="118">
        <v>-2.23</v>
      </c>
      <c r="O381" s="123" t="s">
        <v>1747</v>
      </c>
    </row>
    <row r="382" spans="1:15" ht="57.6">
      <c r="A382" s="118" t="s">
        <v>2435</v>
      </c>
      <c r="B382" s="118" t="s">
        <v>1743</v>
      </c>
      <c r="C382" s="118" t="s">
        <v>1779</v>
      </c>
      <c r="D382" s="119">
        <v>43063</v>
      </c>
      <c r="E382" s="118" t="s">
        <v>2436</v>
      </c>
      <c r="F382" s="118" t="s">
        <v>1769</v>
      </c>
      <c r="G382" s="118">
        <v>8</v>
      </c>
      <c r="H382" s="118">
        <v>1</v>
      </c>
      <c r="I382" s="118">
        <v>14</v>
      </c>
      <c r="J382" s="118">
        <v>105</v>
      </c>
      <c r="K382" s="118"/>
      <c r="L382" s="122">
        <v>-1.55</v>
      </c>
      <c r="M382" s="122">
        <v>-0.41</v>
      </c>
      <c r="N382" s="118">
        <v>-2.0299999999999998</v>
      </c>
      <c r="O382" s="123" t="s">
        <v>1747</v>
      </c>
    </row>
    <row r="383" spans="1:15" ht="43.2">
      <c r="A383" s="118" t="s">
        <v>2437</v>
      </c>
      <c r="B383" s="118" t="s">
        <v>1743</v>
      </c>
      <c r="C383" s="118" t="s">
        <v>1779</v>
      </c>
      <c r="D383" s="119">
        <v>43027</v>
      </c>
      <c r="E383" s="118" t="s">
        <v>2438</v>
      </c>
      <c r="F383" s="118" t="s">
        <v>1769</v>
      </c>
      <c r="G383" s="118">
        <v>2</v>
      </c>
      <c r="H383" s="118">
        <v>1</v>
      </c>
      <c r="I383" s="118">
        <v>14</v>
      </c>
      <c r="J383" s="118">
        <v>105.3</v>
      </c>
      <c r="K383" s="118"/>
      <c r="L383" s="122">
        <v>-1.64</v>
      </c>
      <c r="M383" s="122">
        <v>-0.48</v>
      </c>
      <c r="N383" s="118">
        <v>-2.1</v>
      </c>
      <c r="O383" s="123" t="s">
        <v>1747</v>
      </c>
    </row>
    <row r="384" spans="1:15" ht="43.2">
      <c r="A384" s="118" t="s">
        <v>2439</v>
      </c>
      <c r="B384" s="118" t="s">
        <v>1752</v>
      </c>
      <c r="C384" s="118" t="s">
        <v>1779</v>
      </c>
      <c r="D384" s="119">
        <v>43138</v>
      </c>
      <c r="E384" s="118" t="s">
        <v>2440</v>
      </c>
      <c r="F384" s="118" t="s">
        <v>1769</v>
      </c>
      <c r="G384" s="118">
        <v>8</v>
      </c>
      <c r="H384" s="118">
        <v>1</v>
      </c>
      <c r="I384" s="118">
        <v>14</v>
      </c>
      <c r="J384" s="118">
        <v>105</v>
      </c>
      <c r="K384" s="118"/>
      <c r="L384" s="122">
        <v>-1.23</v>
      </c>
      <c r="M384" s="122">
        <v>0.39</v>
      </c>
      <c r="N384" s="118">
        <v>-2.25</v>
      </c>
      <c r="O384" s="123" t="s">
        <v>1747</v>
      </c>
    </row>
    <row r="385" spans="1:15" ht="43.2">
      <c r="A385" s="118" t="s">
        <v>2441</v>
      </c>
      <c r="B385" s="118" t="s">
        <v>1752</v>
      </c>
      <c r="C385" s="118" t="s">
        <v>1755</v>
      </c>
      <c r="D385" s="119">
        <v>44389</v>
      </c>
      <c r="E385" s="118" t="s">
        <v>2442</v>
      </c>
      <c r="F385" s="118" t="s">
        <v>1769</v>
      </c>
      <c r="G385" s="118">
        <v>3</v>
      </c>
      <c r="H385" s="118">
        <v>12</v>
      </c>
      <c r="I385" s="118">
        <v>7.4</v>
      </c>
      <c r="J385" s="118">
        <v>73</v>
      </c>
      <c r="K385" s="118">
        <v>13</v>
      </c>
      <c r="L385" s="122">
        <v>-2.4</v>
      </c>
      <c r="M385" s="122">
        <v>-1.1399999999999999</v>
      </c>
      <c r="N385" s="118">
        <v>-2.57</v>
      </c>
      <c r="O385" s="123" t="s">
        <v>1747</v>
      </c>
    </row>
    <row r="386" spans="1:15" ht="43.2">
      <c r="A386" s="118" t="s">
        <v>2443</v>
      </c>
      <c r="B386" s="118" t="s">
        <v>1752</v>
      </c>
      <c r="C386" s="118" t="s">
        <v>1749</v>
      </c>
      <c r="D386" s="119">
        <v>43848</v>
      </c>
      <c r="E386" s="118" t="s">
        <v>2444</v>
      </c>
      <c r="F386" s="118" t="s">
        <v>1769</v>
      </c>
      <c r="G386" s="118">
        <v>3</v>
      </c>
      <c r="H386" s="118">
        <v>11</v>
      </c>
      <c r="I386" s="118">
        <v>9.1999999999999993</v>
      </c>
      <c r="J386" s="118">
        <v>81.2</v>
      </c>
      <c r="K386" s="118"/>
      <c r="L386" s="122">
        <v>-3.13</v>
      </c>
      <c r="M386" s="122">
        <v>-3.12</v>
      </c>
      <c r="N386" s="118">
        <v>-2.0099999999999998</v>
      </c>
      <c r="O386" s="123" t="s">
        <v>1747</v>
      </c>
    </row>
    <row r="387" spans="1:15" ht="43.2">
      <c r="A387" s="118" t="s">
        <v>2445</v>
      </c>
      <c r="B387" s="118" t="s">
        <v>1743</v>
      </c>
      <c r="C387" s="118" t="s">
        <v>1779</v>
      </c>
      <c r="D387" s="119">
        <v>43191</v>
      </c>
      <c r="E387" s="118" t="s">
        <v>2446</v>
      </c>
      <c r="F387" s="118" t="s">
        <v>1769</v>
      </c>
      <c r="G387" s="118">
        <v>9</v>
      </c>
      <c r="H387" s="118">
        <v>12</v>
      </c>
      <c r="I387" s="118">
        <v>9.4</v>
      </c>
      <c r="J387" s="118">
        <v>87</v>
      </c>
      <c r="K387" s="118"/>
      <c r="L387" s="122">
        <v>-4.2</v>
      </c>
      <c r="M387" s="122">
        <v>-3.99</v>
      </c>
      <c r="N387" s="118">
        <v>-2.77</v>
      </c>
      <c r="O387" s="123" t="s">
        <v>1747</v>
      </c>
    </row>
    <row r="388" spans="1:15" ht="43.2">
      <c r="A388" s="118" t="s">
        <v>2447</v>
      </c>
      <c r="B388" s="118" t="s">
        <v>1752</v>
      </c>
      <c r="C388" s="118" t="s">
        <v>1786</v>
      </c>
      <c r="D388" s="119">
        <v>43298</v>
      </c>
      <c r="E388" s="118" t="s">
        <v>2448</v>
      </c>
      <c r="F388" s="118" t="s">
        <v>1769</v>
      </c>
      <c r="G388" s="118">
        <v>6</v>
      </c>
      <c r="H388" s="118">
        <v>12</v>
      </c>
      <c r="I388" s="118">
        <v>9.1999999999999993</v>
      </c>
      <c r="J388" s="118">
        <v>84.5</v>
      </c>
      <c r="K388" s="118"/>
      <c r="L388" s="122">
        <v>-4.3899999999999997</v>
      </c>
      <c r="M388" s="122">
        <v>-4.49</v>
      </c>
      <c r="N388" s="118">
        <v>-2.9</v>
      </c>
      <c r="O388" s="123" t="s">
        <v>1747</v>
      </c>
    </row>
    <row r="389" spans="1:15" ht="43.2">
      <c r="A389" s="118" t="s">
        <v>2449</v>
      </c>
      <c r="B389" s="118" t="s">
        <v>1743</v>
      </c>
      <c r="C389" s="118" t="s">
        <v>1749</v>
      </c>
      <c r="D389" s="119">
        <v>43645</v>
      </c>
      <c r="E389" s="118" t="s">
        <v>2450</v>
      </c>
      <c r="F389" s="118" t="s">
        <v>1769</v>
      </c>
      <c r="G389" s="118">
        <v>6</v>
      </c>
      <c r="H389" s="118">
        <v>12</v>
      </c>
      <c r="I389" s="118">
        <v>9.1</v>
      </c>
      <c r="J389" s="118">
        <v>83.3</v>
      </c>
      <c r="K389" s="118"/>
      <c r="L389" s="122">
        <v>-3.45</v>
      </c>
      <c r="M389" s="122">
        <v>-3.13</v>
      </c>
      <c r="N389" s="118">
        <v>-2.1800000000000002</v>
      </c>
      <c r="O389" s="123" t="s">
        <v>1747</v>
      </c>
    </row>
    <row r="390" spans="1:15" ht="43.2">
      <c r="A390" s="118" t="s">
        <v>2451</v>
      </c>
      <c r="B390" s="118" t="s">
        <v>1743</v>
      </c>
      <c r="C390" s="118" t="s">
        <v>1744</v>
      </c>
      <c r="D390" s="119">
        <v>44044</v>
      </c>
      <c r="E390" s="118" t="s">
        <v>2242</v>
      </c>
      <c r="F390" s="118" t="s">
        <v>1769</v>
      </c>
      <c r="G390" s="118">
        <v>6</v>
      </c>
      <c r="H390" s="118">
        <v>12</v>
      </c>
      <c r="I390" s="118">
        <v>8.4</v>
      </c>
      <c r="J390" s="118">
        <v>80.900000000000006</v>
      </c>
      <c r="K390" s="118">
        <v>12.3</v>
      </c>
      <c r="L390" s="122">
        <v>-2.5499999999999998</v>
      </c>
      <c r="M390" s="122">
        <v>-1.35</v>
      </c>
      <c r="N390" s="118">
        <v>-2.52</v>
      </c>
      <c r="O390" s="123" t="s">
        <v>1747</v>
      </c>
    </row>
    <row r="391" spans="1:15" ht="43.2">
      <c r="A391" s="118" t="s">
        <v>2452</v>
      </c>
      <c r="B391" s="118" t="s">
        <v>1743</v>
      </c>
      <c r="C391" s="118" t="s">
        <v>1779</v>
      </c>
      <c r="D391" s="119">
        <v>43076</v>
      </c>
      <c r="E391" s="118" t="s">
        <v>2453</v>
      </c>
      <c r="F391" s="118" t="s">
        <v>1769</v>
      </c>
      <c r="G391" s="118">
        <v>6</v>
      </c>
      <c r="H391" s="118">
        <v>12</v>
      </c>
      <c r="I391" s="118">
        <v>14</v>
      </c>
      <c r="J391" s="118">
        <v>105</v>
      </c>
      <c r="K391" s="118">
        <v>15.5</v>
      </c>
      <c r="L391" s="122">
        <v>-1.61</v>
      </c>
      <c r="M391" s="122">
        <v>-0.5</v>
      </c>
      <c r="N391" s="118">
        <v>-2.0299999999999998</v>
      </c>
      <c r="O391" s="123" t="s">
        <v>1747</v>
      </c>
    </row>
    <row r="392" spans="1:15" ht="43.2">
      <c r="A392" s="118" t="s">
        <v>2454</v>
      </c>
      <c r="B392" s="118" t="s">
        <v>1743</v>
      </c>
      <c r="C392" s="118" t="s">
        <v>1749</v>
      </c>
      <c r="D392" s="119">
        <v>43930</v>
      </c>
      <c r="E392" s="118" t="s">
        <v>2455</v>
      </c>
      <c r="F392" s="118" t="s">
        <v>1769</v>
      </c>
      <c r="G392" s="118">
        <v>5</v>
      </c>
      <c r="H392" s="118">
        <v>12</v>
      </c>
      <c r="I392" s="118">
        <v>10</v>
      </c>
      <c r="J392" s="118">
        <v>88</v>
      </c>
      <c r="K392" s="118">
        <v>14.5</v>
      </c>
      <c r="L392" s="122">
        <v>-1.68</v>
      </c>
      <c r="M392" s="122">
        <v>-0.26</v>
      </c>
      <c r="N392" s="118">
        <v>-2.27</v>
      </c>
      <c r="O392" s="123" t="s">
        <v>1747</v>
      </c>
    </row>
    <row r="393" spans="1:15" ht="43.2">
      <c r="A393" s="118" t="s">
        <v>2456</v>
      </c>
      <c r="B393" s="118" t="s">
        <v>1743</v>
      </c>
      <c r="C393" s="118" t="s">
        <v>1744</v>
      </c>
      <c r="D393" s="119">
        <v>44237</v>
      </c>
      <c r="E393" s="118" t="s">
        <v>1832</v>
      </c>
      <c r="F393" s="118" t="s">
        <v>1769</v>
      </c>
      <c r="G393" s="118">
        <v>1</v>
      </c>
      <c r="H393" s="118">
        <v>8</v>
      </c>
      <c r="I393" s="118">
        <v>8</v>
      </c>
      <c r="J393" s="118">
        <v>78</v>
      </c>
      <c r="K393" s="118"/>
      <c r="L393" s="122">
        <v>-2.0099999999999998</v>
      </c>
      <c r="M393" s="122">
        <v>-0.57999999999999996</v>
      </c>
      <c r="N393" s="118">
        <v>-2.4</v>
      </c>
      <c r="O393" s="123" t="s">
        <v>1747</v>
      </c>
    </row>
    <row r="394" spans="1:15" ht="43.2">
      <c r="A394" s="118" t="s">
        <v>2457</v>
      </c>
      <c r="B394" s="118" t="s">
        <v>1752</v>
      </c>
      <c r="C394" s="118" t="s">
        <v>1755</v>
      </c>
      <c r="D394" s="119">
        <v>44365</v>
      </c>
      <c r="E394" s="118" t="s">
        <v>2458</v>
      </c>
      <c r="F394" s="118" t="s">
        <v>1769</v>
      </c>
      <c r="G394" s="118">
        <v>3</v>
      </c>
      <c r="H394" s="118">
        <v>5</v>
      </c>
      <c r="I394" s="118">
        <v>8</v>
      </c>
      <c r="J394" s="118">
        <v>76.5</v>
      </c>
      <c r="K394" s="118">
        <v>13.5</v>
      </c>
      <c r="L394" s="122">
        <v>-2.25</v>
      </c>
      <c r="M394" s="122">
        <v>-0.94</v>
      </c>
      <c r="N394" s="118">
        <v>-2.5299999999999998</v>
      </c>
      <c r="O394" s="123" t="s">
        <v>1747</v>
      </c>
    </row>
    <row r="395" spans="1:15" ht="43.2">
      <c r="A395" s="118" t="s">
        <v>2459</v>
      </c>
      <c r="B395" s="118" t="s">
        <v>1752</v>
      </c>
      <c r="C395" s="118" t="s">
        <v>1755</v>
      </c>
      <c r="D395" s="119">
        <v>44611</v>
      </c>
      <c r="E395" s="118" t="s">
        <v>2099</v>
      </c>
      <c r="F395" s="118" t="s">
        <v>1769</v>
      </c>
      <c r="G395" s="118">
        <v>9</v>
      </c>
      <c r="H395" s="118">
        <v>5</v>
      </c>
      <c r="I395" s="118">
        <v>6.2</v>
      </c>
      <c r="J395" s="118">
        <v>66</v>
      </c>
      <c r="K395" s="118">
        <v>16</v>
      </c>
      <c r="L395" s="122">
        <v>-1.94</v>
      </c>
      <c r="M395" s="122">
        <v>-0.31</v>
      </c>
      <c r="N395" s="118">
        <v>-2.4</v>
      </c>
      <c r="O395" s="123" t="s">
        <v>1747</v>
      </c>
    </row>
    <row r="396" spans="1:15" ht="43.2">
      <c r="A396" s="118" t="s">
        <v>2460</v>
      </c>
      <c r="B396" s="118" t="s">
        <v>1752</v>
      </c>
      <c r="C396" s="118" t="s">
        <v>1755</v>
      </c>
      <c r="D396" s="119">
        <v>44609</v>
      </c>
      <c r="E396" s="118" t="s">
        <v>2461</v>
      </c>
      <c r="F396" s="118" t="s">
        <v>1769</v>
      </c>
      <c r="G396" s="118">
        <v>2</v>
      </c>
      <c r="H396" s="118">
        <v>5</v>
      </c>
      <c r="I396" s="118">
        <v>6</v>
      </c>
      <c r="J396" s="118">
        <v>66</v>
      </c>
      <c r="K396" s="118">
        <v>14</v>
      </c>
      <c r="L396" s="122">
        <v>-2.2200000000000002</v>
      </c>
      <c r="M396" s="122">
        <v>-0.31</v>
      </c>
      <c r="N396" s="118">
        <v>-2.83</v>
      </c>
      <c r="O396" s="123" t="s">
        <v>1747</v>
      </c>
    </row>
    <row r="397" spans="1:15" ht="57.6">
      <c r="A397" s="118" t="s">
        <v>2462</v>
      </c>
      <c r="B397" s="118" t="s">
        <v>1752</v>
      </c>
      <c r="C397" s="118" t="s">
        <v>1755</v>
      </c>
      <c r="D397" s="119">
        <v>44332</v>
      </c>
      <c r="E397" s="118" t="s">
        <v>2463</v>
      </c>
      <c r="F397" s="118" t="s">
        <v>1769</v>
      </c>
      <c r="G397" s="118">
        <v>3</v>
      </c>
      <c r="H397" s="118">
        <v>3</v>
      </c>
      <c r="I397" s="118">
        <v>7.9</v>
      </c>
      <c r="J397" s="118">
        <v>76</v>
      </c>
      <c r="K397" s="118"/>
      <c r="L397" s="122">
        <v>-2.3199999999999998</v>
      </c>
      <c r="M397" s="122">
        <v>-1.06</v>
      </c>
      <c r="N397" s="118">
        <v>-2.57</v>
      </c>
      <c r="O397" s="123" t="s">
        <v>1747</v>
      </c>
    </row>
    <row r="398" spans="1:15" ht="43.2">
      <c r="A398" s="118" t="s">
        <v>2464</v>
      </c>
      <c r="B398" s="118" t="s">
        <v>1752</v>
      </c>
      <c r="C398" s="118" t="s">
        <v>1744</v>
      </c>
      <c r="D398" s="119">
        <v>44017</v>
      </c>
      <c r="E398" s="118" t="s">
        <v>2465</v>
      </c>
      <c r="F398" s="118" t="s">
        <v>1769</v>
      </c>
      <c r="G398" s="118">
        <v>3</v>
      </c>
      <c r="H398" s="118">
        <v>2</v>
      </c>
      <c r="I398" s="118">
        <v>10.5</v>
      </c>
      <c r="J398" s="118">
        <v>89</v>
      </c>
      <c r="K398" s="118"/>
      <c r="L398" s="122">
        <v>-1.4</v>
      </c>
      <c r="M398" s="122">
        <v>0.36</v>
      </c>
      <c r="N398" s="118">
        <v>-2.39</v>
      </c>
      <c r="O398" s="123" t="s">
        <v>1747</v>
      </c>
    </row>
    <row r="399" spans="1:15" ht="43.2">
      <c r="A399" s="118" t="s">
        <v>2466</v>
      </c>
      <c r="B399" s="118" t="s">
        <v>1752</v>
      </c>
      <c r="C399" s="118" t="s">
        <v>1755</v>
      </c>
      <c r="D399" s="119">
        <v>44358</v>
      </c>
      <c r="E399" s="118" t="s">
        <v>2467</v>
      </c>
      <c r="F399" s="118" t="s">
        <v>1769</v>
      </c>
      <c r="G399" s="118">
        <v>1</v>
      </c>
      <c r="H399" s="118">
        <v>12</v>
      </c>
      <c r="I399" s="118">
        <v>8.6</v>
      </c>
      <c r="J399" s="118">
        <v>78.5</v>
      </c>
      <c r="K399" s="118"/>
      <c r="L399" s="122">
        <v>-1.4</v>
      </c>
      <c r="M399" s="122">
        <v>0.6</v>
      </c>
      <c r="N399" s="118">
        <v>-2.2400000000000002</v>
      </c>
      <c r="O399" s="123" t="s">
        <v>1747</v>
      </c>
    </row>
    <row r="400" spans="1:15" ht="43.2">
      <c r="A400" s="118" t="s">
        <v>2468</v>
      </c>
      <c r="B400" s="118" t="s">
        <v>1743</v>
      </c>
      <c r="C400" s="118" t="s">
        <v>1749</v>
      </c>
      <c r="D400" s="119">
        <v>43770</v>
      </c>
      <c r="E400" s="118" t="s">
        <v>2469</v>
      </c>
      <c r="F400" s="118" t="s">
        <v>1769</v>
      </c>
      <c r="G400" s="118">
        <v>1</v>
      </c>
      <c r="H400" s="118">
        <v>8</v>
      </c>
      <c r="I400" s="118">
        <v>9.5</v>
      </c>
      <c r="J400" s="118">
        <v>87</v>
      </c>
      <c r="K400" s="118">
        <v>13</v>
      </c>
      <c r="L400" s="122">
        <v>-2.83</v>
      </c>
      <c r="M400" s="122">
        <v>-1.7</v>
      </c>
      <c r="N400" s="118">
        <v>-2.64</v>
      </c>
      <c r="O400" s="123" t="s">
        <v>1747</v>
      </c>
    </row>
    <row r="401" spans="1:15" ht="43.2">
      <c r="A401" s="118" t="s">
        <v>2470</v>
      </c>
      <c r="B401" s="118" t="s">
        <v>1743</v>
      </c>
      <c r="C401" s="118" t="s">
        <v>1779</v>
      </c>
      <c r="D401" s="119">
        <v>43093</v>
      </c>
      <c r="E401" s="118" t="s">
        <v>2471</v>
      </c>
      <c r="F401" s="118" t="s">
        <v>1769</v>
      </c>
      <c r="G401" s="118">
        <v>1</v>
      </c>
      <c r="H401" s="118">
        <v>12</v>
      </c>
      <c r="I401" s="118">
        <v>14</v>
      </c>
      <c r="J401" s="118">
        <v>105</v>
      </c>
      <c r="K401" s="118"/>
      <c r="L401" s="122">
        <v>-1.58</v>
      </c>
      <c r="M401" s="122">
        <v>-0.46</v>
      </c>
      <c r="N401" s="118">
        <v>-2.0299999999999998</v>
      </c>
      <c r="O401" s="123" t="s">
        <v>1747</v>
      </c>
    </row>
    <row r="402" spans="1:15" ht="43.2">
      <c r="A402" s="118" t="s">
        <v>2472</v>
      </c>
      <c r="B402" s="118" t="s">
        <v>1743</v>
      </c>
      <c r="C402" s="118" t="s">
        <v>1786</v>
      </c>
      <c r="D402" s="119">
        <v>43464</v>
      </c>
      <c r="E402" s="118" t="s">
        <v>2473</v>
      </c>
      <c r="F402" s="118" t="s">
        <v>1769</v>
      </c>
      <c r="G402" s="118">
        <v>8</v>
      </c>
      <c r="H402" s="118">
        <v>12</v>
      </c>
      <c r="I402" s="118">
        <v>13.2</v>
      </c>
      <c r="J402" s="118">
        <v>104</v>
      </c>
      <c r="K402" s="118"/>
      <c r="L402" s="122">
        <v>-2.0099999999999998</v>
      </c>
      <c r="M402" s="122">
        <v>-0.66</v>
      </c>
      <c r="N402" s="118">
        <v>-2.4900000000000002</v>
      </c>
      <c r="O402" s="123" t="s">
        <v>1747</v>
      </c>
    </row>
    <row r="403" spans="1:15" ht="43.2">
      <c r="A403" s="118" t="s">
        <v>2474</v>
      </c>
      <c r="B403" s="118" t="s">
        <v>1752</v>
      </c>
      <c r="C403" s="118" t="s">
        <v>1779</v>
      </c>
      <c r="D403" s="119">
        <v>43135</v>
      </c>
      <c r="E403" s="118" t="s">
        <v>2475</v>
      </c>
      <c r="F403" s="118" t="s">
        <v>1769</v>
      </c>
      <c r="G403" s="118">
        <v>8</v>
      </c>
      <c r="H403" s="118">
        <v>12</v>
      </c>
      <c r="I403" s="118">
        <v>14.6</v>
      </c>
      <c r="J403" s="118">
        <v>108</v>
      </c>
      <c r="K403" s="118"/>
      <c r="L403" s="122">
        <v>-1.35</v>
      </c>
      <c r="M403" s="122">
        <v>0.26</v>
      </c>
      <c r="N403" s="118">
        <v>-2.38</v>
      </c>
      <c r="O403" s="123" t="s">
        <v>1747</v>
      </c>
    </row>
    <row r="404" spans="1:15" ht="43.2">
      <c r="A404" s="118" t="s">
        <v>2476</v>
      </c>
      <c r="B404" s="118" t="s">
        <v>1743</v>
      </c>
      <c r="C404" s="118" t="s">
        <v>1779</v>
      </c>
      <c r="D404" s="119">
        <v>43145</v>
      </c>
      <c r="E404" s="118" t="s">
        <v>2477</v>
      </c>
      <c r="F404" s="118" t="s">
        <v>1769</v>
      </c>
      <c r="G404" s="118">
        <v>1</v>
      </c>
      <c r="H404" s="118">
        <v>12</v>
      </c>
      <c r="I404" s="118">
        <v>10.5</v>
      </c>
      <c r="J404" s="118">
        <v>91</v>
      </c>
      <c r="K404" s="118">
        <v>17</v>
      </c>
      <c r="L404" s="122">
        <v>-3.62</v>
      </c>
      <c r="M404" s="122">
        <v>-3.35</v>
      </c>
      <c r="N404" s="118">
        <v>-2.4</v>
      </c>
      <c r="O404" s="123" t="s">
        <v>1747</v>
      </c>
    </row>
    <row r="405" spans="1:15" ht="43.2">
      <c r="A405" s="118" t="s">
        <v>2478</v>
      </c>
      <c r="B405" s="118" t="s">
        <v>1752</v>
      </c>
      <c r="C405" s="118" t="s">
        <v>1779</v>
      </c>
      <c r="D405" s="119">
        <v>43203</v>
      </c>
      <c r="E405" s="118" t="s">
        <v>2479</v>
      </c>
      <c r="F405" s="118" t="s">
        <v>1769</v>
      </c>
      <c r="G405" s="118">
        <v>8</v>
      </c>
      <c r="H405" s="118">
        <v>12</v>
      </c>
      <c r="I405" s="118">
        <v>14</v>
      </c>
      <c r="J405" s="118">
        <v>104</v>
      </c>
      <c r="K405" s="118"/>
      <c r="L405" s="122">
        <v>-1.52</v>
      </c>
      <c r="M405" s="122">
        <v>-0.37</v>
      </c>
      <c r="N405" s="118">
        <v>-2.0299999999999998</v>
      </c>
      <c r="O405" s="123" t="s">
        <v>1747</v>
      </c>
    </row>
    <row r="406" spans="1:15" ht="43.2">
      <c r="A406" s="118" t="s">
        <v>2480</v>
      </c>
      <c r="B406" s="118" t="s">
        <v>1752</v>
      </c>
      <c r="C406" s="118" t="s">
        <v>1786</v>
      </c>
      <c r="D406" s="119">
        <v>43285</v>
      </c>
      <c r="E406" s="118" t="s">
        <v>2481</v>
      </c>
      <c r="F406" s="118" t="s">
        <v>1769</v>
      </c>
      <c r="G406" s="118">
        <v>8</v>
      </c>
      <c r="H406" s="118">
        <v>12</v>
      </c>
      <c r="I406" s="118">
        <v>13.7</v>
      </c>
      <c r="J406" s="118">
        <v>103</v>
      </c>
      <c r="K406" s="118"/>
      <c r="L406" s="122">
        <v>-1.5</v>
      </c>
      <c r="M406" s="122">
        <v>-0.26</v>
      </c>
      <c r="N406" s="118">
        <v>-2.08</v>
      </c>
      <c r="O406" s="123" t="s">
        <v>1747</v>
      </c>
    </row>
    <row r="407" spans="1:15" ht="43.2">
      <c r="A407" s="118" t="s">
        <v>2482</v>
      </c>
      <c r="B407" s="118" t="s">
        <v>1752</v>
      </c>
      <c r="C407" s="118" t="s">
        <v>1786</v>
      </c>
      <c r="D407" s="119">
        <v>43484</v>
      </c>
      <c r="E407" s="118" t="s">
        <v>2483</v>
      </c>
      <c r="F407" s="118" t="s">
        <v>1769</v>
      </c>
      <c r="G407" s="118">
        <v>2</v>
      </c>
      <c r="H407" s="118">
        <v>12</v>
      </c>
      <c r="I407" s="118">
        <v>13</v>
      </c>
      <c r="J407" s="118">
        <v>100</v>
      </c>
      <c r="K407" s="118"/>
      <c r="L407" s="122">
        <v>-1.42</v>
      </c>
      <c r="M407" s="122">
        <v>-0.09</v>
      </c>
      <c r="N407" s="118">
        <v>-2.09</v>
      </c>
      <c r="O407" s="123" t="s">
        <v>1747</v>
      </c>
    </row>
    <row r="408" spans="1:15" ht="43.2">
      <c r="A408" s="118" t="s">
        <v>2484</v>
      </c>
      <c r="B408" s="118" t="s">
        <v>1752</v>
      </c>
      <c r="C408" s="118" t="s">
        <v>1786</v>
      </c>
      <c r="D408" s="119">
        <v>43530</v>
      </c>
      <c r="E408" s="118" t="s">
        <v>2485</v>
      </c>
      <c r="F408" s="118" t="s">
        <v>1769</v>
      </c>
      <c r="G408" s="118">
        <v>2</v>
      </c>
      <c r="H408" s="118">
        <v>12</v>
      </c>
      <c r="I408" s="118">
        <v>11.3</v>
      </c>
      <c r="J408" s="118">
        <v>93</v>
      </c>
      <c r="K408" s="118">
        <v>14.5</v>
      </c>
      <c r="L408" s="122">
        <v>-2.4500000000000002</v>
      </c>
      <c r="M408" s="122">
        <v>-1.64</v>
      </c>
      <c r="N408" s="118">
        <v>-2.37</v>
      </c>
      <c r="O408" s="123" t="s">
        <v>1747</v>
      </c>
    </row>
    <row r="409" spans="1:15" ht="43.2">
      <c r="A409" s="118" t="s">
        <v>2486</v>
      </c>
      <c r="B409" s="118" t="s">
        <v>1743</v>
      </c>
      <c r="C409" s="118" t="s">
        <v>1749</v>
      </c>
      <c r="D409" s="119">
        <v>43586</v>
      </c>
      <c r="E409" s="118" t="s">
        <v>2219</v>
      </c>
      <c r="F409" s="118" t="s">
        <v>1769</v>
      </c>
      <c r="G409" s="118">
        <v>1</v>
      </c>
      <c r="H409" s="118">
        <v>11</v>
      </c>
      <c r="I409" s="118">
        <v>13.2</v>
      </c>
      <c r="J409" s="118">
        <v>102</v>
      </c>
      <c r="K409" s="118">
        <v>14</v>
      </c>
      <c r="L409" s="122">
        <v>-0.73</v>
      </c>
      <c r="M409" s="122">
        <v>1.1499999999999999</v>
      </c>
      <c r="N409" s="118">
        <v>-2.0499999999999998</v>
      </c>
      <c r="O409" s="123" t="s">
        <v>1747</v>
      </c>
    </row>
    <row r="410" spans="1:15" ht="43.2">
      <c r="A410" s="118" t="s">
        <v>2487</v>
      </c>
      <c r="B410" s="118" t="s">
        <v>1752</v>
      </c>
      <c r="C410" s="118" t="s">
        <v>1749</v>
      </c>
      <c r="D410" s="119">
        <v>43596</v>
      </c>
      <c r="E410" s="118" t="s">
        <v>2248</v>
      </c>
      <c r="F410" s="118" t="s">
        <v>1769</v>
      </c>
      <c r="G410" s="118">
        <v>4</v>
      </c>
      <c r="H410" s="118">
        <v>8</v>
      </c>
      <c r="I410" s="118">
        <v>12</v>
      </c>
      <c r="J410" s="118">
        <v>96</v>
      </c>
      <c r="K410" s="118"/>
      <c r="L410" s="122">
        <v>-1.77</v>
      </c>
      <c r="M410" s="122">
        <v>-0.55000000000000004</v>
      </c>
      <c r="N410" s="118">
        <v>-2.2400000000000002</v>
      </c>
      <c r="O410" s="123" t="s">
        <v>1747</v>
      </c>
    </row>
    <row r="411" spans="1:15" ht="43.2">
      <c r="A411" s="118" t="s">
        <v>2488</v>
      </c>
      <c r="B411" s="118" t="s">
        <v>1752</v>
      </c>
      <c r="C411" s="118" t="s">
        <v>1749</v>
      </c>
      <c r="D411" s="119">
        <v>43624</v>
      </c>
      <c r="E411" s="118" t="s">
        <v>2250</v>
      </c>
      <c r="F411" s="118" t="s">
        <v>1769</v>
      </c>
      <c r="G411" s="118">
        <v>4</v>
      </c>
      <c r="H411" s="118">
        <v>8</v>
      </c>
      <c r="I411" s="118">
        <v>12</v>
      </c>
      <c r="J411" s="118">
        <v>95</v>
      </c>
      <c r="K411" s="118"/>
      <c r="L411" s="122">
        <v>-1.69</v>
      </c>
      <c r="M411" s="122">
        <v>-0.67</v>
      </c>
      <c r="N411" s="118">
        <v>-2.02</v>
      </c>
      <c r="O411" s="123" t="s">
        <v>1747</v>
      </c>
    </row>
    <row r="412" spans="1:15" ht="43.2">
      <c r="A412" s="118" t="s">
        <v>2489</v>
      </c>
      <c r="B412" s="118" t="s">
        <v>1743</v>
      </c>
      <c r="C412" s="118" t="s">
        <v>1749</v>
      </c>
      <c r="D412" s="119">
        <v>43642</v>
      </c>
      <c r="E412" s="118" t="s">
        <v>2252</v>
      </c>
      <c r="F412" s="118" t="s">
        <v>1769</v>
      </c>
      <c r="G412" s="118">
        <v>5</v>
      </c>
      <c r="H412" s="118">
        <v>5</v>
      </c>
      <c r="I412" s="118">
        <v>11.6</v>
      </c>
      <c r="J412" s="118">
        <v>97.2</v>
      </c>
      <c r="K412" s="118">
        <v>12.5</v>
      </c>
      <c r="L412" s="122">
        <v>-1.58</v>
      </c>
      <c r="M412" s="122">
        <v>0.26</v>
      </c>
      <c r="N412" s="118">
        <v>-2.5499999999999998</v>
      </c>
      <c r="O412" s="123" t="s">
        <v>1747</v>
      </c>
    </row>
    <row r="413" spans="1:15" ht="43.2">
      <c r="A413" s="118" t="s">
        <v>2490</v>
      </c>
      <c r="B413" s="118" t="s">
        <v>1743</v>
      </c>
      <c r="C413" s="118" t="s">
        <v>1749</v>
      </c>
      <c r="D413" s="119">
        <v>43782</v>
      </c>
      <c r="E413" s="118" t="s">
        <v>2491</v>
      </c>
      <c r="F413" s="118" t="s">
        <v>1769</v>
      </c>
      <c r="G413" s="118">
        <v>6</v>
      </c>
      <c r="H413" s="118">
        <v>5</v>
      </c>
      <c r="I413" s="118">
        <v>10</v>
      </c>
      <c r="J413" s="118">
        <v>87</v>
      </c>
      <c r="K413" s="118">
        <v>13.5</v>
      </c>
      <c r="L413" s="122">
        <v>-2.34</v>
      </c>
      <c r="M413" s="122">
        <v>-1.63</v>
      </c>
      <c r="N413" s="118">
        <v>-2.02</v>
      </c>
      <c r="O413" s="123" t="s">
        <v>1747</v>
      </c>
    </row>
    <row r="414" spans="1:15" ht="43.2">
      <c r="A414" s="118" t="s">
        <v>2492</v>
      </c>
      <c r="B414" s="118" t="s">
        <v>1752</v>
      </c>
      <c r="C414" s="118" t="s">
        <v>1749</v>
      </c>
      <c r="D414" s="119">
        <v>43808</v>
      </c>
      <c r="E414" s="118" t="s">
        <v>2493</v>
      </c>
      <c r="F414" s="118" t="s">
        <v>1769</v>
      </c>
      <c r="G414" s="118">
        <v>8</v>
      </c>
      <c r="H414" s="118">
        <v>5</v>
      </c>
      <c r="I414" s="118">
        <v>10.5</v>
      </c>
      <c r="J414" s="118">
        <v>90</v>
      </c>
      <c r="K414" s="118"/>
      <c r="L414" s="122">
        <v>-2.25</v>
      </c>
      <c r="M414" s="122">
        <v>-1</v>
      </c>
      <c r="N414" s="118">
        <v>-2.64</v>
      </c>
      <c r="O414" s="123" t="s">
        <v>1747</v>
      </c>
    </row>
    <row r="415" spans="1:15" ht="43.2">
      <c r="A415" s="118" t="s">
        <v>2494</v>
      </c>
      <c r="B415" s="118" t="s">
        <v>1752</v>
      </c>
      <c r="C415" s="118" t="s">
        <v>1744</v>
      </c>
      <c r="D415" s="119">
        <v>43950</v>
      </c>
      <c r="E415" s="118" t="s">
        <v>2495</v>
      </c>
      <c r="F415" s="118" t="s">
        <v>1769</v>
      </c>
      <c r="G415" s="118">
        <v>6</v>
      </c>
      <c r="H415" s="118">
        <v>5</v>
      </c>
      <c r="I415" s="118">
        <v>9.1999999999999993</v>
      </c>
      <c r="J415" s="118">
        <v>84</v>
      </c>
      <c r="K415" s="118">
        <v>13.5</v>
      </c>
      <c r="L415" s="122">
        <v>-2.89</v>
      </c>
      <c r="M415" s="122">
        <v>-1.86</v>
      </c>
      <c r="N415" s="118">
        <v>-2.75</v>
      </c>
      <c r="O415" s="123" t="s">
        <v>1747</v>
      </c>
    </row>
    <row r="416" spans="1:15" ht="57.6">
      <c r="A416" s="118" t="s">
        <v>2496</v>
      </c>
      <c r="B416" s="118" t="s">
        <v>1752</v>
      </c>
      <c r="C416" s="118" t="s">
        <v>1744</v>
      </c>
      <c r="D416" s="119">
        <v>44082</v>
      </c>
      <c r="E416" s="118" t="s">
        <v>2497</v>
      </c>
      <c r="F416" s="118" t="s">
        <v>1769</v>
      </c>
      <c r="G416" s="118">
        <v>8</v>
      </c>
      <c r="H416" s="118">
        <v>5</v>
      </c>
      <c r="I416" s="118">
        <v>10</v>
      </c>
      <c r="J416" s="118">
        <v>86</v>
      </c>
      <c r="K416" s="118"/>
      <c r="L416" s="122">
        <v>-1.6</v>
      </c>
      <c r="M416" s="122">
        <v>-0.38</v>
      </c>
      <c r="N416" s="118">
        <v>-2.0299999999999998</v>
      </c>
      <c r="O416" s="123" t="s">
        <v>1747</v>
      </c>
    </row>
    <row r="417" spans="1:15" ht="43.2">
      <c r="A417" s="118" t="s">
        <v>2498</v>
      </c>
      <c r="B417" s="118" t="s">
        <v>1752</v>
      </c>
      <c r="C417" s="118" t="s">
        <v>1786</v>
      </c>
      <c r="D417" s="119">
        <v>43568</v>
      </c>
      <c r="E417" s="118" t="s">
        <v>2499</v>
      </c>
      <c r="F417" s="118" t="s">
        <v>1769</v>
      </c>
      <c r="G417" s="118">
        <v>6</v>
      </c>
      <c r="H417" s="118">
        <v>5</v>
      </c>
      <c r="I417" s="118">
        <v>14.2</v>
      </c>
      <c r="J417" s="118">
        <v>105</v>
      </c>
      <c r="K417" s="118"/>
      <c r="L417" s="122">
        <v>-0.46</v>
      </c>
      <c r="M417" s="122">
        <v>1.62</v>
      </c>
      <c r="N417" s="118">
        <v>-2.0699999999999998</v>
      </c>
      <c r="O417" s="123" t="s">
        <v>1747</v>
      </c>
    </row>
    <row r="418" spans="1:15" ht="43.2">
      <c r="A418" s="118" t="s">
        <v>2500</v>
      </c>
      <c r="B418" s="118" t="s">
        <v>1752</v>
      </c>
      <c r="C418" s="118" t="s">
        <v>1749</v>
      </c>
      <c r="D418" s="119">
        <v>43697</v>
      </c>
      <c r="E418" s="118" t="s">
        <v>2501</v>
      </c>
      <c r="F418" s="118" t="s">
        <v>1769</v>
      </c>
      <c r="G418" s="118">
        <v>7</v>
      </c>
      <c r="H418" s="118">
        <v>5</v>
      </c>
      <c r="I418" s="118">
        <v>14.3</v>
      </c>
      <c r="J418" s="118">
        <v>105.1</v>
      </c>
      <c r="K418" s="118"/>
      <c r="L418" s="122">
        <v>-0.01</v>
      </c>
      <c r="M418" s="122">
        <v>2.46</v>
      </c>
      <c r="N418" s="118">
        <v>-2.0099999999999998</v>
      </c>
      <c r="O418" s="123" t="s">
        <v>1747</v>
      </c>
    </row>
    <row r="419" spans="1:15" ht="43.2">
      <c r="A419" s="118" t="s">
        <v>2502</v>
      </c>
      <c r="B419" s="118" t="s">
        <v>1743</v>
      </c>
      <c r="C419" s="118" t="s">
        <v>1755</v>
      </c>
      <c r="D419" s="119">
        <v>44537</v>
      </c>
      <c r="E419" s="118" t="s">
        <v>2503</v>
      </c>
      <c r="F419" s="118" t="s">
        <v>1769</v>
      </c>
      <c r="G419" s="118">
        <v>3</v>
      </c>
      <c r="H419" s="118">
        <v>5</v>
      </c>
      <c r="I419" s="118">
        <v>7.5</v>
      </c>
      <c r="J419" s="118">
        <v>75</v>
      </c>
      <c r="K419" s="118"/>
      <c r="L419" s="122">
        <v>-0.56000000000000005</v>
      </c>
      <c r="M419" s="122">
        <v>2.46</v>
      </c>
      <c r="N419" s="118">
        <v>-2.29</v>
      </c>
      <c r="O419" s="123" t="s">
        <v>1747</v>
      </c>
    </row>
    <row r="420" spans="1:15" ht="43.2">
      <c r="A420" s="118" t="s">
        <v>2504</v>
      </c>
      <c r="B420" s="118" t="s">
        <v>1752</v>
      </c>
      <c r="C420" s="118" t="s">
        <v>1755</v>
      </c>
      <c r="D420" s="119">
        <v>44554</v>
      </c>
      <c r="E420" s="118" t="s">
        <v>2505</v>
      </c>
      <c r="F420" s="118" t="s">
        <v>1769</v>
      </c>
      <c r="G420" s="118">
        <v>8</v>
      </c>
      <c r="H420" s="118">
        <v>1</v>
      </c>
      <c r="I420" s="118">
        <v>7.9</v>
      </c>
      <c r="J420" s="118">
        <v>74</v>
      </c>
      <c r="K420" s="118">
        <v>14</v>
      </c>
      <c r="L420" s="122">
        <v>-0.69</v>
      </c>
      <c r="M420" s="122">
        <v>1.75</v>
      </c>
      <c r="N420" s="118">
        <v>-2.02</v>
      </c>
      <c r="O420" s="123" t="s">
        <v>1747</v>
      </c>
    </row>
    <row r="421" spans="1:15" ht="43.2">
      <c r="A421" s="118" t="s">
        <v>2506</v>
      </c>
      <c r="B421" s="118" t="s">
        <v>1743</v>
      </c>
      <c r="C421" s="118" t="s">
        <v>1744</v>
      </c>
      <c r="D421" s="119">
        <v>44117</v>
      </c>
      <c r="E421" s="118" t="s">
        <v>2256</v>
      </c>
      <c r="F421" s="118" t="s">
        <v>1774</v>
      </c>
      <c r="G421" s="118">
        <v>2</v>
      </c>
      <c r="H421" s="118">
        <v>5</v>
      </c>
      <c r="I421" s="118">
        <v>8.3000000000000007</v>
      </c>
      <c r="J421" s="118">
        <v>80</v>
      </c>
      <c r="K421" s="118"/>
      <c r="L421" s="122">
        <v>-2.4</v>
      </c>
      <c r="M421" s="122">
        <v>-1.22</v>
      </c>
      <c r="N421" s="118">
        <v>-2.44</v>
      </c>
      <c r="O421" s="123" t="s">
        <v>1747</v>
      </c>
    </row>
    <row r="422" spans="1:15" ht="43.2">
      <c r="A422" s="118" t="s">
        <v>2507</v>
      </c>
      <c r="B422" s="118" t="s">
        <v>1752</v>
      </c>
      <c r="C422" s="118" t="s">
        <v>1786</v>
      </c>
      <c r="D422" s="119">
        <v>43239</v>
      </c>
      <c r="E422" s="118" t="s">
        <v>2262</v>
      </c>
      <c r="F422" s="118" t="s">
        <v>1774</v>
      </c>
      <c r="G422" s="118">
        <v>1</v>
      </c>
      <c r="H422" s="118">
        <v>7</v>
      </c>
      <c r="I422" s="118">
        <v>12.4</v>
      </c>
      <c r="J422" s="118">
        <v>97</v>
      </c>
      <c r="K422" s="118">
        <v>15.5</v>
      </c>
      <c r="L422" s="122">
        <v>-2.41</v>
      </c>
      <c r="M422" s="122">
        <v>-1.85</v>
      </c>
      <c r="N422" s="118">
        <v>-2.0299999999999998</v>
      </c>
      <c r="O422" s="123" t="s">
        <v>1747</v>
      </c>
    </row>
    <row r="423" spans="1:15" ht="43.2">
      <c r="A423" s="118" t="s">
        <v>2508</v>
      </c>
      <c r="B423" s="118" t="s">
        <v>1752</v>
      </c>
      <c r="C423" s="118" t="s">
        <v>1755</v>
      </c>
      <c r="D423" s="119">
        <v>44519</v>
      </c>
      <c r="E423" s="118" t="s">
        <v>2509</v>
      </c>
      <c r="F423" s="118" t="s">
        <v>1777</v>
      </c>
      <c r="G423" s="118">
        <v>2</v>
      </c>
      <c r="H423" s="118">
        <v>10</v>
      </c>
      <c r="I423" s="118">
        <v>7</v>
      </c>
      <c r="J423" s="118">
        <v>69.2</v>
      </c>
      <c r="K423" s="118">
        <v>12</v>
      </c>
      <c r="L423" s="122">
        <v>-2.14</v>
      </c>
      <c r="M423" s="122">
        <v>-1.1399999999999999</v>
      </c>
      <c r="N423" s="118">
        <v>-2.04</v>
      </c>
      <c r="O423" s="123" t="s">
        <v>1747</v>
      </c>
    </row>
    <row r="424" spans="1:15" ht="43.2">
      <c r="A424" s="118" t="s">
        <v>2510</v>
      </c>
      <c r="B424" s="118" t="s">
        <v>1743</v>
      </c>
      <c r="C424" s="118" t="s">
        <v>1744</v>
      </c>
      <c r="D424" s="119">
        <v>44104</v>
      </c>
      <c r="E424" s="118" t="s">
        <v>2511</v>
      </c>
      <c r="F424" s="118" t="s">
        <v>1777</v>
      </c>
      <c r="G424" s="118">
        <v>8</v>
      </c>
      <c r="H424" s="118">
        <v>9</v>
      </c>
      <c r="I424" s="118">
        <v>7</v>
      </c>
      <c r="J424" s="118">
        <v>73</v>
      </c>
      <c r="K424" s="118"/>
      <c r="L424" s="122">
        <v>-3.9</v>
      </c>
      <c r="M424" s="122">
        <v>-3.61</v>
      </c>
      <c r="N424" s="118">
        <v>-2.79</v>
      </c>
      <c r="O424" s="123" t="s">
        <v>1747</v>
      </c>
    </row>
    <row r="425" spans="1:15" ht="43.2">
      <c r="A425" s="118" t="s">
        <v>2512</v>
      </c>
      <c r="B425" s="118" t="s">
        <v>1743</v>
      </c>
      <c r="C425" s="118" t="s">
        <v>2055</v>
      </c>
      <c r="D425" s="119">
        <v>44797</v>
      </c>
      <c r="E425" s="118" t="s">
        <v>2513</v>
      </c>
      <c r="F425" s="118" t="s">
        <v>1777</v>
      </c>
      <c r="G425" s="118">
        <v>3</v>
      </c>
      <c r="H425" s="118">
        <v>10</v>
      </c>
      <c r="I425" s="118">
        <v>2.25</v>
      </c>
      <c r="J425" s="118">
        <v>47</v>
      </c>
      <c r="K425" s="118"/>
      <c r="L425" s="122">
        <v>-3.74</v>
      </c>
      <c r="M425" s="122">
        <v>-2.67</v>
      </c>
      <c r="N425" s="118">
        <v>-3.03</v>
      </c>
      <c r="O425" s="123" t="s">
        <v>1790</v>
      </c>
    </row>
    <row r="426" spans="1:15" ht="43.2">
      <c r="A426" s="118" t="s">
        <v>2514</v>
      </c>
      <c r="B426" s="118" t="s">
        <v>1752</v>
      </c>
      <c r="C426" s="118" t="s">
        <v>1744</v>
      </c>
      <c r="D426" s="119">
        <v>44298</v>
      </c>
      <c r="E426" s="118" t="s">
        <v>2019</v>
      </c>
      <c r="F426" s="118" t="s">
        <v>1777</v>
      </c>
      <c r="G426" s="118">
        <v>1</v>
      </c>
      <c r="H426" s="118">
        <v>15</v>
      </c>
      <c r="I426" s="118">
        <v>8.1999999999999993</v>
      </c>
      <c r="J426" s="118">
        <v>77</v>
      </c>
      <c r="K426" s="118"/>
      <c r="L426" s="122">
        <v>-2.2599999999999998</v>
      </c>
      <c r="M426" s="122">
        <v>-1.26</v>
      </c>
      <c r="N426" s="118">
        <v>-2.34</v>
      </c>
      <c r="O426" s="123" t="s">
        <v>1747</v>
      </c>
    </row>
    <row r="427" spans="1:15" ht="43.2">
      <c r="A427" s="118" t="s">
        <v>2515</v>
      </c>
      <c r="B427" s="118" t="s">
        <v>1752</v>
      </c>
      <c r="C427" s="118" t="s">
        <v>1744</v>
      </c>
      <c r="D427" s="119">
        <v>44286</v>
      </c>
      <c r="E427" s="118" t="s">
        <v>2021</v>
      </c>
      <c r="F427" s="118" t="s">
        <v>1777</v>
      </c>
      <c r="G427" s="118">
        <v>7</v>
      </c>
      <c r="H427" s="118">
        <v>10</v>
      </c>
      <c r="I427" s="118">
        <v>8</v>
      </c>
      <c r="J427" s="118">
        <v>76</v>
      </c>
      <c r="K427" s="118"/>
      <c r="L427" s="122">
        <v>-2.54</v>
      </c>
      <c r="M427" s="122">
        <v>-1.79</v>
      </c>
      <c r="N427" s="118">
        <v>-2.4</v>
      </c>
      <c r="O427" s="123" t="s">
        <v>1747</v>
      </c>
    </row>
    <row r="428" spans="1:15" ht="43.2">
      <c r="A428" s="118" t="s">
        <v>2516</v>
      </c>
      <c r="B428" s="118" t="s">
        <v>1752</v>
      </c>
      <c r="C428" s="118" t="s">
        <v>1749</v>
      </c>
      <c r="D428" s="119">
        <v>43808</v>
      </c>
      <c r="E428" s="118" t="s">
        <v>1776</v>
      </c>
      <c r="F428" s="118" t="s">
        <v>1777</v>
      </c>
      <c r="G428" s="118">
        <v>1</v>
      </c>
      <c r="H428" s="118">
        <v>2</v>
      </c>
      <c r="I428" s="118">
        <v>14.7</v>
      </c>
      <c r="J428" s="118">
        <v>110.6</v>
      </c>
      <c r="K428" s="118"/>
      <c r="L428" s="122">
        <v>0.6</v>
      </c>
      <c r="M428" s="122">
        <v>4.87</v>
      </c>
      <c r="N428" s="118">
        <v>-2.86</v>
      </c>
      <c r="O428" s="123" t="s">
        <v>1747</v>
      </c>
    </row>
    <row r="429" spans="1:15" ht="43.2">
      <c r="A429" s="118" t="s">
        <v>2517</v>
      </c>
      <c r="B429" s="118" t="s">
        <v>1752</v>
      </c>
      <c r="C429" s="118" t="s">
        <v>1744</v>
      </c>
      <c r="D429" s="119">
        <v>44004</v>
      </c>
      <c r="E429" s="118" t="s">
        <v>2518</v>
      </c>
      <c r="F429" s="118" t="s">
        <v>1777</v>
      </c>
      <c r="G429" s="118">
        <v>5</v>
      </c>
      <c r="H429" s="118">
        <v>2</v>
      </c>
      <c r="I429" s="118">
        <v>8.5</v>
      </c>
      <c r="J429" s="118">
        <v>81</v>
      </c>
      <c r="K429" s="118">
        <v>13</v>
      </c>
      <c r="L429" s="122">
        <v>-3.28</v>
      </c>
      <c r="M429" s="122">
        <v>-2.5299999999999998</v>
      </c>
      <c r="N429" s="118">
        <v>-2.81</v>
      </c>
      <c r="O429" s="123" t="s">
        <v>1747</v>
      </c>
    </row>
    <row r="430" spans="1:15" ht="57.6">
      <c r="A430" s="118" t="s">
        <v>2519</v>
      </c>
      <c r="B430" s="118" t="s">
        <v>1743</v>
      </c>
      <c r="C430" s="118" t="s">
        <v>1779</v>
      </c>
      <c r="D430" s="119">
        <v>43111</v>
      </c>
      <c r="E430" s="118" t="s">
        <v>2107</v>
      </c>
      <c r="F430" s="118" t="s">
        <v>1777</v>
      </c>
      <c r="G430" s="118">
        <v>4</v>
      </c>
      <c r="H430" s="118">
        <v>2</v>
      </c>
      <c r="I430" s="118">
        <v>14</v>
      </c>
      <c r="J430" s="118">
        <v>107</v>
      </c>
      <c r="K430" s="118"/>
      <c r="L430" s="122">
        <v>-1.54</v>
      </c>
      <c r="M430" s="122">
        <v>0.06</v>
      </c>
      <c r="N430" s="118">
        <v>-2.48</v>
      </c>
      <c r="O430" s="123" t="s">
        <v>1747</v>
      </c>
    </row>
    <row r="431" spans="1:15" ht="43.2">
      <c r="A431" s="118" t="s">
        <v>2520</v>
      </c>
      <c r="B431" s="118" t="s">
        <v>1752</v>
      </c>
      <c r="C431" s="118" t="s">
        <v>1786</v>
      </c>
      <c r="D431" s="119">
        <v>43318</v>
      </c>
      <c r="E431" s="118" t="s">
        <v>2521</v>
      </c>
      <c r="F431" s="118" t="s">
        <v>1777</v>
      </c>
      <c r="G431" s="118">
        <v>3</v>
      </c>
      <c r="H431" s="118">
        <v>9</v>
      </c>
      <c r="I431" s="118">
        <v>14.4</v>
      </c>
      <c r="J431" s="118">
        <v>105.5</v>
      </c>
      <c r="K431" s="118"/>
      <c r="L431" s="122">
        <v>-1.02</v>
      </c>
      <c r="M431" s="122">
        <v>0.49</v>
      </c>
      <c r="N431" s="118">
        <v>-2.0099999999999998</v>
      </c>
      <c r="O431" s="123" t="s">
        <v>1747</v>
      </c>
    </row>
    <row r="432" spans="1:15" ht="43.2">
      <c r="A432" s="118" t="s">
        <v>2522</v>
      </c>
      <c r="B432" s="118" t="s">
        <v>1752</v>
      </c>
      <c r="C432" s="118" t="s">
        <v>1786</v>
      </c>
      <c r="D432" s="119">
        <v>43328</v>
      </c>
      <c r="E432" s="118" t="s">
        <v>2523</v>
      </c>
      <c r="F432" s="118" t="s">
        <v>2190</v>
      </c>
      <c r="G432" s="118">
        <v>1</v>
      </c>
      <c r="H432" s="118">
        <v>2</v>
      </c>
      <c r="I432" s="118">
        <v>14.4</v>
      </c>
      <c r="J432" s="118">
        <v>105.5</v>
      </c>
      <c r="K432" s="118"/>
      <c r="L432" s="122">
        <v>-0.99</v>
      </c>
      <c r="M432" s="122">
        <v>0.53</v>
      </c>
      <c r="N432" s="118">
        <v>-2.0099999999999998</v>
      </c>
      <c r="O432" s="123" t="s">
        <v>1747</v>
      </c>
    </row>
    <row r="433" spans="1:15" ht="43.2">
      <c r="A433" s="118" t="s">
        <v>2524</v>
      </c>
      <c r="B433" s="118" t="s">
        <v>1752</v>
      </c>
      <c r="C433" s="118" t="s">
        <v>1779</v>
      </c>
      <c r="D433" s="119">
        <v>43018</v>
      </c>
      <c r="E433" s="118" t="s">
        <v>2525</v>
      </c>
      <c r="F433" s="118" t="s">
        <v>2190</v>
      </c>
      <c r="G433" s="118">
        <v>2</v>
      </c>
      <c r="H433" s="118">
        <v>2</v>
      </c>
      <c r="I433" s="118">
        <v>14.4</v>
      </c>
      <c r="J433" s="118">
        <v>106</v>
      </c>
      <c r="K433" s="118"/>
      <c r="L433" s="122">
        <v>-1.7</v>
      </c>
      <c r="M433" s="122">
        <v>-0.64</v>
      </c>
      <c r="N433" s="118">
        <v>-2.12</v>
      </c>
      <c r="O433" s="123" t="s">
        <v>1747</v>
      </c>
    </row>
    <row r="434" spans="1:15" ht="43.2">
      <c r="A434" s="118" t="s">
        <v>2526</v>
      </c>
      <c r="B434" s="118" t="s">
        <v>1743</v>
      </c>
      <c r="C434" s="118" t="s">
        <v>1749</v>
      </c>
      <c r="D434" s="119">
        <v>43604</v>
      </c>
      <c r="E434" s="118" t="s">
        <v>2527</v>
      </c>
      <c r="F434" s="118" t="s">
        <v>2190</v>
      </c>
      <c r="G434" s="118">
        <v>5</v>
      </c>
      <c r="H434" s="118">
        <v>2</v>
      </c>
      <c r="I434" s="118">
        <v>10.199999999999999</v>
      </c>
      <c r="J434" s="118">
        <v>90.6</v>
      </c>
      <c r="K434" s="118"/>
      <c r="L434" s="122">
        <v>-2.82</v>
      </c>
      <c r="M434" s="122">
        <v>-1.71</v>
      </c>
      <c r="N434" s="118">
        <v>-2.66</v>
      </c>
      <c r="O434" s="123" t="s">
        <v>1747</v>
      </c>
    </row>
    <row r="435" spans="1:15" ht="43.2">
      <c r="A435" s="118" t="s">
        <v>2528</v>
      </c>
      <c r="B435" s="118" t="s">
        <v>1743</v>
      </c>
      <c r="C435" s="118" t="s">
        <v>1749</v>
      </c>
      <c r="D435" s="119">
        <v>43818</v>
      </c>
      <c r="E435" s="118" t="s">
        <v>2529</v>
      </c>
      <c r="F435" s="118" t="s">
        <v>2190</v>
      </c>
      <c r="G435" s="118">
        <v>1</v>
      </c>
      <c r="H435" s="118">
        <v>3</v>
      </c>
      <c r="I435" s="118">
        <v>10.4</v>
      </c>
      <c r="J435" s="118">
        <v>90</v>
      </c>
      <c r="K435" s="118"/>
      <c r="L435" s="122">
        <v>-1.86</v>
      </c>
      <c r="M435" s="122">
        <v>-0.56999999999999995</v>
      </c>
      <c r="N435" s="118">
        <v>-2.2799999999999998</v>
      </c>
      <c r="O435" s="123" t="s">
        <v>1747</v>
      </c>
    </row>
    <row r="436" spans="1:15" ht="43.2">
      <c r="A436" s="118" t="s">
        <v>2530</v>
      </c>
      <c r="B436" s="118" t="s">
        <v>1752</v>
      </c>
      <c r="C436" s="118" t="s">
        <v>1786</v>
      </c>
      <c r="D436" s="119">
        <v>43392</v>
      </c>
      <c r="E436" s="118" t="s">
        <v>2531</v>
      </c>
      <c r="F436" s="118" t="s">
        <v>2190</v>
      </c>
      <c r="G436" s="118">
        <v>6</v>
      </c>
      <c r="H436" s="118">
        <v>3</v>
      </c>
      <c r="I436" s="118">
        <v>14.2</v>
      </c>
      <c r="J436" s="118">
        <v>105.3</v>
      </c>
      <c r="K436" s="118"/>
      <c r="L436" s="122">
        <v>-0.93</v>
      </c>
      <c r="M436" s="122">
        <v>0.8</v>
      </c>
      <c r="N436" s="118">
        <v>-2.14</v>
      </c>
      <c r="O436" s="123" t="s">
        <v>1747</v>
      </c>
    </row>
    <row r="437" spans="1:15" ht="43.2">
      <c r="A437" s="118" t="s">
        <v>2532</v>
      </c>
      <c r="B437" s="118" t="s">
        <v>1743</v>
      </c>
      <c r="C437" s="118" t="s">
        <v>2055</v>
      </c>
      <c r="D437" s="119">
        <v>44804</v>
      </c>
      <c r="E437" s="118" t="s">
        <v>2533</v>
      </c>
      <c r="F437" s="118" t="s">
        <v>2190</v>
      </c>
      <c r="G437" s="118">
        <v>1</v>
      </c>
      <c r="H437" s="118">
        <v>5</v>
      </c>
      <c r="I437" s="118">
        <v>2.1</v>
      </c>
      <c r="J437" s="118">
        <v>48</v>
      </c>
      <c r="K437" s="118"/>
      <c r="L437" s="122">
        <v>-4.5</v>
      </c>
      <c r="M437" s="122">
        <v>-2.59</v>
      </c>
      <c r="N437" s="118">
        <v>-4.41</v>
      </c>
      <c r="O437" s="123" t="s">
        <v>1790</v>
      </c>
    </row>
    <row r="438" spans="1:15" ht="43.2">
      <c r="A438" s="118" t="s">
        <v>2534</v>
      </c>
      <c r="B438" s="118" t="s">
        <v>1752</v>
      </c>
      <c r="C438" s="118" t="s">
        <v>1779</v>
      </c>
      <c r="D438" s="119">
        <v>43011</v>
      </c>
      <c r="E438" s="118" t="s">
        <v>2535</v>
      </c>
      <c r="F438" s="118" t="s">
        <v>2190</v>
      </c>
      <c r="G438" s="118">
        <v>1</v>
      </c>
      <c r="H438" s="118">
        <v>5</v>
      </c>
      <c r="I438" s="118">
        <v>14</v>
      </c>
      <c r="J438" s="118">
        <v>105</v>
      </c>
      <c r="K438" s="118"/>
      <c r="L438" s="122">
        <v>-1.95</v>
      </c>
      <c r="M438" s="122">
        <v>-0.91</v>
      </c>
      <c r="N438" s="118">
        <v>-2.25</v>
      </c>
      <c r="O438" s="123" t="s">
        <v>1747</v>
      </c>
    </row>
    <row r="439" spans="1:15" ht="43.2">
      <c r="A439" s="118" t="s">
        <v>2536</v>
      </c>
      <c r="B439" s="118" t="s">
        <v>1743</v>
      </c>
      <c r="C439" s="118" t="s">
        <v>1779</v>
      </c>
      <c r="D439" s="119">
        <v>43027</v>
      </c>
      <c r="E439" s="118" t="s">
        <v>2537</v>
      </c>
      <c r="F439" s="118" t="s">
        <v>2190</v>
      </c>
      <c r="G439" s="118">
        <v>8</v>
      </c>
      <c r="H439" s="118">
        <v>3</v>
      </c>
      <c r="I439" s="118">
        <v>14.1</v>
      </c>
      <c r="J439" s="118">
        <v>105.5</v>
      </c>
      <c r="K439" s="118"/>
      <c r="L439" s="122">
        <v>-1.68</v>
      </c>
      <c r="M439" s="122">
        <v>-0.61</v>
      </c>
      <c r="N439" s="118">
        <v>-2.06</v>
      </c>
      <c r="O439" s="123" t="s">
        <v>1747</v>
      </c>
    </row>
    <row r="440" spans="1:15" ht="43.2">
      <c r="A440" s="118" t="s">
        <v>2538</v>
      </c>
      <c r="B440" s="118" t="s">
        <v>1752</v>
      </c>
      <c r="C440" s="118" t="s">
        <v>1779</v>
      </c>
      <c r="D440" s="119">
        <v>43198</v>
      </c>
      <c r="E440" s="118" t="s">
        <v>2192</v>
      </c>
      <c r="F440" s="118" t="s">
        <v>2190</v>
      </c>
      <c r="G440" s="118">
        <v>1</v>
      </c>
      <c r="H440" s="118">
        <v>1</v>
      </c>
      <c r="I440" s="118">
        <v>12.3</v>
      </c>
      <c r="J440" s="118">
        <v>98</v>
      </c>
      <c r="K440" s="118"/>
      <c r="L440" s="122">
        <v>-2.57</v>
      </c>
      <c r="M440" s="122">
        <v>-1.78</v>
      </c>
      <c r="N440" s="118">
        <v>-2.36</v>
      </c>
      <c r="O440" s="123" t="s">
        <v>1747</v>
      </c>
    </row>
    <row r="441" spans="1:15" ht="43.2">
      <c r="A441" s="118" t="s">
        <v>2539</v>
      </c>
      <c r="B441" s="118" t="s">
        <v>1752</v>
      </c>
      <c r="C441" s="118" t="s">
        <v>1779</v>
      </c>
      <c r="D441" s="119">
        <v>43138</v>
      </c>
      <c r="E441" s="118" t="s">
        <v>2540</v>
      </c>
      <c r="F441" s="118" t="s">
        <v>2190</v>
      </c>
      <c r="G441" s="118">
        <v>3</v>
      </c>
      <c r="H441" s="118">
        <v>5</v>
      </c>
      <c r="I441" s="118">
        <v>14.2</v>
      </c>
      <c r="J441" s="118">
        <v>105</v>
      </c>
      <c r="K441" s="118"/>
      <c r="L441" s="122">
        <v>-1.23</v>
      </c>
      <c r="M441" s="122">
        <v>0.19</v>
      </c>
      <c r="N441" s="118">
        <v>-2.0699999999999998</v>
      </c>
      <c r="O441" s="123" t="s">
        <v>1747</v>
      </c>
    </row>
    <row r="442" spans="1:15" ht="43.2">
      <c r="A442" s="118" t="s">
        <v>2541</v>
      </c>
      <c r="B442" s="118" t="s">
        <v>1752</v>
      </c>
      <c r="C442" s="118" t="s">
        <v>1755</v>
      </c>
      <c r="D442" s="119">
        <v>44614</v>
      </c>
      <c r="E442" s="118" t="s">
        <v>2306</v>
      </c>
      <c r="F442" s="118" t="s">
        <v>2190</v>
      </c>
      <c r="G442" s="118">
        <v>1</v>
      </c>
      <c r="H442" s="118">
        <v>6</v>
      </c>
      <c r="I442" s="118">
        <v>8.5</v>
      </c>
      <c r="J442" s="118">
        <v>74</v>
      </c>
      <c r="K442" s="118"/>
      <c r="L442" s="122">
        <v>-1.82</v>
      </c>
      <c r="M442" s="122">
        <v>-2.19</v>
      </c>
      <c r="N442" s="118">
        <v>-1.1000000000000001</v>
      </c>
      <c r="O442" s="123" t="s">
        <v>1760</v>
      </c>
    </row>
    <row r="443" spans="1:15" ht="43.2">
      <c r="A443" s="118" t="s">
        <v>2542</v>
      </c>
      <c r="B443" s="118" t="s">
        <v>1743</v>
      </c>
      <c r="C443" s="118" t="s">
        <v>1755</v>
      </c>
      <c r="D443" s="119">
        <v>44433</v>
      </c>
      <c r="E443" s="118" t="s">
        <v>2279</v>
      </c>
      <c r="F443" s="118" t="s">
        <v>2190</v>
      </c>
      <c r="G443" s="118">
        <v>4</v>
      </c>
      <c r="H443" s="118">
        <v>6</v>
      </c>
      <c r="I443" s="118">
        <v>8.4</v>
      </c>
      <c r="J443" s="118">
        <v>74.5</v>
      </c>
      <c r="K443" s="118"/>
      <c r="L443" s="122">
        <v>-2.21</v>
      </c>
      <c r="M443" s="122">
        <v>-3.08</v>
      </c>
      <c r="N443" s="118">
        <v>-0.85</v>
      </c>
      <c r="O443" s="123" t="s">
        <v>1760</v>
      </c>
    </row>
    <row r="444" spans="1:15" ht="43.2">
      <c r="A444" s="118" t="s">
        <v>2543</v>
      </c>
      <c r="B444" s="118" t="s">
        <v>1743</v>
      </c>
      <c r="C444" s="118" t="s">
        <v>1744</v>
      </c>
      <c r="D444" s="119">
        <v>44277</v>
      </c>
      <c r="E444" s="118" t="s">
        <v>2282</v>
      </c>
      <c r="F444" s="118" t="s">
        <v>2190</v>
      </c>
      <c r="G444" s="118">
        <v>2</v>
      </c>
      <c r="H444" s="118">
        <v>1</v>
      </c>
      <c r="I444" s="118">
        <v>8.5</v>
      </c>
      <c r="J444" s="118">
        <v>78.3</v>
      </c>
      <c r="K444" s="118">
        <v>13.2</v>
      </c>
      <c r="L444" s="122">
        <v>-2.91</v>
      </c>
      <c r="M444" s="122">
        <v>-2.85</v>
      </c>
      <c r="N444" s="118">
        <v>-1.74</v>
      </c>
      <c r="O444" s="123" t="s">
        <v>1760</v>
      </c>
    </row>
    <row r="445" spans="1:15" ht="43.2">
      <c r="A445" s="118" t="s">
        <v>2544</v>
      </c>
      <c r="B445" s="118" t="s">
        <v>1743</v>
      </c>
      <c r="C445" s="118" t="s">
        <v>1744</v>
      </c>
      <c r="D445" s="119">
        <v>44265</v>
      </c>
      <c r="E445" s="118" t="s">
        <v>2545</v>
      </c>
      <c r="F445" s="118" t="s">
        <v>2190</v>
      </c>
      <c r="G445" s="118">
        <v>3</v>
      </c>
      <c r="H445" s="118">
        <v>2</v>
      </c>
      <c r="I445" s="118">
        <v>9</v>
      </c>
      <c r="J445" s="118">
        <v>81.3</v>
      </c>
      <c r="K445" s="118"/>
      <c r="L445" s="122">
        <v>-2.4700000000000002</v>
      </c>
      <c r="M445" s="122">
        <v>-2.04</v>
      </c>
      <c r="N445" s="118">
        <v>-1.8</v>
      </c>
      <c r="O445" s="123" t="s">
        <v>1760</v>
      </c>
    </row>
    <row r="446" spans="1:15" ht="43.2">
      <c r="A446" s="118" t="s">
        <v>2546</v>
      </c>
      <c r="B446" s="118" t="s">
        <v>1752</v>
      </c>
      <c r="C446" s="118" t="s">
        <v>1786</v>
      </c>
      <c r="D446" s="119">
        <v>43487</v>
      </c>
      <c r="E446" s="118" t="s">
        <v>2292</v>
      </c>
      <c r="F446" s="118" t="s">
        <v>2190</v>
      </c>
      <c r="G446" s="118">
        <v>3</v>
      </c>
      <c r="H446" s="118">
        <v>2</v>
      </c>
      <c r="I446" s="118">
        <v>14.5</v>
      </c>
      <c r="J446" s="118">
        <v>96.5</v>
      </c>
      <c r="K446" s="118">
        <v>15</v>
      </c>
      <c r="L446" s="122">
        <v>-1.27</v>
      </c>
      <c r="M446" s="122">
        <v>-2.12</v>
      </c>
      <c r="N446" s="118">
        <v>0.06</v>
      </c>
      <c r="O446" s="123" t="s">
        <v>1760</v>
      </c>
    </row>
    <row r="447" spans="1:15" ht="43.2">
      <c r="A447" s="118" t="s">
        <v>2547</v>
      </c>
      <c r="B447" s="118" t="s">
        <v>1743</v>
      </c>
      <c r="C447" s="118" t="s">
        <v>1749</v>
      </c>
      <c r="D447" s="119">
        <v>43593</v>
      </c>
      <c r="E447" s="118" t="s">
        <v>2548</v>
      </c>
      <c r="F447" s="118" t="s">
        <v>2190</v>
      </c>
      <c r="G447" s="118">
        <v>5</v>
      </c>
      <c r="H447" s="118">
        <v>2</v>
      </c>
      <c r="I447" s="118">
        <v>12.5</v>
      </c>
      <c r="J447" s="118">
        <v>93</v>
      </c>
      <c r="K447" s="118">
        <v>16</v>
      </c>
      <c r="L447" s="122">
        <v>-1.97</v>
      </c>
      <c r="M447" s="122">
        <v>-2.38</v>
      </c>
      <c r="N447" s="118">
        <v>-0.78</v>
      </c>
      <c r="O447" s="123" t="s">
        <v>1760</v>
      </c>
    </row>
    <row r="448" spans="1:15" ht="43.2">
      <c r="A448" s="118" t="s">
        <v>2549</v>
      </c>
      <c r="B448" s="118" t="s">
        <v>1743</v>
      </c>
      <c r="C448" s="118" t="s">
        <v>1744</v>
      </c>
      <c r="D448" s="119">
        <v>44272</v>
      </c>
      <c r="E448" s="118" t="s">
        <v>2294</v>
      </c>
      <c r="F448" s="118" t="s">
        <v>2190</v>
      </c>
      <c r="G448" s="118">
        <v>3</v>
      </c>
      <c r="H448" s="118">
        <v>3</v>
      </c>
      <c r="I448" s="118">
        <v>8.4</v>
      </c>
      <c r="J448" s="118">
        <v>76.5</v>
      </c>
      <c r="K448" s="118">
        <v>13.5</v>
      </c>
      <c r="L448" s="122">
        <v>-3.04</v>
      </c>
      <c r="M448" s="122">
        <v>-3.62</v>
      </c>
      <c r="N448" s="118">
        <v>-1.31</v>
      </c>
      <c r="O448" s="123" t="s">
        <v>1760</v>
      </c>
    </row>
    <row r="449" spans="1:15" ht="43.2">
      <c r="A449" s="118" t="s">
        <v>2550</v>
      </c>
      <c r="B449" s="118" t="s">
        <v>1752</v>
      </c>
      <c r="C449" s="118" t="s">
        <v>1744</v>
      </c>
      <c r="D449" s="119">
        <v>44252</v>
      </c>
      <c r="E449" s="118" t="s">
        <v>2551</v>
      </c>
      <c r="F449" s="118" t="s">
        <v>2190</v>
      </c>
      <c r="G449" s="118">
        <v>7</v>
      </c>
      <c r="H449" s="118">
        <v>3</v>
      </c>
      <c r="I449" s="118">
        <v>8.1999999999999993</v>
      </c>
      <c r="J449" s="118">
        <v>79</v>
      </c>
      <c r="K449" s="118">
        <v>12.5</v>
      </c>
      <c r="L449" s="122">
        <v>-3.78</v>
      </c>
      <c r="M449" s="122">
        <v>-3.36</v>
      </c>
      <c r="N449" s="118">
        <v>-2.97</v>
      </c>
      <c r="O449" s="123" t="s">
        <v>1747</v>
      </c>
    </row>
    <row r="450" spans="1:15" ht="43.2">
      <c r="A450" s="118" t="s">
        <v>2552</v>
      </c>
      <c r="B450" s="118" t="s">
        <v>1752</v>
      </c>
      <c r="C450" s="118" t="s">
        <v>1755</v>
      </c>
      <c r="D450" s="119">
        <v>44567</v>
      </c>
      <c r="E450" s="118" t="s">
        <v>2294</v>
      </c>
      <c r="F450" s="118" t="s">
        <v>2190</v>
      </c>
      <c r="G450" s="118">
        <v>3</v>
      </c>
      <c r="H450" s="118">
        <v>3</v>
      </c>
      <c r="I450" s="118">
        <v>7.7</v>
      </c>
      <c r="J450" s="118">
        <v>72</v>
      </c>
      <c r="K450" s="118">
        <v>15</v>
      </c>
      <c r="L450" s="122">
        <v>-2.99</v>
      </c>
      <c r="M450" s="122">
        <v>-3.51</v>
      </c>
      <c r="N450" s="118">
        <v>-1.76</v>
      </c>
      <c r="O450" s="123" t="s">
        <v>1760</v>
      </c>
    </row>
    <row r="451" spans="1:15" ht="43.2">
      <c r="A451" s="118" t="s">
        <v>2553</v>
      </c>
      <c r="B451" s="118" t="s">
        <v>1743</v>
      </c>
      <c r="C451" s="118" t="s">
        <v>1744</v>
      </c>
      <c r="D451" s="119">
        <v>43951</v>
      </c>
      <c r="E451" s="118" t="s">
        <v>2554</v>
      </c>
      <c r="F451" s="118" t="s">
        <v>2190</v>
      </c>
      <c r="G451" s="118">
        <v>3</v>
      </c>
      <c r="H451" s="118">
        <v>5</v>
      </c>
      <c r="I451" s="118">
        <v>11.4</v>
      </c>
      <c r="J451" s="118">
        <v>84</v>
      </c>
      <c r="K451" s="118">
        <v>15</v>
      </c>
      <c r="L451" s="122">
        <v>-1.67</v>
      </c>
      <c r="M451" s="122">
        <v>-3.06</v>
      </c>
      <c r="N451" s="118">
        <v>0.25</v>
      </c>
      <c r="O451" s="123" t="s">
        <v>1760</v>
      </c>
    </row>
    <row r="452" spans="1:15" ht="43.2">
      <c r="A452" s="118" t="s">
        <v>2555</v>
      </c>
      <c r="B452" s="118" t="s">
        <v>1752</v>
      </c>
      <c r="C452" s="118" t="s">
        <v>1744</v>
      </c>
      <c r="D452" s="119">
        <v>44119</v>
      </c>
      <c r="E452" s="118" t="s">
        <v>2302</v>
      </c>
      <c r="F452" s="118" t="s">
        <v>2190</v>
      </c>
      <c r="G452" s="118">
        <v>1</v>
      </c>
      <c r="H452" s="118">
        <v>5</v>
      </c>
      <c r="I452" s="118">
        <v>9.4</v>
      </c>
      <c r="J452" s="118">
        <v>80</v>
      </c>
      <c r="K452" s="118">
        <v>14.6</v>
      </c>
      <c r="L452" s="122">
        <v>-3.13</v>
      </c>
      <c r="M452" s="122">
        <v>-3.76</v>
      </c>
      <c r="N452" s="118">
        <v>-1.45</v>
      </c>
      <c r="O452" s="123" t="s">
        <v>1760</v>
      </c>
    </row>
    <row r="453" spans="1:15" ht="43.2">
      <c r="A453" s="118" t="s">
        <v>2556</v>
      </c>
      <c r="B453" s="118" t="s">
        <v>1743</v>
      </c>
      <c r="C453" s="118" t="s">
        <v>1744</v>
      </c>
      <c r="D453" s="119">
        <v>44130</v>
      </c>
      <c r="E453" s="118" t="s">
        <v>2557</v>
      </c>
      <c r="F453" s="118" t="s">
        <v>2190</v>
      </c>
      <c r="G453" s="118">
        <v>1</v>
      </c>
      <c r="H453" s="118">
        <v>5</v>
      </c>
      <c r="I453" s="118">
        <v>9</v>
      </c>
      <c r="J453" s="118">
        <v>84</v>
      </c>
      <c r="K453" s="118">
        <v>13</v>
      </c>
      <c r="L453" s="122">
        <v>-3.05</v>
      </c>
      <c r="M453" s="122">
        <v>-2.13</v>
      </c>
      <c r="N453" s="118">
        <v>-2.5</v>
      </c>
      <c r="O453" s="123" t="s">
        <v>1747</v>
      </c>
    </row>
    <row r="454" spans="1:15" ht="43.2">
      <c r="A454" s="118" t="s">
        <v>2558</v>
      </c>
      <c r="B454" s="118" t="s">
        <v>1743</v>
      </c>
      <c r="C454" s="118" t="s">
        <v>1749</v>
      </c>
      <c r="D454" s="119">
        <v>43646</v>
      </c>
      <c r="E454" s="118" t="s">
        <v>2559</v>
      </c>
      <c r="F454" s="118" t="s">
        <v>2190</v>
      </c>
      <c r="G454" s="118">
        <v>3</v>
      </c>
      <c r="H454" s="118">
        <v>5</v>
      </c>
      <c r="I454" s="118">
        <v>13</v>
      </c>
      <c r="J454" s="118">
        <v>92</v>
      </c>
      <c r="K454" s="118">
        <v>15.4</v>
      </c>
      <c r="L454" s="122">
        <v>-1.52</v>
      </c>
      <c r="M454" s="122">
        <v>-2.4</v>
      </c>
      <c r="N454" s="118">
        <v>-0.12</v>
      </c>
      <c r="O454" s="123" t="s">
        <v>1760</v>
      </c>
    </row>
    <row r="455" spans="1:15" ht="43.2">
      <c r="A455" s="118" t="s">
        <v>2560</v>
      </c>
      <c r="B455" s="118" t="s">
        <v>1752</v>
      </c>
      <c r="C455" s="118" t="s">
        <v>1749</v>
      </c>
      <c r="D455" s="119">
        <v>43888</v>
      </c>
      <c r="E455" s="118" t="s">
        <v>2561</v>
      </c>
      <c r="F455" s="118" t="s">
        <v>2190</v>
      </c>
      <c r="G455" s="118">
        <v>1</v>
      </c>
      <c r="H455" s="118">
        <v>5</v>
      </c>
      <c r="I455" s="118">
        <v>8.9</v>
      </c>
      <c r="J455" s="118">
        <v>85.3</v>
      </c>
      <c r="K455" s="118">
        <v>11.8</v>
      </c>
      <c r="L455" s="122">
        <v>-4.0999999999999996</v>
      </c>
      <c r="M455" s="122">
        <v>-3.34</v>
      </c>
      <c r="N455" s="118">
        <v>-3.53</v>
      </c>
      <c r="O455" s="123" t="s">
        <v>1790</v>
      </c>
    </row>
    <row r="456" spans="1:15" ht="43.2">
      <c r="A456" s="118" t="s">
        <v>2562</v>
      </c>
      <c r="B456" s="118" t="s">
        <v>1752</v>
      </c>
      <c r="C456" s="118" t="s">
        <v>1749</v>
      </c>
      <c r="D456" s="119">
        <v>43848</v>
      </c>
      <c r="E456" s="118" t="s">
        <v>2563</v>
      </c>
      <c r="F456" s="118" t="s">
        <v>2190</v>
      </c>
      <c r="G456" s="118">
        <v>2</v>
      </c>
      <c r="H456" s="118">
        <v>1</v>
      </c>
      <c r="I456" s="118">
        <v>10.3</v>
      </c>
      <c r="J456" s="118">
        <v>87.5</v>
      </c>
      <c r="K456" s="118">
        <v>14.3</v>
      </c>
      <c r="L456" s="122">
        <v>-3.16</v>
      </c>
      <c r="M456" s="122">
        <v>-2.96</v>
      </c>
      <c r="N456" s="118">
        <v>-2.25</v>
      </c>
      <c r="O456" s="123" t="s">
        <v>1747</v>
      </c>
    </row>
    <row r="457" spans="1:15" ht="43.2">
      <c r="A457" s="118" t="s">
        <v>2564</v>
      </c>
      <c r="B457" s="118" t="s">
        <v>1743</v>
      </c>
      <c r="C457" s="118" t="s">
        <v>1749</v>
      </c>
      <c r="D457" s="119">
        <v>43821</v>
      </c>
      <c r="E457" s="118" t="s">
        <v>2565</v>
      </c>
      <c r="F457" s="118" t="s">
        <v>2190</v>
      </c>
      <c r="G457" s="118">
        <v>3</v>
      </c>
      <c r="H457" s="118">
        <v>1</v>
      </c>
      <c r="I457" s="118">
        <v>8.9</v>
      </c>
      <c r="J457" s="118">
        <v>85.1</v>
      </c>
      <c r="K457" s="118">
        <v>11.8</v>
      </c>
      <c r="L457" s="122">
        <v>-4.0199999999999996</v>
      </c>
      <c r="M457" s="122">
        <v>-3.39</v>
      </c>
      <c r="N457" s="118">
        <v>-2.94</v>
      </c>
      <c r="O457" s="123" t="s">
        <v>1747</v>
      </c>
    </row>
    <row r="458" spans="1:15" ht="43.2">
      <c r="A458" s="118" t="s">
        <v>2566</v>
      </c>
      <c r="B458" s="118" t="s">
        <v>1752</v>
      </c>
      <c r="C458" s="118" t="s">
        <v>1786</v>
      </c>
      <c r="D458" s="119">
        <v>43333</v>
      </c>
      <c r="E458" s="118" t="s">
        <v>2567</v>
      </c>
      <c r="F458" s="118" t="s">
        <v>2190</v>
      </c>
      <c r="G458" s="118">
        <v>3</v>
      </c>
      <c r="H458" s="118">
        <v>1</v>
      </c>
      <c r="I458" s="118">
        <v>13.05</v>
      </c>
      <c r="J458" s="118">
        <v>96.7</v>
      </c>
      <c r="K458" s="118">
        <v>15.3</v>
      </c>
      <c r="L458" s="122">
        <v>-2.44</v>
      </c>
      <c r="M458" s="122">
        <v>-2.63</v>
      </c>
      <c r="N458" s="118">
        <v>-1.31</v>
      </c>
      <c r="O458" s="123" t="s">
        <v>1760</v>
      </c>
    </row>
    <row r="459" spans="1:15" ht="57.6">
      <c r="A459" s="118" t="s">
        <v>2568</v>
      </c>
      <c r="B459" s="118" t="s">
        <v>1743</v>
      </c>
      <c r="C459" s="118" t="s">
        <v>2055</v>
      </c>
      <c r="D459" s="119">
        <v>44889</v>
      </c>
      <c r="E459" s="118" t="s">
        <v>2569</v>
      </c>
      <c r="F459" s="118" t="s">
        <v>2190</v>
      </c>
      <c r="G459" s="118">
        <v>3</v>
      </c>
      <c r="H459" s="118">
        <v>1</v>
      </c>
      <c r="I459" s="118">
        <v>6.6</v>
      </c>
      <c r="J459" s="118">
        <v>61</v>
      </c>
      <c r="K459" s="118">
        <v>14</v>
      </c>
      <c r="L459" s="122">
        <v>-0.97</v>
      </c>
      <c r="M459" s="122">
        <v>-2.31</v>
      </c>
      <c r="N459" s="118">
        <v>0.8</v>
      </c>
      <c r="O459" s="123" t="s">
        <v>1760</v>
      </c>
    </row>
    <row r="460" spans="1:15" ht="43.2">
      <c r="A460" s="118" t="s">
        <v>2570</v>
      </c>
      <c r="B460" s="118" t="s">
        <v>1752</v>
      </c>
      <c r="C460" s="118" t="s">
        <v>1755</v>
      </c>
      <c r="D460" s="119">
        <v>44389</v>
      </c>
      <c r="E460" s="118" t="s">
        <v>2571</v>
      </c>
      <c r="F460" s="118" t="s">
        <v>2190</v>
      </c>
      <c r="G460" s="118">
        <v>7</v>
      </c>
      <c r="H460" s="118">
        <v>1</v>
      </c>
      <c r="I460" s="118">
        <v>7.6</v>
      </c>
      <c r="J460" s="118">
        <v>74</v>
      </c>
      <c r="K460" s="118"/>
      <c r="L460" s="122">
        <v>-2.42</v>
      </c>
      <c r="M460" s="122">
        <v>-1.3</v>
      </c>
      <c r="N460" s="118">
        <v>-2.52</v>
      </c>
      <c r="O460" s="123" t="s">
        <v>1747</v>
      </c>
    </row>
    <row r="461" spans="1:15" ht="43.2">
      <c r="A461" s="118" t="s">
        <v>2572</v>
      </c>
      <c r="B461" s="118" t="s">
        <v>1752</v>
      </c>
      <c r="C461" s="118" t="s">
        <v>1749</v>
      </c>
      <c r="D461" s="119">
        <v>43848</v>
      </c>
      <c r="E461" s="118" t="s">
        <v>2573</v>
      </c>
      <c r="F461" s="118" t="s">
        <v>2190</v>
      </c>
      <c r="G461" s="118">
        <v>2</v>
      </c>
      <c r="H461" s="118">
        <v>2</v>
      </c>
      <c r="I461" s="118">
        <v>8.9</v>
      </c>
      <c r="J461" s="118">
        <v>83</v>
      </c>
      <c r="K461" s="118">
        <v>13.5</v>
      </c>
      <c r="L461" s="122">
        <v>-3.49</v>
      </c>
      <c r="M461" s="122">
        <v>-2.79</v>
      </c>
      <c r="N461" s="118">
        <v>-2.91</v>
      </c>
      <c r="O461" s="123" t="s">
        <v>1747</v>
      </c>
    </row>
    <row r="462" spans="1:15" ht="43.2">
      <c r="A462" s="118" t="s">
        <v>2574</v>
      </c>
      <c r="B462" s="118" t="s">
        <v>1743</v>
      </c>
      <c r="C462" s="118" t="s">
        <v>1744</v>
      </c>
      <c r="D462" s="119">
        <v>44120</v>
      </c>
      <c r="E462" s="118" t="s">
        <v>2575</v>
      </c>
      <c r="F462" s="118" t="s">
        <v>2190</v>
      </c>
      <c r="G462" s="118">
        <v>4</v>
      </c>
      <c r="H462" s="118">
        <v>2</v>
      </c>
      <c r="I462" s="118">
        <v>9</v>
      </c>
      <c r="J462" s="118">
        <v>83.2</v>
      </c>
      <c r="K462" s="118">
        <v>15</v>
      </c>
      <c r="L462" s="122">
        <v>-1.73</v>
      </c>
      <c r="M462" s="122">
        <v>-0.46</v>
      </c>
      <c r="N462" s="118">
        <v>-2.11</v>
      </c>
      <c r="O462" s="123" t="s">
        <v>1747</v>
      </c>
    </row>
    <row r="463" spans="1:15" ht="43.2">
      <c r="A463" s="118" t="s">
        <v>2576</v>
      </c>
      <c r="B463" s="118" t="s">
        <v>1743</v>
      </c>
      <c r="C463" s="118" t="s">
        <v>1749</v>
      </c>
      <c r="D463" s="119">
        <v>43893</v>
      </c>
      <c r="E463" s="118" t="s">
        <v>2577</v>
      </c>
      <c r="F463" s="118" t="s">
        <v>2190</v>
      </c>
      <c r="G463" s="118">
        <v>7</v>
      </c>
      <c r="H463" s="118">
        <v>2</v>
      </c>
      <c r="I463" s="118">
        <v>9.5</v>
      </c>
      <c r="J463" s="118">
        <v>85</v>
      </c>
      <c r="K463" s="118">
        <v>14</v>
      </c>
      <c r="L463" s="122">
        <v>-2.35</v>
      </c>
      <c r="M463" s="122">
        <v>-1.51</v>
      </c>
      <c r="N463" s="118">
        <v>-2.12</v>
      </c>
      <c r="O463" s="123" t="s">
        <v>1747</v>
      </c>
    </row>
    <row r="464" spans="1:15" ht="43.2">
      <c r="A464" s="118" t="s">
        <v>2578</v>
      </c>
      <c r="B464" s="118" t="s">
        <v>1743</v>
      </c>
      <c r="C464" s="118" t="s">
        <v>1749</v>
      </c>
      <c r="D464" s="119">
        <v>43821</v>
      </c>
      <c r="E464" s="118" t="s">
        <v>2579</v>
      </c>
      <c r="F464" s="118" t="s">
        <v>2190</v>
      </c>
      <c r="G464" s="118">
        <v>1</v>
      </c>
      <c r="H464" s="118">
        <v>5</v>
      </c>
      <c r="I464" s="118">
        <v>7.5</v>
      </c>
      <c r="J464" s="118">
        <v>78.5</v>
      </c>
      <c r="K464" s="118">
        <v>11.5</v>
      </c>
      <c r="L464" s="122">
        <v>-4.46</v>
      </c>
      <c r="M464" s="122">
        <v>-3.76</v>
      </c>
      <c r="N464" s="118">
        <v>-3.29</v>
      </c>
      <c r="O464" s="123" t="s">
        <v>1790</v>
      </c>
    </row>
    <row r="465" spans="1:15" ht="43.2">
      <c r="A465" s="118" t="s">
        <v>2580</v>
      </c>
      <c r="B465" s="118" t="s">
        <v>1743</v>
      </c>
      <c r="C465" s="118" t="s">
        <v>1749</v>
      </c>
      <c r="D465" s="119">
        <v>43645</v>
      </c>
      <c r="E465" s="118" t="s">
        <v>2581</v>
      </c>
      <c r="F465" s="118" t="s">
        <v>2190</v>
      </c>
      <c r="G465" s="118">
        <v>1</v>
      </c>
      <c r="H465" s="118">
        <v>5</v>
      </c>
      <c r="I465" s="118">
        <v>9.3000000000000007</v>
      </c>
      <c r="J465" s="118">
        <v>84.5</v>
      </c>
      <c r="K465" s="118"/>
      <c r="L465" s="122">
        <v>-3.38</v>
      </c>
      <c r="M465" s="122">
        <v>-2.96</v>
      </c>
      <c r="N465" s="118">
        <v>-2.2400000000000002</v>
      </c>
      <c r="O465" s="123" t="s">
        <v>1747</v>
      </c>
    </row>
    <row r="466" spans="1:15" ht="43.2">
      <c r="A466" s="118" t="s">
        <v>2582</v>
      </c>
      <c r="B466" s="118" t="s">
        <v>1743</v>
      </c>
      <c r="C466" s="118" t="s">
        <v>1779</v>
      </c>
      <c r="D466" s="119">
        <v>43191</v>
      </c>
      <c r="E466" s="118" t="s">
        <v>2583</v>
      </c>
      <c r="F466" s="118" t="s">
        <v>2190</v>
      </c>
      <c r="G466" s="118">
        <v>2</v>
      </c>
      <c r="H466" s="118">
        <v>5</v>
      </c>
      <c r="I466" s="118">
        <v>8.6</v>
      </c>
      <c r="J466" s="118">
        <v>88</v>
      </c>
      <c r="K466" s="118">
        <v>11.5</v>
      </c>
      <c r="L466" s="122">
        <v>-4.7699999999999996</v>
      </c>
      <c r="M466" s="122">
        <v>-4.01</v>
      </c>
      <c r="N466" s="118">
        <v>-3.86</v>
      </c>
      <c r="O466" s="123" t="s">
        <v>1790</v>
      </c>
    </row>
    <row r="467" spans="1:15" ht="43.2">
      <c r="A467" s="118" t="s">
        <v>2584</v>
      </c>
      <c r="B467" s="118" t="s">
        <v>1752</v>
      </c>
      <c r="C467" s="118" t="s">
        <v>1786</v>
      </c>
      <c r="D467" s="119">
        <v>43288</v>
      </c>
      <c r="E467" s="118" t="s">
        <v>2313</v>
      </c>
      <c r="F467" s="118" t="s">
        <v>1781</v>
      </c>
      <c r="G467" s="118">
        <v>2</v>
      </c>
      <c r="H467" s="118">
        <v>11</v>
      </c>
      <c r="I467" s="118">
        <v>12.1</v>
      </c>
      <c r="J467" s="118">
        <v>95.5</v>
      </c>
      <c r="K467" s="118">
        <v>15</v>
      </c>
      <c r="L467" s="122">
        <v>-2.48</v>
      </c>
      <c r="M467" s="122">
        <v>-2</v>
      </c>
      <c r="N467" s="118">
        <v>-2.02</v>
      </c>
      <c r="O467" s="123" t="s">
        <v>1747</v>
      </c>
    </row>
    <row r="468" spans="1:15" ht="43.2">
      <c r="A468" s="118" t="s">
        <v>2585</v>
      </c>
      <c r="B468" s="118" t="s">
        <v>1752</v>
      </c>
      <c r="C468" s="118" t="s">
        <v>1749</v>
      </c>
      <c r="D468" s="119">
        <v>43703</v>
      </c>
      <c r="E468" s="118" t="s">
        <v>2310</v>
      </c>
      <c r="F468" s="118" t="s">
        <v>1781</v>
      </c>
      <c r="G468" s="118">
        <v>1</v>
      </c>
      <c r="H468" s="118">
        <v>11</v>
      </c>
      <c r="I468" s="118">
        <v>9.3000000000000007</v>
      </c>
      <c r="J468" s="118">
        <v>87.5</v>
      </c>
      <c r="K468" s="118">
        <v>11.5</v>
      </c>
      <c r="L468" s="122">
        <v>-3.53</v>
      </c>
      <c r="M468" s="122">
        <v>-2.25</v>
      </c>
      <c r="N468" s="118">
        <v>-3.57</v>
      </c>
      <c r="O468" s="123" t="s">
        <v>1790</v>
      </c>
    </row>
    <row r="469" spans="1:15" ht="43.2">
      <c r="A469" s="118" t="s">
        <v>2586</v>
      </c>
      <c r="B469" s="118" t="s">
        <v>1752</v>
      </c>
      <c r="C469" s="118" t="s">
        <v>1779</v>
      </c>
      <c r="D469" s="119">
        <v>43091</v>
      </c>
      <c r="E469" s="118" t="s">
        <v>2131</v>
      </c>
      <c r="F469" s="118" t="s">
        <v>1781</v>
      </c>
      <c r="G469" s="118">
        <v>2</v>
      </c>
      <c r="H469" s="118">
        <v>11</v>
      </c>
      <c r="I469" s="118">
        <v>12.85</v>
      </c>
      <c r="J469" s="118">
        <v>101.5</v>
      </c>
      <c r="K469" s="118">
        <v>14.1</v>
      </c>
      <c r="L469" s="122">
        <v>-2.44</v>
      </c>
      <c r="M469" s="122">
        <v>-1.36</v>
      </c>
      <c r="N469" s="118">
        <v>-2.57</v>
      </c>
      <c r="O469" s="123" t="s">
        <v>1747</v>
      </c>
    </row>
    <row r="470" spans="1:15" ht="43.2">
      <c r="A470" s="118" t="s">
        <v>2587</v>
      </c>
      <c r="B470" s="118" t="s">
        <v>1752</v>
      </c>
      <c r="C470" s="118" t="s">
        <v>1749</v>
      </c>
      <c r="D470" s="119">
        <v>43612</v>
      </c>
      <c r="E470" s="118" t="s">
        <v>2308</v>
      </c>
      <c r="F470" s="118" t="s">
        <v>1781</v>
      </c>
      <c r="G470" s="118">
        <v>4</v>
      </c>
      <c r="H470" s="118">
        <v>2</v>
      </c>
      <c r="I470" s="118">
        <v>10.85</v>
      </c>
      <c r="J470" s="118">
        <v>89.7</v>
      </c>
      <c r="K470" s="118">
        <v>13.4</v>
      </c>
      <c r="L470" s="122">
        <v>-2.5499999999999998</v>
      </c>
      <c r="M470" s="122">
        <v>-2.1</v>
      </c>
      <c r="N470" s="118">
        <v>-2.13</v>
      </c>
      <c r="O470" s="123" t="s">
        <v>1747</v>
      </c>
    </row>
    <row r="471" spans="1:15" ht="43.2">
      <c r="A471" s="118" t="s">
        <v>2588</v>
      </c>
      <c r="B471" s="118" t="s">
        <v>1752</v>
      </c>
      <c r="C471" s="118" t="s">
        <v>1786</v>
      </c>
      <c r="D471" s="119">
        <v>43298</v>
      </c>
      <c r="E471" s="118" t="s">
        <v>2196</v>
      </c>
      <c r="F471" s="118" t="s">
        <v>1781</v>
      </c>
      <c r="G471" s="118">
        <v>3</v>
      </c>
      <c r="H471" s="118">
        <v>2</v>
      </c>
      <c r="I471" s="118">
        <v>10.3</v>
      </c>
      <c r="J471" s="118">
        <v>88.5</v>
      </c>
      <c r="K471" s="118">
        <v>13.5</v>
      </c>
      <c r="L471" s="122">
        <v>-3.69</v>
      </c>
      <c r="M471" s="122">
        <v>-3.62</v>
      </c>
      <c r="N471" s="118">
        <v>-2.52</v>
      </c>
      <c r="O471" s="123" t="s">
        <v>1747</v>
      </c>
    </row>
    <row r="472" spans="1:15" ht="43.2">
      <c r="A472" s="118" t="s">
        <v>2589</v>
      </c>
      <c r="B472" s="118" t="s">
        <v>1743</v>
      </c>
      <c r="C472" s="118" t="s">
        <v>1749</v>
      </c>
      <c r="D472" s="119">
        <v>43853</v>
      </c>
      <c r="E472" s="118" t="s">
        <v>2119</v>
      </c>
      <c r="F472" s="118" t="s">
        <v>1781</v>
      </c>
      <c r="G472" s="118">
        <v>2</v>
      </c>
      <c r="H472" s="118">
        <v>2</v>
      </c>
      <c r="I472" s="118">
        <v>9.3000000000000007</v>
      </c>
      <c r="J472" s="118">
        <v>84.5</v>
      </c>
      <c r="K472" s="118"/>
      <c r="L472" s="122">
        <v>-2.68</v>
      </c>
      <c r="M472" s="122">
        <v>-1.87</v>
      </c>
      <c r="N472" s="118">
        <v>-2.2400000000000002</v>
      </c>
      <c r="O472" s="123" t="s">
        <v>1747</v>
      </c>
    </row>
    <row r="473" spans="1:15" ht="43.2">
      <c r="A473" s="118" t="s">
        <v>2590</v>
      </c>
      <c r="B473" s="118" t="s">
        <v>1743</v>
      </c>
      <c r="C473" s="118" t="s">
        <v>1749</v>
      </c>
      <c r="D473" s="119">
        <v>43664</v>
      </c>
      <c r="E473" s="118" t="s">
        <v>2591</v>
      </c>
      <c r="F473" s="118" t="s">
        <v>1781</v>
      </c>
      <c r="G473" s="118">
        <v>1</v>
      </c>
      <c r="H473" s="118">
        <v>11</v>
      </c>
      <c r="I473" s="118">
        <v>10.6</v>
      </c>
      <c r="J473" s="118">
        <v>90</v>
      </c>
      <c r="K473" s="118"/>
      <c r="L473" s="122">
        <v>-2.2599999999999998</v>
      </c>
      <c r="M473" s="122">
        <v>-1.48</v>
      </c>
      <c r="N473" s="118">
        <v>-2.0499999999999998</v>
      </c>
      <c r="O473" s="123" t="s">
        <v>1747</v>
      </c>
    </row>
    <row r="474" spans="1:15" ht="43.2">
      <c r="A474" s="118" t="s">
        <v>2592</v>
      </c>
      <c r="B474" s="118" t="s">
        <v>1743</v>
      </c>
      <c r="C474" s="118" t="s">
        <v>1786</v>
      </c>
      <c r="D474" s="119">
        <v>43528</v>
      </c>
      <c r="E474" s="118" t="s">
        <v>2320</v>
      </c>
      <c r="F474" s="118" t="s">
        <v>1781</v>
      </c>
      <c r="G474" s="118">
        <v>3</v>
      </c>
      <c r="H474" s="118">
        <v>11</v>
      </c>
      <c r="I474" s="118">
        <v>10.8</v>
      </c>
      <c r="J474" s="118">
        <v>91</v>
      </c>
      <c r="K474" s="118">
        <v>14.2</v>
      </c>
      <c r="L474" s="122">
        <v>-2.5</v>
      </c>
      <c r="M474" s="122">
        <v>-1.86</v>
      </c>
      <c r="N474" s="118">
        <v>-2.06</v>
      </c>
      <c r="O474" s="123" t="s">
        <v>1747</v>
      </c>
    </row>
    <row r="475" spans="1:15" ht="57.6">
      <c r="A475" s="118" t="s">
        <v>2593</v>
      </c>
      <c r="B475" s="118" t="s">
        <v>1752</v>
      </c>
      <c r="C475" s="118" t="s">
        <v>1744</v>
      </c>
      <c r="D475" s="119">
        <v>44180</v>
      </c>
      <c r="E475" s="118" t="s">
        <v>2594</v>
      </c>
      <c r="F475" s="118" t="s">
        <v>1781</v>
      </c>
      <c r="G475" s="118">
        <v>6</v>
      </c>
      <c r="H475" s="118">
        <v>14</v>
      </c>
      <c r="I475" s="118">
        <v>8.6999999999999993</v>
      </c>
      <c r="J475" s="118">
        <v>80.2</v>
      </c>
      <c r="K475" s="118">
        <v>13.5</v>
      </c>
      <c r="L475" s="122">
        <v>-2.33</v>
      </c>
      <c r="M475" s="122">
        <v>-1.34</v>
      </c>
      <c r="N475" s="118">
        <v>-2.3199999999999998</v>
      </c>
      <c r="O475" s="123" t="s">
        <v>1747</v>
      </c>
    </row>
    <row r="476" spans="1:15" ht="43.2">
      <c r="A476" s="118" t="s">
        <v>2595</v>
      </c>
      <c r="B476" s="118" t="s">
        <v>1752</v>
      </c>
      <c r="C476" s="118" t="s">
        <v>1755</v>
      </c>
      <c r="D476" s="119">
        <v>44364</v>
      </c>
      <c r="E476" s="118" t="s">
        <v>2596</v>
      </c>
      <c r="F476" s="118" t="s">
        <v>1781</v>
      </c>
      <c r="G476" s="118">
        <v>2</v>
      </c>
      <c r="H476" s="118">
        <v>13</v>
      </c>
      <c r="I476" s="118">
        <v>9.1</v>
      </c>
      <c r="J476" s="118">
        <v>78.599999999999994</v>
      </c>
      <c r="K476" s="118">
        <v>14</v>
      </c>
      <c r="L476" s="122">
        <v>-2.48</v>
      </c>
      <c r="M476" s="122">
        <v>-2.92</v>
      </c>
      <c r="N476" s="118">
        <v>-1.39</v>
      </c>
      <c r="O476" s="123" t="s">
        <v>1760</v>
      </c>
    </row>
    <row r="477" spans="1:15" ht="43.2">
      <c r="A477" s="118" t="s">
        <v>2597</v>
      </c>
      <c r="B477" s="118" t="s">
        <v>1743</v>
      </c>
      <c r="C477" s="118" t="s">
        <v>1755</v>
      </c>
      <c r="D477" s="119">
        <v>44541</v>
      </c>
      <c r="E477" s="118" t="s">
        <v>2328</v>
      </c>
      <c r="F477" s="118" t="s">
        <v>1784</v>
      </c>
      <c r="G477" s="118">
        <v>3</v>
      </c>
      <c r="H477" s="118">
        <v>4</v>
      </c>
      <c r="I477" s="118">
        <v>8.5</v>
      </c>
      <c r="J477" s="118">
        <v>72.400000000000006</v>
      </c>
      <c r="K477" s="118">
        <v>15</v>
      </c>
      <c r="L477" s="122">
        <v>-1.5</v>
      </c>
      <c r="M477" s="122">
        <v>-2.79</v>
      </c>
      <c r="N477" s="118">
        <v>-0.19</v>
      </c>
      <c r="O477" s="123" t="s">
        <v>1760</v>
      </c>
    </row>
    <row r="478" spans="1:15" ht="28.8">
      <c r="A478" s="118" t="s">
        <v>2598</v>
      </c>
      <c r="B478" s="118" t="s">
        <v>1752</v>
      </c>
      <c r="C478" s="118" t="s">
        <v>1755</v>
      </c>
      <c r="D478" s="119">
        <v>44522</v>
      </c>
      <c r="E478" s="118" t="s">
        <v>1802</v>
      </c>
      <c r="F478" s="118" t="s">
        <v>1784</v>
      </c>
      <c r="G478" s="118">
        <v>3</v>
      </c>
      <c r="H478" s="118">
        <v>7</v>
      </c>
      <c r="I478" s="118">
        <v>8.24</v>
      </c>
      <c r="J478" s="118">
        <v>73.3</v>
      </c>
      <c r="K478" s="118">
        <v>13.5</v>
      </c>
      <c r="L478" s="122">
        <v>-2.6</v>
      </c>
      <c r="M478" s="122">
        <v>-3.44</v>
      </c>
      <c r="N478" s="118">
        <v>-1.29</v>
      </c>
      <c r="O478" s="123" t="s">
        <v>1760</v>
      </c>
    </row>
    <row r="479" spans="1:15" ht="28.8">
      <c r="A479" s="118" t="s">
        <v>2599</v>
      </c>
      <c r="B479" s="118" t="s">
        <v>1743</v>
      </c>
      <c r="C479" s="118" t="s">
        <v>1749</v>
      </c>
      <c r="D479" s="119">
        <v>43584</v>
      </c>
      <c r="E479" s="118" t="s">
        <v>2036</v>
      </c>
      <c r="F479" s="118" t="s">
        <v>1784</v>
      </c>
      <c r="G479" s="118">
        <v>2</v>
      </c>
      <c r="H479" s="118">
        <v>4</v>
      </c>
      <c r="I479" s="118">
        <v>10.4</v>
      </c>
      <c r="J479" s="118">
        <v>84.7</v>
      </c>
      <c r="K479" s="118">
        <v>13</v>
      </c>
      <c r="L479" s="122">
        <v>-3.41</v>
      </c>
      <c r="M479" s="122">
        <v>-4.3099999999999996</v>
      </c>
      <c r="N479" s="118">
        <v>-0.97</v>
      </c>
      <c r="O479" s="123" t="s">
        <v>1760</v>
      </c>
    </row>
    <row r="480" spans="1:15" ht="28.8">
      <c r="A480" s="118" t="s">
        <v>2600</v>
      </c>
      <c r="B480" s="118" t="s">
        <v>1743</v>
      </c>
      <c r="C480" s="118" t="s">
        <v>1744</v>
      </c>
      <c r="D480" s="119">
        <v>43992</v>
      </c>
      <c r="E480" s="118" t="s">
        <v>1798</v>
      </c>
      <c r="F480" s="118" t="s">
        <v>1784</v>
      </c>
      <c r="G480" s="118">
        <v>4</v>
      </c>
      <c r="H480" s="118">
        <v>5</v>
      </c>
      <c r="I480" s="118">
        <v>11.35</v>
      </c>
      <c r="J480" s="118">
        <v>85</v>
      </c>
      <c r="K480" s="118">
        <v>13.2</v>
      </c>
      <c r="L480" s="122">
        <v>-1.57</v>
      </c>
      <c r="M480" s="122">
        <v>-2.61</v>
      </c>
      <c r="N480" s="118">
        <v>-0.04</v>
      </c>
      <c r="O480" s="123" t="s">
        <v>1760</v>
      </c>
    </row>
    <row r="481" spans="1:15" ht="28.8">
      <c r="A481" s="118" t="s">
        <v>2601</v>
      </c>
      <c r="B481" s="118" t="s">
        <v>1743</v>
      </c>
      <c r="C481" s="118" t="s">
        <v>1744</v>
      </c>
      <c r="D481" s="119">
        <v>43992</v>
      </c>
      <c r="E481" s="118" t="s">
        <v>2326</v>
      </c>
      <c r="F481" s="118" t="s">
        <v>1784</v>
      </c>
      <c r="G481" s="118">
        <v>7</v>
      </c>
      <c r="H481" s="118">
        <v>7</v>
      </c>
      <c r="I481" s="118">
        <v>10.4</v>
      </c>
      <c r="J481" s="118">
        <v>83.4</v>
      </c>
      <c r="K481" s="118">
        <v>14</v>
      </c>
      <c r="L481" s="122">
        <v>-2.2999999999999998</v>
      </c>
      <c r="M481" s="122">
        <v>-3.03</v>
      </c>
      <c r="N481" s="118">
        <v>-0.64</v>
      </c>
      <c r="O481" s="123" t="s">
        <v>1760</v>
      </c>
    </row>
    <row r="482" spans="1:15" ht="43.2">
      <c r="A482" s="118" t="s">
        <v>2602</v>
      </c>
      <c r="B482" s="118" t="s">
        <v>1752</v>
      </c>
      <c r="C482" s="118" t="s">
        <v>1749</v>
      </c>
      <c r="D482" s="119">
        <v>43841</v>
      </c>
      <c r="E482" s="118" t="s">
        <v>1907</v>
      </c>
      <c r="F482" s="118" t="s">
        <v>1784</v>
      </c>
      <c r="G482" s="118">
        <v>3</v>
      </c>
      <c r="H482" s="118">
        <v>2</v>
      </c>
      <c r="I482" s="118">
        <v>11.2</v>
      </c>
      <c r="J482" s="118">
        <v>91</v>
      </c>
      <c r="K482" s="118">
        <v>14.5</v>
      </c>
      <c r="L482" s="122">
        <v>-2.4700000000000002</v>
      </c>
      <c r="M482" s="122">
        <v>-2.0699999999999998</v>
      </c>
      <c r="N482" s="118">
        <v>-2.0299999999999998</v>
      </c>
      <c r="O482" s="123" t="s">
        <v>1747</v>
      </c>
    </row>
    <row r="483" spans="1:15" ht="28.8">
      <c r="A483" s="118" t="s">
        <v>2603</v>
      </c>
      <c r="B483" s="118" t="s">
        <v>1752</v>
      </c>
      <c r="C483" s="118" t="s">
        <v>1786</v>
      </c>
      <c r="D483" s="119">
        <v>43364</v>
      </c>
      <c r="E483" s="118" t="s">
        <v>2338</v>
      </c>
      <c r="F483" s="118" t="s">
        <v>1784</v>
      </c>
      <c r="G483" s="118">
        <v>1</v>
      </c>
      <c r="H483" s="118">
        <v>4</v>
      </c>
      <c r="I483" s="118">
        <v>11.5</v>
      </c>
      <c r="J483" s="118">
        <v>86.6</v>
      </c>
      <c r="K483" s="118">
        <v>15</v>
      </c>
      <c r="L483" s="122">
        <v>-3.33</v>
      </c>
      <c r="M483" s="122">
        <v>-4.75</v>
      </c>
      <c r="N483" s="118">
        <v>-0.6</v>
      </c>
      <c r="O483" s="123" t="s">
        <v>1760</v>
      </c>
    </row>
    <row r="484" spans="1:15" ht="28.8">
      <c r="A484" s="118" t="s">
        <v>2604</v>
      </c>
      <c r="B484" s="118" t="s">
        <v>1752</v>
      </c>
      <c r="C484" s="118" t="s">
        <v>1786</v>
      </c>
      <c r="D484" s="119">
        <v>43298</v>
      </c>
      <c r="E484" s="118" t="s">
        <v>2605</v>
      </c>
      <c r="F484" s="118" t="s">
        <v>1784</v>
      </c>
      <c r="G484" s="118">
        <v>2</v>
      </c>
      <c r="H484" s="118">
        <v>3</v>
      </c>
      <c r="I484" s="118">
        <v>11.2</v>
      </c>
      <c r="J484" s="118">
        <v>94.5</v>
      </c>
      <c r="K484" s="118">
        <v>14.2</v>
      </c>
      <c r="L484" s="122">
        <v>-3.62</v>
      </c>
      <c r="M484" s="122">
        <v>-3.21</v>
      </c>
      <c r="N484" s="118">
        <v>-2.83</v>
      </c>
      <c r="O484" s="123" t="s">
        <v>1747</v>
      </c>
    </row>
    <row r="485" spans="1:15" ht="28.8">
      <c r="A485" s="118" t="s">
        <v>2606</v>
      </c>
      <c r="B485" s="118" t="s">
        <v>1752</v>
      </c>
      <c r="C485" s="118" t="s">
        <v>1749</v>
      </c>
      <c r="D485" s="119">
        <v>43659</v>
      </c>
      <c r="E485" s="118" t="s">
        <v>2607</v>
      </c>
      <c r="F485" s="118" t="s">
        <v>1784</v>
      </c>
      <c r="G485" s="118">
        <v>1</v>
      </c>
      <c r="H485" s="118">
        <v>8</v>
      </c>
      <c r="I485" s="118">
        <v>12.2</v>
      </c>
      <c r="J485" s="118">
        <v>92</v>
      </c>
      <c r="K485" s="118">
        <v>14.7</v>
      </c>
      <c r="L485" s="122">
        <v>-2.2400000000000002</v>
      </c>
      <c r="M485" s="122">
        <v>-2.56</v>
      </c>
      <c r="N485" s="118">
        <v>-1.1399999999999999</v>
      </c>
      <c r="O485" s="123" t="s">
        <v>1760</v>
      </c>
    </row>
    <row r="486" spans="1:15" ht="28.8">
      <c r="A486" s="118" t="s">
        <v>2608</v>
      </c>
      <c r="B486" s="118" t="s">
        <v>1752</v>
      </c>
      <c r="C486" s="118" t="s">
        <v>2609</v>
      </c>
      <c r="D486" s="119">
        <v>45107</v>
      </c>
      <c r="E486" s="118" t="s">
        <v>2607</v>
      </c>
      <c r="F486" s="118" t="s">
        <v>1784</v>
      </c>
      <c r="G486" s="118">
        <v>1</v>
      </c>
      <c r="H486" s="118">
        <v>8</v>
      </c>
      <c r="I486" s="118">
        <v>3.5</v>
      </c>
      <c r="J486" s="118">
        <v>50</v>
      </c>
      <c r="K486" s="118"/>
      <c r="L486" s="122">
        <v>-1.75</v>
      </c>
      <c r="M486" s="122">
        <v>-2.04</v>
      </c>
      <c r="N486" s="118">
        <v>0.09</v>
      </c>
      <c r="O486" s="123" t="s">
        <v>1760</v>
      </c>
    </row>
    <row r="487" spans="1:15" ht="57.6">
      <c r="A487" s="118" t="s">
        <v>2610</v>
      </c>
      <c r="B487" s="118" t="s">
        <v>1752</v>
      </c>
      <c r="C487" s="118" t="s">
        <v>1755</v>
      </c>
      <c r="D487" s="119">
        <v>44370</v>
      </c>
      <c r="E487" s="118" t="s">
        <v>2611</v>
      </c>
      <c r="F487" s="118" t="s">
        <v>1807</v>
      </c>
      <c r="G487" s="118">
        <v>1</v>
      </c>
      <c r="H487" s="118">
        <v>4</v>
      </c>
      <c r="I487" s="118">
        <v>8.6</v>
      </c>
      <c r="J487" s="118">
        <v>79.400000000000006</v>
      </c>
      <c r="K487" s="118">
        <v>14.8</v>
      </c>
      <c r="L487" s="122">
        <v>-2.98</v>
      </c>
      <c r="M487" s="122">
        <v>-2.44</v>
      </c>
      <c r="N487" s="118">
        <v>-2.4500000000000002</v>
      </c>
      <c r="O487" s="123" t="s">
        <v>1747</v>
      </c>
    </row>
    <row r="488" spans="1:15" ht="43.2">
      <c r="A488" s="118" t="s">
        <v>2612</v>
      </c>
      <c r="B488" s="118" t="s">
        <v>1743</v>
      </c>
      <c r="C488" s="118" t="s">
        <v>1755</v>
      </c>
      <c r="D488" s="119">
        <v>44443</v>
      </c>
      <c r="E488" s="118" t="s">
        <v>1806</v>
      </c>
      <c r="F488" s="118" t="s">
        <v>1807</v>
      </c>
      <c r="G488" s="118">
        <v>11</v>
      </c>
      <c r="H488" s="118">
        <v>3</v>
      </c>
      <c r="I488" s="118">
        <v>8.8000000000000007</v>
      </c>
      <c r="J488" s="118">
        <v>75.5</v>
      </c>
      <c r="K488" s="118">
        <v>12.1</v>
      </c>
      <c r="L488" s="122">
        <v>-1.78</v>
      </c>
      <c r="M488" s="122">
        <v>-2.48</v>
      </c>
      <c r="N488" s="118">
        <v>-0.71</v>
      </c>
      <c r="O488" s="123" t="s">
        <v>1760</v>
      </c>
    </row>
    <row r="489" spans="1:15" ht="43.2">
      <c r="A489" s="118" t="s">
        <v>2613</v>
      </c>
      <c r="B489" s="118" t="s">
        <v>1752</v>
      </c>
      <c r="C489" s="118" t="s">
        <v>1744</v>
      </c>
      <c r="D489" s="119">
        <v>44296</v>
      </c>
      <c r="E489" s="118" t="s">
        <v>2343</v>
      </c>
      <c r="F489" s="118" t="s">
        <v>1807</v>
      </c>
      <c r="G489" s="118">
        <v>3</v>
      </c>
      <c r="H489" s="118">
        <v>2</v>
      </c>
      <c r="I489" s="118">
        <v>9.6999999999999993</v>
      </c>
      <c r="J489" s="118">
        <v>72.099999999999994</v>
      </c>
      <c r="K489" s="118"/>
      <c r="L489" s="122">
        <v>-2.2400000000000002</v>
      </c>
      <c r="M489" s="122">
        <v>-5.26</v>
      </c>
      <c r="N489" s="118">
        <v>0.84</v>
      </c>
      <c r="O489" s="123" t="s">
        <v>1760</v>
      </c>
    </row>
    <row r="490" spans="1:15" ht="43.2">
      <c r="A490" s="118" t="s">
        <v>2614</v>
      </c>
      <c r="B490" s="118" t="s">
        <v>1752</v>
      </c>
      <c r="C490" s="118" t="s">
        <v>1744</v>
      </c>
      <c r="D490" s="119">
        <v>44144</v>
      </c>
      <c r="E490" s="118" t="s">
        <v>2345</v>
      </c>
      <c r="F490" s="118" t="s">
        <v>1807</v>
      </c>
      <c r="G490" s="118">
        <v>1</v>
      </c>
      <c r="H490" s="118">
        <v>3</v>
      </c>
      <c r="I490" s="118">
        <v>8.9</v>
      </c>
      <c r="J490" s="118">
        <v>78</v>
      </c>
      <c r="K490" s="118">
        <v>14.5</v>
      </c>
      <c r="L490" s="122">
        <v>-3.5</v>
      </c>
      <c r="M490" s="122">
        <v>-4.25</v>
      </c>
      <c r="N490" s="118">
        <v>-1.69</v>
      </c>
      <c r="O490" s="123" t="s">
        <v>1760</v>
      </c>
    </row>
    <row r="491" spans="1:15" ht="43.2">
      <c r="A491" s="118" t="s">
        <v>2615</v>
      </c>
      <c r="B491" s="118" t="s">
        <v>1752</v>
      </c>
      <c r="C491" s="118" t="s">
        <v>1749</v>
      </c>
      <c r="D491" s="119">
        <v>43909</v>
      </c>
      <c r="E491" s="118" t="s">
        <v>2616</v>
      </c>
      <c r="F491" s="118" t="s">
        <v>1807</v>
      </c>
      <c r="G491" s="118">
        <v>4</v>
      </c>
      <c r="H491" s="118">
        <v>3</v>
      </c>
      <c r="I491" s="118">
        <v>11.1</v>
      </c>
      <c r="J491" s="118">
        <v>88.2</v>
      </c>
      <c r="K491" s="118">
        <v>14.2</v>
      </c>
      <c r="L491" s="122">
        <v>-2.35</v>
      </c>
      <c r="M491" s="122">
        <v>-2.48</v>
      </c>
      <c r="N491" s="118">
        <v>-1.46</v>
      </c>
      <c r="O491" s="123" t="s">
        <v>1760</v>
      </c>
    </row>
    <row r="492" spans="1:15" ht="43.2">
      <c r="A492" s="118" t="s">
        <v>2617</v>
      </c>
      <c r="B492" s="118" t="s">
        <v>1743</v>
      </c>
      <c r="C492" s="118" t="s">
        <v>1749</v>
      </c>
      <c r="D492" s="119">
        <v>43799</v>
      </c>
      <c r="E492" s="118" t="s">
        <v>2618</v>
      </c>
      <c r="F492" s="118" t="s">
        <v>1746</v>
      </c>
      <c r="G492" s="118">
        <v>6</v>
      </c>
      <c r="H492" s="118">
        <v>1</v>
      </c>
      <c r="I492" s="118">
        <v>11.9</v>
      </c>
      <c r="J492" s="118">
        <v>89</v>
      </c>
      <c r="K492" s="118">
        <v>15.1</v>
      </c>
      <c r="L492" s="122">
        <v>-1.82</v>
      </c>
      <c r="M492" s="122">
        <v>-2.52</v>
      </c>
      <c r="N492" s="118">
        <v>-0.46</v>
      </c>
      <c r="O492" s="123" t="s">
        <v>1760</v>
      </c>
    </row>
    <row r="493" spans="1:15" ht="28.8">
      <c r="A493" s="118" t="s">
        <v>2619</v>
      </c>
      <c r="B493" s="118" t="s">
        <v>1752</v>
      </c>
      <c r="C493" s="118" t="s">
        <v>1749</v>
      </c>
      <c r="D493" s="119">
        <v>43589</v>
      </c>
      <c r="E493" s="118" t="s">
        <v>2620</v>
      </c>
      <c r="F493" s="118" t="s">
        <v>1746</v>
      </c>
      <c r="G493" s="118">
        <v>4</v>
      </c>
      <c r="H493" s="118">
        <v>4</v>
      </c>
      <c r="I493" s="118">
        <v>11.9</v>
      </c>
      <c r="J493" s="118">
        <v>91.7</v>
      </c>
      <c r="K493" s="118">
        <v>14.5</v>
      </c>
      <c r="L493" s="122">
        <v>-2.63</v>
      </c>
      <c r="M493" s="122">
        <v>-2.91</v>
      </c>
      <c r="N493" s="118">
        <v>-1.4</v>
      </c>
      <c r="O493" s="123" t="s">
        <v>1760</v>
      </c>
    </row>
    <row r="494" spans="1:15" ht="43.2">
      <c r="A494" s="118" t="s">
        <v>2621</v>
      </c>
      <c r="B494" s="118" t="s">
        <v>1752</v>
      </c>
      <c r="C494" s="118" t="s">
        <v>1744</v>
      </c>
      <c r="D494" s="119">
        <v>44029</v>
      </c>
      <c r="E494" s="118" t="s">
        <v>2376</v>
      </c>
      <c r="F494" s="118" t="s">
        <v>1746</v>
      </c>
      <c r="G494" s="118">
        <v>4</v>
      </c>
      <c r="H494" s="118">
        <v>1</v>
      </c>
      <c r="I494" s="118">
        <v>11.4</v>
      </c>
      <c r="J494" s="118">
        <v>92</v>
      </c>
      <c r="K494" s="118"/>
      <c r="L494" s="122">
        <v>-0.78</v>
      </c>
      <c r="M494" s="122">
        <v>1.1100000000000001</v>
      </c>
      <c r="N494" s="118">
        <v>-2.0299999999999998</v>
      </c>
      <c r="O494" s="123" t="s">
        <v>1747</v>
      </c>
    </row>
    <row r="495" spans="1:15" ht="43.2">
      <c r="A495" s="118" t="s">
        <v>2622</v>
      </c>
      <c r="B495" s="118" t="s">
        <v>1743</v>
      </c>
      <c r="C495" s="118" t="s">
        <v>1744</v>
      </c>
      <c r="D495" s="119">
        <v>44312</v>
      </c>
      <c r="E495" s="118" t="s">
        <v>2623</v>
      </c>
      <c r="F495" s="118" t="s">
        <v>1746</v>
      </c>
      <c r="G495" s="118">
        <v>9</v>
      </c>
      <c r="H495" s="118">
        <v>1</v>
      </c>
      <c r="I495" s="118">
        <v>7.2</v>
      </c>
      <c r="J495" s="118">
        <v>73</v>
      </c>
      <c r="K495" s="118">
        <v>13</v>
      </c>
      <c r="L495" s="122">
        <v>-2.72</v>
      </c>
      <c r="M495" s="122">
        <v>-2.19</v>
      </c>
      <c r="N495" s="118">
        <v>-2.2599999999999998</v>
      </c>
      <c r="O495" s="123" t="s">
        <v>1747</v>
      </c>
    </row>
    <row r="496" spans="1:15" ht="28.8">
      <c r="A496" s="118" t="s">
        <v>2624</v>
      </c>
      <c r="B496" s="118" t="s">
        <v>1752</v>
      </c>
      <c r="C496" s="118" t="s">
        <v>1755</v>
      </c>
      <c r="D496" s="119">
        <v>44317</v>
      </c>
      <c r="E496" s="118" t="s">
        <v>2378</v>
      </c>
      <c r="F496" s="118" t="s">
        <v>1746</v>
      </c>
      <c r="G496" s="118">
        <v>2</v>
      </c>
      <c r="H496" s="118">
        <v>1</v>
      </c>
      <c r="I496" s="118">
        <v>9</v>
      </c>
      <c r="J496" s="118">
        <v>80.5</v>
      </c>
      <c r="K496" s="118">
        <v>14</v>
      </c>
      <c r="L496" s="122">
        <v>-1.48</v>
      </c>
      <c r="M496" s="122">
        <v>0.23</v>
      </c>
      <c r="N496" s="118">
        <v>-2.12</v>
      </c>
      <c r="O496" s="123" t="s">
        <v>1747</v>
      </c>
    </row>
    <row r="497" spans="1:15" ht="43.2">
      <c r="A497" s="118" t="s">
        <v>2625</v>
      </c>
      <c r="B497" s="118" t="s">
        <v>1752</v>
      </c>
      <c r="C497" s="118" t="s">
        <v>1744</v>
      </c>
      <c r="D497" s="119">
        <v>44121</v>
      </c>
      <c r="E497" s="118" t="s">
        <v>2398</v>
      </c>
      <c r="F497" s="118" t="s">
        <v>1769</v>
      </c>
      <c r="G497" s="118">
        <v>4</v>
      </c>
      <c r="H497" s="118">
        <v>1</v>
      </c>
      <c r="I497" s="118">
        <v>9.6</v>
      </c>
      <c r="J497" s="118">
        <v>85</v>
      </c>
      <c r="K497" s="118">
        <v>15</v>
      </c>
      <c r="L497" s="122">
        <v>-1.95</v>
      </c>
      <c r="M497" s="122">
        <v>-0.69</v>
      </c>
      <c r="N497" s="118">
        <v>-2.2799999999999998</v>
      </c>
      <c r="O497" s="123" t="s">
        <v>1747</v>
      </c>
    </row>
    <row r="498" spans="1:15" ht="43.2">
      <c r="A498" s="118" t="s">
        <v>2626</v>
      </c>
      <c r="B498" s="118" t="s">
        <v>1752</v>
      </c>
      <c r="C498" s="118" t="s">
        <v>1755</v>
      </c>
      <c r="D498" s="119">
        <v>44463</v>
      </c>
      <c r="E498" s="118" t="s">
        <v>2627</v>
      </c>
      <c r="F498" s="118" t="s">
        <v>1769</v>
      </c>
      <c r="G498" s="118">
        <v>1</v>
      </c>
      <c r="H498" s="118">
        <v>7</v>
      </c>
      <c r="I498" s="118">
        <v>8.6999999999999993</v>
      </c>
      <c r="J498" s="118">
        <v>80</v>
      </c>
      <c r="K498" s="118"/>
      <c r="L498" s="122">
        <v>-0.8</v>
      </c>
      <c r="M498" s="122">
        <v>2.14</v>
      </c>
      <c r="N498" s="118">
        <v>-2.2799999999999998</v>
      </c>
      <c r="O498" s="123" t="s">
        <v>1747</v>
      </c>
    </row>
    <row r="499" spans="1:15" ht="43.2">
      <c r="A499" s="118" t="s">
        <v>2628</v>
      </c>
      <c r="B499" s="118" t="s">
        <v>1752</v>
      </c>
      <c r="C499" s="118" t="s">
        <v>1755</v>
      </c>
      <c r="D499" s="119">
        <v>44332</v>
      </c>
      <c r="E499" s="118" t="s">
        <v>2629</v>
      </c>
      <c r="F499" s="118" t="s">
        <v>1769</v>
      </c>
      <c r="G499" s="118">
        <v>4</v>
      </c>
      <c r="H499" s="118">
        <v>2</v>
      </c>
      <c r="I499" s="118">
        <v>8.1999999999999993</v>
      </c>
      <c r="J499" s="118">
        <v>76.5</v>
      </c>
      <c r="K499" s="118">
        <v>14</v>
      </c>
      <c r="L499" s="122">
        <v>-2.21</v>
      </c>
      <c r="M499" s="122">
        <v>-1.36</v>
      </c>
      <c r="N499" s="118">
        <v>-2.21</v>
      </c>
      <c r="O499" s="123" t="s">
        <v>1747</v>
      </c>
    </row>
    <row r="500" spans="1:15" ht="43.2">
      <c r="A500" s="118" t="s">
        <v>2630</v>
      </c>
      <c r="B500" s="118" t="s">
        <v>1752</v>
      </c>
      <c r="C500" s="118" t="s">
        <v>1744</v>
      </c>
      <c r="D500" s="119">
        <v>44149</v>
      </c>
      <c r="E500" s="118" t="s">
        <v>2408</v>
      </c>
      <c r="F500" s="118" t="s">
        <v>1769</v>
      </c>
      <c r="G500" s="118">
        <v>8</v>
      </c>
      <c r="H500" s="118">
        <v>1</v>
      </c>
      <c r="I500" s="118">
        <v>8.6</v>
      </c>
      <c r="J500" s="118">
        <v>81</v>
      </c>
      <c r="K500" s="118">
        <v>14</v>
      </c>
      <c r="L500" s="122">
        <v>-2.73</v>
      </c>
      <c r="M500" s="122">
        <v>-1.67</v>
      </c>
      <c r="N500" s="118">
        <v>-2.66</v>
      </c>
      <c r="O500" s="123" t="s">
        <v>1747</v>
      </c>
    </row>
    <row r="501" spans="1:15" ht="43.2">
      <c r="A501" s="118" t="s">
        <v>2631</v>
      </c>
      <c r="B501" s="118" t="s">
        <v>1752</v>
      </c>
      <c r="C501" s="118" t="s">
        <v>1744</v>
      </c>
      <c r="D501" s="119">
        <v>44017</v>
      </c>
      <c r="E501" s="118" t="s">
        <v>2632</v>
      </c>
      <c r="F501" s="118" t="s">
        <v>1769</v>
      </c>
      <c r="G501" s="118">
        <v>7</v>
      </c>
      <c r="H501" s="118">
        <v>2</v>
      </c>
      <c r="I501" s="118">
        <v>10.7</v>
      </c>
      <c r="J501" s="118">
        <v>89</v>
      </c>
      <c r="K501" s="118"/>
      <c r="L501" s="122">
        <v>-1.38</v>
      </c>
      <c r="M501" s="122">
        <v>7.0000000000000007E-2</v>
      </c>
      <c r="N501" s="118">
        <v>-2.14</v>
      </c>
      <c r="O501" s="123" t="s">
        <v>1747</v>
      </c>
    </row>
    <row r="502" spans="1:15" ht="43.2">
      <c r="A502" s="118" t="s">
        <v>2633</v>
      </c>
      <c r="B502" s="118" t="s">
        <v>1752</v>
      </c>
      <c r="C502" s="118" t="s">
        <v>1744</v>
      </c>
      <c r="D502" s="119">
        <v>44112</v>
      </c>
      <c r="E502" s="118" t="s">
        <v>2412</v>
      </c>
      <c r="F502" s="118" t="s">
        <v>1769</v>
      </c>
      <c r="G502" s="118">
        <v>4</v>
      </c>
      <c r="H502" s="118">
        <v>8</v>
      </c>
      <c r="I502" s="118">
        <v>9</v>
      </c>
      <c r="J502" s="118">
        <v>81.5</v>
      </c>
      <c r="K502" s="118">
        <v>14.5</v>
      </c>
      <c r="L502" s="122">
        <v>-2.4700000000000002</v>
      </c>
      <c r="M502" s="122">
        <v>-1.77</v>
      </c>
      <c r="N502" s="118">
        <v>-2.19</v>
      </c>
      <c r="O502" s="123" t="s">
        <v>1747</v>
      </c>
    </row>
    <row r="503" spans="1:15" ht="57.6">
      <c r="A503" s="118" t="s">
        <v>2634</v>
      </c>
      <c r="B503" s="118" t="s">
        <v>1752</v>
      </c>
      <c r="C503" s="118" t="s">
        <v>1744</v>
      </c>
      <c r="D503" s="119">
        <v>44012</v>
      </c>
      <c r="E503" s="118" t="s">
        <v>1768</v>
      </c>
      <c r="F503" s="118" t="s">
        <v>1769</v>
      </c>
      <c r="G503" s="118">
        <v>8</v>
      </c>
      <c r="H503" s="118">
        <v>1</v>
      </c>
      <c r="I503" s="118">
        <v>9.75</v>
      </c>
      <c r="J503" s="118">
        <v>85</v>
      </c>
      <c r="K503" s="118"/>
      <c r="L503" s="122">
        <v>-2.21</v>
      </c>
      <c r="M503" s="122">
        <v>-1.45</v>
      </c>
      <c r="N503" s="118">
        <v>-2.08</v>
      </c>
      <c r="O503" s="123" t="s">
        <v>1747</v>
      </c>
    </row>
    <row r="504" spans="1:15" ht="57.6">
      <c r="A504" s="118" t="s">
        <v>2635</v>
      </c>
      <c r="B504" s="118" t="s">
        <v>1743</v>
      </c>
      <c r="C504" s="118" t="s">
        <v>2055</v>
      </c>
      <c r="D504" s="119">
        <v>44812</v>
      </c>
      <c r="E504" s="118" t="s">
        <v>2636</v>
      </c>
      <c r="F504" s="118" t="s">
        <v>1769</v>
      </c>
      <c r="G504" s="118">
        <v>8</v>
      </c>
      <c r="H504" s="118">
        <v>1</v>
      </c>
      <c r="I504" s="118">
        <v>2.7</v>
      </c>
      <c r="J504" s="118">
        <v>50</v>
      </c>
      <c r="K504" s="118"/>
      <c r="L504" s="122">
        <v>-1.48</v>
      </c>
      <c r="M504" s="122">
        <v>0.11</v>
      </c>
      <c r="N504" s="118">
        <v>-3</v>
      </c>
      <c r="O504" s="123" t="s">
        <v>1747</v>
      </c>
    </row>
    <row r="505" spans="1:15" ht="43.2">
      <c r="A505" s="118" t="s">
        <v>2637</v>
      </c>
      <c r="B505" s="118" t="s">
        <v>1752</v>
      </c>
      <c r="C505" s="118" t="s">
        <v>2055</v>
      </c>
      <c r="D505" s="119">
        <v>44812</v>
      </c>
      <c r="E505" s="118" t="s">
        <v>2161</v>
      </c>
      <c r="F505" s="118" t="s">
        <v>1769</v>
      </c>
      <c r="G505" s="118">
        <v>8</v>
      </c>
      <c r="H505" s="118">
        <v>1</v>
      </c>
      <c r="I505" s="118">
        <v>2.7</v>
      </c>
      <c r="J505" s="118">
        <v>49</v>
      </c>
      <c r="K505" s="118"/>
      <c r="L505" s="122">
        <v>-1.78</v>
      </c>
      <c r="M505" s="122">
        <v>-0.84</v>
      </c>
      <c r="N505" s="118">
        <v>-2.21</v>
      </c>
      <c r="O505" s="123" t="s">
        <v>1747</v>
      </c>
    </row>
    <row r="506" spans="1:15" ht="43.2">
      <c r="A506" s="118" t="s">
        <v>2638</v>
      </c>
      <c r="B506" s="118" t="s">
        <v>1752</v>
      </c>
      <c r="C506" s="118" t="s">
        <v>1786</v>
      </c>
      <c r="D506" s="119">
        <v>43518</v>
      </c>
      <c r="E506" s="118" t="s">
        <v>1931</v>
      </c>
      <c r="F506" s="118" t="s">
        <v>1769</v>
      </c>
      <c r="G506" s="118">
        <v>2</v>
      </c>
      <c r="H506" s="118">
        <v>1</v>
      </c>
      <c r="I506" s="118">
        <v>14</v>
      </c>
      <c r="J506" s="118">
        <v>105</v>
      </c>
      <c r="K506" s="118"/>
      <c r="L506" s="122">
        <v>-0.78</v>
      </c>
      <c r="M506" s="122">
        <v>1.23</v>
      </c>
      <c r="N506" s="118">
        <v>-2.25</v>
      </c>
      <c r="O506" s="123" t="s">
        <v>1747</v>
      </c>
    </row>
    <row r="507" spans="1:15" ht="43.2">
      <c r="A507" s="118" t="s">
        <v>2639</v>
      </c>
      <c r="B507" s="118" t="s">
        <v>1743</v>
      </c>
      <c r="C507" s="118" t="s">
        <v>1749</v>
      </c>
      <c r="D507" s="119">
        <v>43626</v>
      </c>
      <c r="E507" s="118" t="s">
        <v>2640</v>
      </c>
      <c r="F507" s="118" t="s">
        <v>1769</v>
      </c>
      <c r="G507" s="118">
        <v>1</v>
      </c>
      <c r="H507" s="118">
        <v>12</v>
      </c>
      <c r="I507" s="118">
        <v>13.9</v>
      </c>
      <c r="J507" s="118">
        <v>105</v>
      </c>
      <c r="K507" s="118"/>
      <c r="L507" s="122">
        <v>-0.26</v>
      </c>
      <c r="M507" s="122">
        <v>2.0299999999999998</v>
      </c>
      <c r="N507" s="118">
        <v>-2.11</v>
      </c>
      <c r="O507" s="123" t="s">
        <v>1747</v>
      </c>
    </row>
    <row r="508" spans="1:15" ht="43.2">
      <c r="A508" s="118" t="s">
        <v>2641</v>
      </c>
      <c r="B508" s="118" t="s">
        <v>1743</v>
      </c>
      <c r="C508" s="118" t="s">
        <v>1779</v>
      </c>
      <c r="D508" s="119">
        <v>43005</v>
      </c>
      <c r="E508" s="118" t="s">
        <v>2642</v>
      </c>
      <c r="F508" s="118" t="s">
        <v>1769</v>
      </c>
      <c r="G508" s="118">
        <v>3</v>
      </c>
      <c r="H508" s="118">
        <v>9</v>
      </c>
      <c r="I508" s="118">
        <v>12.7</v>
      </c>
      <c r="J508" s="118">
        <v>101</v>
      </c>
      <c r="K508" s="118">
        <v>16</v>
      </c>
      <c r="L508" s="122">
        <v>-2.57</v>
      </c>
      <c r="M508" s="122">
        <v>-1.73</v>
      </c>
      <c r="N508" s="118">
        <v>-2.2799999999999998</v>
      </c>
      <c r="O508" s="123" t="s">
        <v>1747</v>
      </c>
    </row>
    <row r="509" spans="1:15" ht="43.2">
      <c r="A509" s="118" t="s">
        <v>2643</v>
      </c>
      <c r="B509" s="118" t="s">
        <v>1743</v>
      </c>
      <c r="C509" s="118" t="s">
        <v>1786</v>
      </c>
      <c r="D509" s="119">
        <v>43364</v>
      </c>
      <c r="E509" s="118" t="s">
        <v>2099</v>
      </c>
      <c r="F509" s="118" t="s">
        <v>1769</v>
      </c>
      <c r="G509" s="118">
        <v>9</v>
      </c>
      <c r="H509" s="118">
        <v>5</v>
      </c>
      <c r="I509" s="118">
        <v>14</v>
      </c>
      <c r="J509" s="118">
        <v>105</v>
      </c>
      <c r="K509" s="118"/>
      <c r="L509" s="122">
        <v>-0.97</v>
      </c>
      <c r="M509" s="122">
        <v>0.6</v>
      </c>
      <c r="N509" s="118">
        <v>-2.0299999999999998</v>
      </c>
      <c r="O509" s="123" t="s">
        <v>1747</v>
      </c>
    </row>
    <row r="510" spans="1:15" ht="57.6">
      <c r="A510" s="118" t="s">
        <v>2644</v>
      </c>
      <c r="B510" s="118" t="s">
        <v>1752</v>
      </c>
      <c r="C510" s="118" t="s">
        <v>1786</v>
      </c>
      <c r="D510" s="119">
        <v>43530</v>
      </c>
      <c r="E510" s="118" t="s">
        <v>2645</v>
      </c>
      <c r="F510" s="118" t="s">
        <v>1769</v>
      </c>
      <c r="G510" s="118">
        <v>7</v>
      </c>
      <c r="H510" s="118">
        <v>5</v>
      </c>
      <c r="I510" s="118">
        <v>11.3</v>
      </c>
      <c r="J510" s="118">
        <v>93</v>
      </c>
      <c r="K510" s="118">
        <v>14.5</v>
      </c>
      <c r="L510" s="122">
        <v>-2.5</v>
      </c>
      <c r="M510" s="122">
        <v>-1.74</v>
      </c>
      <c r="N510" s="118">
        <v>-2.37</v>
      </c>
      <c r="O510" s="123" t="s">
        <v>1747</v>
      </c>
    </row>
    <row r="511" spans="1:15" ht="43.2">
      <c r="A511" s="118" t="s">
        <v>2646</v>
      </c>
      <c r="B511" s="118" t="s">
        <v>1743</v>
      </c>
      <c r="C511" s="118" t="s">
        <v>1786</v>
      </c>
      <c r="D511" s="119">
        <v>43405</v>
      </c>
      <c r="E511" s="118" t="s">
        <v>1891</v>
      </c>
      <c r="F511" s="118" t="s">
        <v>1769</v>
      </c>
      <c r="G511" s="118">
        <v>3</v>
      </c>
      <c r="H511" s="118">
        <v>2</v>
      </c>
      <c r="I511" s="118">
        <v>13.9</v>
      </c>
      <c r="J511" s="118">
        <v>105</v>
      </c>
      <c r="K511" s="118"/>
      <c r="L511" s="122">
        <v>-0.92</v>
      </c>
      <c r="M511" s="122">
        <v>0.8</v>
      </c>
      <c r="N511" s="118">
        <v>-2.11</v>
      </c>
      <c r="O511" s="123" t="s">
        <v>1747</v>
      </c>
    </row>
    <row r="512" spans="1:15" ht="43.2">
      <c r="A512" s="118" t="s">
        <v>2647</v>
      </c>
      <c r="B512" s="118" t="s">
        <v>1743</v>
      </c>
      <c r="C512" s="118" t="s">
        <v>1749</v>
      </c>
      <c r="D512" s="119">
        <v>43642</v>
      </c>
      <c r="E512" s="118" t="s">
        <v>2169</v>
      </c>
      <c r="F512" s="118" t="s">
        <v>1769</v>
      </c>
      <c r="G512" s="118">
        <v>6</v>
      </c>
      <c r="H512" s="118">
        <v>2</v>
      </c>
      <c r="I512" s="118">
        <v>11.8</v>
      </c>
      <c r="J512" s="118">
        <v>97.4</v>
      </c>
      <c r="K512" s="118">
        <v>12.8</v>
      </c>
      <c r="L512" s="122">
        <v>-1.51</v>
      </c>
      <c r="M512" s="122">
        <v>0.19</v>
      </c>
      <c r="N512" s="118">
        <v>-2.39</v>
      </c>
      <c r="O512" s="123" t="s">
        <v>1747</v>
      </c>
    </row>
    <row r="513" spans="1:15" ht="43.2">
      <c r="A513" s="118" t="s">
        <v>2648</v>
      </c>
      <c r="B513" s="118" t="s">
        <v>1752</v>
      </c>
      <c r="C513" s="118" t="s">
        <v>1749</v>
      </c>
      <c r="D513" s="119">
        <v>43790</v>
      </c>
      <c r="E513" s="118" t="s">
        <v>2649</v>
      </c>
      <c r="F513" s="118" t="s">
        <v>1769</v>
      </c>
      <c r="G513" s="118">
        <v>8</v>
      </c>
      <c r="H513" s="118">
        <v>12</v>
      </c>
      <c r="I513" s="118">
        <v>9.3000000000000007</v>
      </c>
      <c r="J513" s="118">
        <v>84.5</v>
      </c>
      <c r="K513" s="118">
        <v>13</v>
      </c>
      <c r="L513" s="122">
        <v>-3.38</v>
      </c>
      <c r="M513" s="122">
        <v>-2.78</v>
      </c>
      <c r="N513" s="118">
        <v>-2.75</v>
      </c>
      <c r="O513" s="123" t="s">
        <v>1747</v>
      </c>
    </row>
    <row r="514" spans="1:15" ht="43.2">
      <c r="A514" s="118" t="s">
        <v>2650</v>
      </c>
      <c r="B514" s="118" t="s">
        <v>1752</v>
      </c>
      <c r="C514" s="118" t="s">
        <v>1786</v>
      </c>
      <c r="D514" s="119">
        <v>43474</v>
      </c>
      <c r="E514" s="118" t="s">
        <v>2219</v>
      </c>
      <c r="F514" s="118" t="s">
        <v>1769</v>
      </c>
      <c r="G514" s="118">
        <v>1</v>
      </c>
      <c r="H514" s="118">
        <v>11</v>
      </c>
      <c r="I514" s="118">
        <v>14.2</v>
      </c>
      <c r="J514" s="118">
        <v>105</v>
      </c>
      <c r="K514" s="118"/>
      <c r="L514" s="122">
        <v>-0.78</v>
      </c>
      <c r="M514" s="122">
        <v>1</v>
      </c>
      <c r="N514" s="118">
        <v>-2.0699999999999998</v>
      </c>
      <c r="O514" s="123" t="s">
        <v>1747</v>
      </c>
    </row>
    <row r="515" spans="1:15" ht="43.2">
      <c r="A515" s="118" t="s">
        <v>2651</v>
      </c>
      <c r="B515" s="118" t="s">
        <v>1752</v>
      </c>
      <c r="C515" s="118" t="s">
        <v>1744</v>
      </c>
      <c r="D515" s="119">
        <v>44104</v>
      </c>
      <c r="E515" s="118" t="s">
        <v>2252</v>
      </c>
      <c r="F515" s="118" t="s">
        <v>1769</v>
      </c>
      <c r="G515" s="118">
        <v>5</v>
      </c>
      <c r="H515" s="118">
        <v>5</v>
      </c>
      <c r="I515" s="118">
        <v>10.199999999999999</v>
      </c>
      <c r="J515" s="118">
        <v>87</v>
      </c>
      <c r="K515" s="118">
        <v>13</v>
      </c>
      <c r="L515" s="122">
        <v>-1.42</v>
      </c>
      <c r="M515" s="122">
        <v>0.2</v>
      </c>
      <c r="N515" s="118">
        <v>-2.25</v>
      </c>
      <c r="O515" s="123" t="s">
        <v>1747</v>
      </c>
    </row>
    <row r="516" spans="1:15" ht="43.2">
      <c r="A516" s="118" t="s">
        <v>2652</v>
      </c>
      <c r="B516" s="118" t="s">
        <v>1752</v>
      </c>
      <c r="C516" s="118" t="s">
        <v>1744</v>
      </c>
      <c r="D516" s="119">
        <v>44053</v>
      </c>
      <c r="E516" s="118" t="s">
        <v>2493</v>
      </c>
      <c r="F516" s="118" t="s">
        <v>1769</v>
      </c>
      <c r="G516" s="118">
        <v>8</v>
      </c>
      <c r="H516" s="118">
        <v>5</v>
      </c>
      <c r="I516" s="118">
        <v>9.4</v>
      </c>
      <c r="J516" s="118">
        <v>84</v>
      </c>
      <c r="K516" s="118">
        <v>13</v>
      </c>
      <c r="L516" s="122">
        <v>-2.37</v>
      </c>
      <c r="M516" s="122">
        <v>-1.24</v>
      </c>
      <c r="N516" s="118">
        <v>-2.4700000000000002</v>
      </c>
      <c r="O516" s="123" t="s">
        <v>1747</v>
      </c>
    </row>
    <row r="517" spans="1:15" ht="43.2">
      <c r="A517" s="118" t="s">
        <v>2653</v>
      </c>
      <c r="B517" s="118" t="s">
        <v>1752</v>
      </c>
      <c r="C517" s="118" t="s">
        <v>1744</v>
      </c>
      <c r="D517" s="119">
        <v>43950</v>
      </c>
      <c r="E517" s="118" t="s">
        <v>2654</v>
      </c>
      <c r="F517" s="118" t="s">
        <v>1769</v>
      </c>
      <c r="G517" s="118">
        <v>7</v>
      </c>
      <c r="H517" s="118">
        <v>5</v>
      </c>
      <c r="I517" s="118">
        <v>9.5</v>
      </c>
      <c r="J517" s="118">
        <v>85</v>
      </c>
      <c r="K517" s="118">
        <v>12</v>
      </c>
      <c r="L517" s="122">
        <v>-2.69</v>
      </c>
      <c r="M517" s="122">
        <v>-1.7</v>
      </c>
      <c r="N517" s="118">
        <v>-2.62</v>
      </c>
      <c r="O517" s="123" t="s">
        <v>1747</v>
      </c>
    </row>
    <row r="518" spans="1:15" ht="72">
      <c r="A518" s="118" t="s">
        <v>2655</v>
      </c>
      <c r="B518" s="118" t="s">
        <v>1743</v>
      </c>
      <c r="C518" s="118" t="s">
        <v>1749</v>
      </c>
      <c r="D518" s="119">
        <v>43782</v>
      </c>
      <c r="E518" s="118" t="s">
        <v>2656</v>
      </c>
      <c r="F518" s="118" t="s">
        <v>1769</v>
      </c>
      <c r="G518" s="118">
        <v>4</v>
      </c>
      <c r="H518" s="118">
        <v>1</v>
      </c>
      <c r="I518" s="118">
        <v>9.8000000000000007</v>
      </c>
      <c r="J518" s="118">
        <v>87.5</v>
      </c>
      <c r="K518" s="118">
        <v>14</v>
      </c>
      <c r="L518" s="122">
        <v>-2.6</v>
      </c>
      <c r="M518" s="122">
        <v>-1.63</v>
      </c>
      <c r="N518" s="118">
        <v>-2.39</v>
      </c>
      <c r="O518" s="123" t="s">
        <v>1747</v>
      </c>
    </row>
    <row r="519" spans="1:15" ht="43.2">
      <c r="A519" s="118" t="s">
        <v>2657</v>
      </c>
      <c r="B519" s="118" t="s">
        <v>1752</v>
      </c>
      <c r="C519" s="118" t="s">
        <v>1786</v>
      </c>
      <c r="D519" s="119">
        <v>43384</v>
      </c>
      <c r="E519" s="118" t="s">
        <v>2658</v>
      </c>
      <c r="F519" s="118" t="s">
        <v>1769</v>
      </c>
      <c r="G519" s="118">
        <v>4</v>
      </c>
      <c r="H519" s="118">
        <v>1</v>
      </c>
      <c r="I519" s="118">
        <v>14</v>
      </c>
      <c r="J519" s="118">
        <v>105</v>
      </c>
      <c r="K519" s="118"/>
      <c r="L519" s="122">
        <v>-1.1399999999999999</v>
      </c>
      <c r="M519" s="122">
        <v>0.56000000000000005</v>
      </c>
      <c r="N519" s="118">
        <v>-2.25</v>
      </c>
      <c r="O519" s="123" t="s">
        <v>1747</v>
      </c>
    </row>
    <row r="520" spans="1:15" ht="43.2">
      <c r="A520" s="118" t="s">
        <v>2659</v>
      </c>
      <c r="B520" s="118" t="s">
        <v>1752</v>
      </c>
      <c r="C520" s="118" t="s">
        <v>1749</v>
      </c>
      <c r="D520" s="119">
        <v>43674</v>
      </c>
      <c r="E520" s="118" t="s">
        <v>2158</v>
      </c>
      <c r="F520" s="118" t="s">
        <v>1769</v>
      </c>
      <c r="G520" s="118">
        <v>1</v>
      </c>
      <c r="H520" s="118">
        <v>2</v>
      </c>
      <c r="I520" s="118">
        <v>14.2</v>
      </c>
      <c r="J520" s="118">
        <v>105</v>
      </c>
      <c r="K520" s="118"/>
      <c r="L520" s="122">
        <v>-0.21</v>
      </c>
      <c r="M520" s="122">
        <v>2.15</v>
      </c>
      <c r="N520" s="118">
        <v>-2.0699999999999998</v>
      </c>
      <c r="O520" s="123" t="s">
        <v>1747</v>
      </c>
    </row>
    <row r="521" spans="1:15" ht="43.2">
      <c r="A521" s="118" t="s">
        <v>2660</v>
      </c>
      <c r="B521" s="118" t="s">
        <v>1752</v>
      </c>
      <c r="C521" s="118" t="s">
        <v>1786</v>
      </c>
      <c r="D521" s="119">
        <v>43407</v>
      </c>
      <c r="E521" s="118" t="s">
        <v>2661</v>
      </c>
      <c r="F521" s="118" t="s">
        <v>1769</v>
      </c>
      <c r="G521" s="118">
        <v>3</v>
      </c>
      <c r="H521" s="118">
        <v>2</v>
      </c>
      <c r="I521" s="118">
        <v>14.2</v>
      </c>
      <c r="J521" s="118">
        <v>105</v>
      </c>
      <c r="K521" s="118"/>
      <c r="L521" s="122">
        <v>-0.96</v>
      </c>
      <c r="M521" s="122">
        <v>0.67</v>
      </c>
      <c r="N521" s="118">
        <v>-2.0699999999999998</v>
      </c>
      <c r="O521" s="123" t="s">
        <v>1747</v>
      </c>
    </row>
    <row r="522" spans="1:15" ht="43.2">
      <c r="A522" s="118" t="s">
        <v>2662</v>
      </c>
      <c r="B522" s="118" t="s">
        <v>1752</v>
      </c>
      <c r="C522" s="118" t="s">
        <v>1786</v>
      </c>
      <c r="D522" s="119">
        <v>43382</v>
      </c>
      <c r="E522" s="118" t="s">
        <v>2663</v>
      </c>
      <c r="F522" s="118" t="s">
        <v>1774</v>
      </c>
      <c r="G522" s="118">
        <v>4</v>
      </c>
      <c r="H522" s="118">
        <v>4</v>
      </c>
      <c r="I522" s="118">
        <v>14.1</v>
      </c>
      <c r="J522" s="118">
        <v>105</v>
      </c>
      <c r="K522" s="118"/>
      <c r="L522" s="122">
        <v>-1.08</v>
      </c>
      <c r="M522" s="122">
        <v>0.55000000000000004</v>
      </c>
      <c r="N522" s="118">
        <v>-2.16</v>
      </c>
      <c r="O522" s="123" t="s">
        <v>1747</v>
      </c>
    </row>
    <row r="523" spans="1:15" ht="43.2">
      <c r="A523" s="118" t="s">
        <v>2664</v>
      </c>
      <c r="B523" s="118" t="s">
        <v>1752</v>
      </c>
      <c r="C523" s="118" t="s">
        <v>1786</v>
      </c>
      <c r="D523" s="119">
        <v>43426</v>
      </c>
      <c r="E523" s="118" t="s">
        <v>2665</v>
      </c>
      <c r="F523" s="118" t="s">
        <v>1774</v>
      </c>
      <c r="G523" s="118">
        <v>6</v>
      </c>
      <c r="H523" s="118">
        <v>6</v>
      </c>
      <c r="I523" s="118">
        <v>14</v>
      </c>
      <c r="J523" s="118">
        <v>105</v>
      </c>
      <c r="K523" s="118"/>
      <c r="L523" s="122">
        <v>-1.03</v>
      </c>
      <c r="M523" s="122">
        <v>0.76</v>
      </c>
      <c r="N523" s="118">
        <v>-2.25</v>
      </c>
      <c r="O523" s="123" t="s">
        <v>1747</v>
      </c>
    </row>
    <row r="524" spans="1:15" ht="72">
      <c r="A524" s="118" t="s">
        <v>2666</v>
      </c>
      <c r="B524" s="118" t="s">
        <v>1743</v>
      </c>
      <c r="C524" s="118" t="s">
        <v>1749</v>
      </c>
      <c r="D524" s="119">
        <v>43626</v>
      </c>
      <c r="E524" s="118" t="s">
        <v>2667</v>
      </c>
      <c r="F524" s="118" t="s">
        <v>1774</v>
      </c>
      <c r="G524" s="118">
        <v>7</v>
      </c>
      <c r="H524" s="118">
        <v>3</v>
      </c>
      <c r="I524" s="118">
        <v>14</v>
      </c>
      <c r="J524" s="118">
        <v>105</v>
      </c>
      <c r="K524" s="118"/>
      <c r="L524" s="122">
        <v>-0.21</v>
      </c>
      <c r="M524" s="122">
        <v>2.0299999999999998</v>
      </c>
      <c r="N524" s="118">
        <v>-2.0299999999999998</v>
      </c>
      <c r="O524" s="123" t="s">
        <v>1747</v>
      </c>
    </row>
    <row r="525" spans="1:15" ht="43.2">
      <c r="A525" s="118" t="s">
        <v>2668</v>
      </c>
      <c r="B525" s="118" t="s">
        <v>1752</v>
      </c>
      <c r="C525" s="118" t="s">
        <v>1744</v>
      </c>
      <c r="D525" s="119">
        <v>43988</v>
      </c>
      <c r="E525" s="118" t="s">
        <v>2262</v>
      </c>
      <c r="F525" s="118" t="s">
        <v>1774</v>
      </c>
      <c r="G525" s="118">
        <v>1</v>
      </c>
      <c r="H525" s="118">
        <v>7</v>
      </c>
      <c r="I525" s="118">
        <v>11.4</v>
      </c>
      <c r="J525" s="118">
        <v>92</v>
      </c>
      <c r="K525" s="118"/>
      <c r="L525" s="122">
        <v>-0.96</v>
      </c>
      <c r="M525" s="122">
        <v>0.74</v>
      </c>
      <c r="N525" s="118">
        <v>-2.0299999999999998</v>
      </c>
      <c r="O525" s="123" t="s">
        <v>1747</v>
      </c>
    </row>
    <row r="526" spans="1:15" ht="43.2">
      <c r="A526" s="118" t="s">
        <v>2669</v>
      </c>
      <c r="B526" s="118" t="s">
        <v>1752</v>
      </c>
      <c r="C526" s="118" t="s">
        <v>1786</v>
      </c>
      <c r="D526" s="119">
        <v>43561</v>
      </c>
      <c r="E526" s="118" t="s">
        <v>2509</v>
      </c>
      <c r="F526" s="118" t="s">
        <v>1777</v>
      </c>
      <c r="G526" s="118">
        <v>2</v>
      </c>
      <c r="H526" s="118">
        <v>10</v>
      </c>
      <c r="I526" s="118">
        <v>14.2</v>
      </c>
      <c r="J526" s="118">
        <v>105</v>
      </c>
      <c r="K526" s="118"/>
      <c r="L526" s="122">
        <v>-0.54</v>
      </c>
      <c r="M526" s="122">
        <v>1.47</v>
      </c>
      <c r="N526" s="118">
        <v>-2.0699999999999998</v>
      </c>
      <c r="O526" s="123" t="s">
        <v>1747</v>
      </c>
    </row>
    <row r="527" spans="1:15" ht="43.2">
      <c r="A527" s="118" t="s">
        <v>2670</v>
      </c>
      <c r="B527" s="118" t="s">
        <v>1752</v>
      </c>
      <c r="C527" s="118" t="s">
        <v>1786</v>
      </c>
      <c r="D527" s="119">
        <v>43438</v>
      </c>
      <c r="E527" s="118" t="s">
        <v>2511</v>
      </c>
      <c r="F527" s="118" t="s">
        <v>1777</v>
      </c>
      <c r="G527" s="118">
        <v>8</v>
      </c>
      <c r="H527" s="118">
        <v>9</v>
      </c>
      <c r="I527" s="118">
        <v>14</v>
      </c>
      <c r="J527" s="118">
        <v>105</v>
      </c>
      <c r="K527" s="118"/>
      <c r="L527" s="122">
        <v>-1</v>
      </c>
      <c r="M527" s="122">
        <v>0.82</v>
      </c>
      <c r="N527" s="118">
        <v>-2.25</v>
      </c>
      <c r="O527" s="123" t="s">
        <v>1747</v>
      </c>
    </row>
    <row r="528" spans="1:15" ht="43.2">
      <c r="A528" s="118" t="s">
        <v>2671</v>
      </c>
      <c r="B528" s="118" t="s">
        <v>1743</v>
      </c>
      <c r="C528" s="118" t="s">
        <v>1749</v>
      </c>
      <c r="D528" s="119">
        <v>43699</v>
      </c>
      <c r="E528" s="118" t="s">
        <v>2453</v>
      </c>
      <c r="F528" s="118" t="s">
        <v>1777</v>
      </c>
      <c r="G528" s="118">
        <v>4</v>
      </c>
      <c r="H528" s="118">
        <v>1</v>
      </c>
      <c r="I528" s="118">
        <v>14</v>
      </c>
      <c r="J528" s="118">
        <v>105</v>
      </c>
      <c r="K528" s="118"/>
      <c r="L528" s="122">
        <v>0.03</v>
      </c>
      <c r="M528" s="122">
        <v>2.5099999999999998</v>
      </c>
      <c r="N528" s="118">
        <v>-2.0299999999999998</v>
      </c>
      <c r="O528" s="123" t="s">
        <v>1747</v>
      </c>
    </row>
    <row r="529" spans="1:15" ht="43.2">
      <c r="A529" s="118" t="s">
        <v>2672</v>
      </c>
      <c r="B529" s="118" t="s">
        <v>1752</v>
      </c>
      <c r="C529" s="118" t="s">
        <v>1744</v>
      </c>
      <c r="D529" s="119">
        <v>43952</v>
      </c>
      <c r="E529" s="118" t="s">
        <v>2673</v>
      </c>
      <c r="F529" s="118" t="s">
        <v>1777</v>
      </c>
      <c r="G529" s="118">
        <v>4</v>
      </c>
      <c r="H529" s="118">
        <v>1</v>
      </c>
      <c r="I529" s="118">
        <v>11.3</v>
      </c>
      <c r="J529" s="118">
        <v>92</v>
      </c>
      <c r="K529" s="118"/>
      <c r="L529" s="122">
        <v>-1.18</v>
      </c>
      <c r="M529" s="122">
        <v>0.44</v>
      </c>
      <c r="N529" s="118">
        <v>-2.14</v>
      </c>
      <c r="O529" s="123" t="s">
        <v>1747</v>
      </c>
    </row>
    <row r="530" spans="1:15" ht="43.2">
      <c r="A530" s="118" t="s">
        <v>2674</v>
      </c>
      <c r="B530" s="118" t="s">
        <v>1752</v>
      </c>
      <c r="C530" s="118" t="s">
        <v>1749</v>
      </c>
      <c r="D530" s="119">
        <v>43917</v>
      </c>
      <c r="E530" s="118" t="s">
        <v>1943</v>
      </c>
      <c r="F530" s="118" t="s">
        <v>1777</v>
      </c>
      <c r="G530" s="118">
        <v>4</v>
      </c>
      <c r="H530" s="118">
        <v>1</v>
      </c>
      <c r="I530" s="118">
        <v>11.3</v>
      </c>
      <c r="J530" s="118">
        <v>92</v>
      </c>
      <c r="K530" s="118"/>
      <c r="L530" s="122">
        <v>-1.31</v>
      </c>
      <c r="M530" s="122">
        <v>0.17</v>
      </c>
      <c r="N530" s="118">
        <v>-2.14</v>
      </c>
      <c r="O530" s="123" t="s">
        <v>1747</v>
      </c>
    </row>
    <row r="531" spans="1:15" ht="43.2">
      <c r="A531" s="118" t="s">
        <v>2675</v>
      </c>
      <c r="B531" s="118" t="s">
        <v>1752</v>
      </c>
      <c r="C531" s="118" t="s">
        <v>1749</v>
      </c>
      <c r="D531" s="119">
        <v>43731</v>
      </c>
      <c r="E531" s="118" t="s">
        <v>2676</v>
      </c>
      <c r="F531" s="118" t="s">
        <v>1777</v>
      </c>
      <c r="G531" s="118">
        <v>4</v>
      </c>
      <c r="H531" s="118">
        <v>1</v>
      </c>
      <c r="I531" s="118">
        <v>14</v>
      </c>
      <c r="J531" s="118">
        <v>105</v>
      </c>
      <c r="K531" s="118"/>
      <c r="L531" s="122">
        <v>-0.14000000000000001</v>
      </c>
      <c r="M531" s="122">
        <v>2.5299999999999998</v>
      </c>
      <c r="N531" s="118">
        <v>-2.25</v>
      </c>
      <c r="O531" s="123" t="s">
        <v>1747</v>
      </c>
    </row>
    <row r="532" spans="1:15" ht="43.2">
      <c r="A532" s="118" t="s">
        <v>2677</v>
      </c>
      <c r="B532" s="118" t="s">
        <v>1752</v>
      </c>
      <c r="C532" s="118" t="s">
        <v>1744</v>
      </c>
      <c r="D532" s="119">
        <v>43971</v>
      </c>
      <c r="E532" s="118" t="s">
        <v>2513</v>
      </c>
      <c r="F532" s="118" t="s">
        <v>1777</v>
      </c>
      <c r="G532" s="118">
        <v>3</v>
      </c>
      <c r="H532" s="118">
        <v>10</v>
      </c>
      <c r="I532" s="118">
        <v>11.3</v>
      </c>
      <c r="J532" s="118">
        <v>92</v>
      </c>
      <c r="K532" s="118"/>
      <c r="L532" s="122">
        <v>-1.1000000000000001</v>
      </c>
      <c r="M532" s="122">
        <v>0.6</v>
      </c>
      <c r="N532" s="118">
        <v>-2.14</v>
      </c>
      <c r="O532" s="123" t="s">
        <v>1747</v>
      </c>
    </row>
    <row r="533" spans="1:15" ht="43.2">
      <c r="A533" s="118" t="s">
        <v>2678</v>
      </c>
      <c r="B533" s="118" t="s">
        <v>1752</v>
      </c>
      <c r="C533" s="118" t="s">
        <v>1744</v>
      </c>
      <c r="D533" s="119">
        <v>44048</v>
      </c>
      <c r="E533" s="118" t="s">
        <v>2642</v>
      </c>
      <c r="F533" s="118" t="s">
        <v>1777</v>
      </c>
      <c r="G533" s="118">
        <v>1</v>
      </c>
      <c r="H533" s="118">
        <v>1</v>
      </c>
      <c r="I533" s="118">
        <v>11.4</v>
      </c>
      <c r="J533" s="118">
        <v>92</v>
      </c>
      <c r="K533" s="118"/>
      <c r="L533" s="122">
        <v>-0.7</v>
      </c>
      <c r="M533" s="122">
        <v>1.29</v>
      </c>
      <c r="N533" s="118">
        <v>-2.0299999999999998</v>
      </c>
      <c r="O533" s="123" t="s">
        <v>1747</v>
      </c>
    </row>
    <row r="534" spans="1:15" ht="43.2">
      <c r="A534" s="118" t="s">
        <v>2679</v>
      </c>
      <c r="B534" s="118" t="s">
        <v>1752</v>
      </c>
      <c r="C534" s="118" t="s">
        <v>1744</v>
      </c>
      <c r="D534" s="119">
        <v>44106</v>
      </c>
      <c r="E534" s="118" t="s">
        <v>2019</v>
      </c>
      <c r="F534" s="118" t="s">
        <v>1777</v>
      </c>
      <c r="G534" s="118">
        <v>1</v>
      </c>
      <c r="H534" s="118">
        <v>15</v>
      </c>
      <c r="I534" s="118">
        <v>11</v>
      </c>
      <c r="J534" s="118">
        <v>90</v>
      </c>
      <c r="K534" s="118">
        <v>15</v>
      </c>
      <c r="L534" s="122">
        <v>-0.76</v>
      </c>
      <c r="M534" s="122">
        <v>1.18</v>
      </c>
      <c r="N534" s="118">
        <v>-2.0299999999999998</v>
      </c>
      <c r="O534" s="123" t="s">
        <v>1747</v>
      </c>
    </row>
    <row r="535" spans="1:15" ht="43.2">
      <c r="A535" s="118" t="s">
        <v>2680</v>
      </c>
      <c r="B535" s="118" t="s">
        <v>1752</v>
      </c>
      <c r="C535" s="118" t="s">
        <v>1744</v>
      </c>
      <c r="D535" s="119">
        <v>43994</v>
      </c>
      <c r="E535" s="118" t="s">
        <v>2021</v>
      </c>
      <c r="F535" s="118" t="s">
        <v>1777</v>
      </c>
      <c r="G535" s="118">
        <v>7</v>
      </c>
      <c r="H535" s="118">
        <v>10</v>
      </c>
      <c r="I535" s="118">
        <v>11.4</v>
      </c>
      <c r="J535" s="118">
        <v>92</v>
      </c>
      <c r="K535" s="118"/>
      <c r="L535" s="122">
        <v>-0.93</v>
      </c>
      <c r="M535" s="122">
        <v>0.79</v>
      </c>
      <c r="N535" s="118">
        <v>-2.0299999999999998</v>
      </c>
      <c r="O535" s="123" t="s">
        <v>1747</v>
      </c>
    </row>
    <row r="536" spans="1:15" ht="43.2">
      <c r="A536" s="118" t="s">
        <v>2681</v>
      </c>
      <c r="B536" s="118" t="s">
        <v>1743</v>
      </c>
      <c r="C536" s="118" t="s">
        <v>1786</v>
      </c>
      <c r="D536" s="119">
        <v>43558</v>
      </c>
      <c r="E536" s="118" t="s">
        <v>1776</v>
      </c>
      <c r="F536" s="118" t="s">
        <v>1777</v>
      </c>
      <c r="G536" s="118">
        <v>1</v>
      </c>
      <c r="H536" s="118">
        <v>2</v>
      </c>
      <c r="I536" s="118">
        <v>14</v>
      </c>
      <c r="J536" s="118">
        <v>105</v>
      </c>
      <c r="K536" s="118"/>
      <c r="L536" s="122">
        <v>-0.42</v>
      </c>
      <c r="M536" s="122">
        <v>1.62</v>
      </c>
      <c r="N536" s="118">
        <v>-2.0299999999999998</v>
      </c>
      <c r="O536" s="123" t="s">
        <v>1747</v>
      </c>
    </row>
    <row r="537" spans="1:15" ht="43.2">
      <c r="A537" s="118" t="s">
        <v>2682</v>
      </c>
      <c r="B537" s="118" t="s">
        <v>1752</v>
      </c>
      <c r="C537" s="118" t="s">
        <v>1786</v>
      </c>
      <c r="D537" s="119">
        <v>43544</v>
      </c>
      <c r="E537" s="118" t="s">
        <v>2518</v>
      </c>
      <c r="F537" s="118" t="s">
        <v>1777</v>
      </c>
      <c r="G537" s="118">
        <v>5</v>
      </c>
      <c r="H537" s="118">
        <v>2</v>
      </c>
      <c r="I537" s="118">
        <v>14.2</v>
      </c>
      <c r="J537" s="118">
        <v>105</v>
      </c>
      <c r="K537" s="118"/>
      <c r="L537" s="122">
        <v>-0.59</v>
      </c>
      <c r="M537" s="122">
        <v>1.37</v>
      </c>
      <c r="N537" s="118">
        <v>-2.0699999999999998</v>
      </c>
      <c r="O537" s="123" t="s">
        <v>1747</v>
      </c>
    </row>
    <row r="538" spans="1:15" ht="57.6">
      <c r="A538" s="118" t="s">
        <v>2683</v>
      </c>
      <c r="B538" s="118" t="s">
        <v>1752</v>
      </c>
      <c r="C538" s="118" t="s">
        <v>1749</v>
      </c>
      <c r="D538" s="119">
        <v>43697</v>
      </c>
      <c r="E538" s="118" t="s">
        <v>2107</v>
      </c>
      <c r="F538" s="118" t="s">
        <v>1777</v>
      </c>
      <c r="G538" s="118">
        <v>4</v>
      </c>
      <c r="H538" s="118">
        <v>2</v>
      </c>
      <c r="I538" s="118">
        <v>14</v>
      </c>
      <c r="J538" s="118">
        <v>105</v>
      </c>
      <c r="K538" s="118"/>
      <c r="L538" s="122">
        <v>-0.25</v>
      </c>
      <c r="M538" s="122">
        <v>2.2999999999999998</v>
      </c>
      <c r="N538" s="118">
        <v>-2.25</v>
      </c>
      <c r="O538" s="123" t="s">
        <v>1747</v>
      </c>
    </row>
    <row r="539" spans="1:15" ht="43.2">
      <c r="A539" s="118" t="s">
        <v>2684</v>
      </c>
      <c r="B539" s="118" t="s">
        <v>1752</v>
      </c>
      <c r="C539" s="118" t="s">
        <v>1749</v>
      </c>
      <c r="D539" s="119">
        <v>43612</v>
      </c>
      <c r="E539" s="118" t="s">
        <v>2685</v>
      </c>
      <c r="F539" s="118" t="s">
        <v>1777</v>
      </c>
      <c r="G539" s="118">
        <v>3</v>
      </c>
      <c r="H539" s="118">
        <v>12</v>
      </c>
      <c r="I539" s="118">
        <v>14</v>
      </c>
      <c r="J539" s="118">
        <v>105</v>
      </c>
      <c r="K539" s="118"/>
      <c r="L539" s="122">
        <v>-0.51</v>
      </c>
      <c r="M539" s="122">
        <v>1.76</v>
      </c>
      <c r="N539" s="118">
        <v>-2.25</v>
      </c>
      <c r="O539" s="123" t="s">
        <v>1747</v>
      </c>
    </row>
    <row r="540" spans="1:15" ht="57.6">
      <c r="A540" s="118" t="s">
        <v>2686</v>
      </c>
      <c r="B540" s="118" t="s">
        <v>1743</v>
      </c>
      <c r="C540" s="118" t="s">
        <v>1786</v>
      </c>
      <c r="D540" s="119">
        <v>43382</v>
      </c>
      <c r="E540" s="118" t="s">
        <v>2687</v>
      </c>
      <c r="F540" s="118" t="s">
        <v>1777</v>
      </c>
      <c r="G540" s="118"/>
      <c r="H540" s="118">
        <v>1</v>
      </c>
      <c r="I540" s="118">
        <v>13.9</v>
      </c>
      <c r="J540" s="118">
        <v>105</v>
      </c>
      <c r="K540" s="118"/>
      <c r="L540" s="122">
        <v>-0.98</v>
      </c>
      <c r="M540" s="122">
        <v>0.69</v>
      </c>
      <c r="N540" s="118">
        <v>-2.11</v>
      </c>
      <c r="O540" s="123" t="s">
        <v>1747</v>
      </c>
    </row>
    <row r="541" spans="1:15" ht="57.6">
      <c r="A541" s="118" t="s">
        <v>2688</v>
      </c>
      <c r="B541" s="118" t="s">
        <v>1743</v>
      </c>
      <c r="C541" s="118" t="s">
        <v>1749</v>
      </c>
      <c r="D541" s="119">
        <v>43598</v>
      </c>
      <c r="E541" s="118" t="s">
        <v>2689</v>
      </c>
      <c r="F541" s="118" t="s">
        <v>1777</v>
      </c>
      <c r="G541" s="118"/>
      <c r="H541" s="118">
        <v>1</v>
      </c>
      <c r="I541" s="118">
        <v>14</v>
      </c>
      <c r="J541" s="118">
        <v>105</v>
      </c>
      <c r="K541" s="118"/>
      <c r="L541" s="122">
        <v>-0.3</v>
      </c>
      <c r="M541" s="122">
        <v>1.86</v>
      </c>
      <c r="N541" s="118">
        <v>-2.0299999999999998</v>
      </c>
      <c r="O541" s="123" t="s">
        <v>1747</v>
      </c>
    </row>
    <row r="542" spans="1:15" ht="43.2">
      <c r="A542" s="118" t="s">
        <v>2690</v>
      </c>
      <c r="B542" s="118" t="s">
        <v>1743</v>
      </c>
      <c r="C542" s="118" t="s">
        <v>1755</v>
      </c>
      <c r="D542" s="119">
        <v>44385</v>
      </c>
      <c r="E542" s="118" t="s">
        <v>2691</v>
      </c>
      <c r="F542" s="118" t="s">
        <v>1777</v>
      </c>
      <c r="G542" s="118"/>
      <c r="H542" s="118">
        <v>1</v>
      </c>
      <c r="I542" s="118">
        <v>7.3</v>
      </c>
      <c r="J542" s="118">
        <v>72.900000000000006</v>
      </c>
      <c r="K542" s="118">
        <v>16</v>
      </c>
      <c r="L542" s="122">
        <v>-2.16</v>
      </c>
      <c r="M542" s="122">
        <v>-1.4</v>
      </c>
      <c r="N542" s="118">
        <v>-2.0699999999999998</v>
      </c>
      <c r="O542" s="123" t="s">
        <v>1747</v>
      </c>
    </row>
    <row r="543" spans="1:15" ht="43.2">
      <c r="A543" s="118" t="s">
        <v>2692</v>
      </c>
      <c r="B543" s="118" t="s">
        <v>1743</v>
      </c>
      <c r="C543" s="118" t="s">
        <v>1744</v>
      </c>
      <c r="D543" s="119">
        <v>44117</v>
      </c>
      <c r="E543" s="118" t="s">
        <v>2693</v>
      </c>
      <c r="F543" s="118" t="s">
        <v>2190</v>
      </c>
      <c r="G543" s="118">
        <v>7</v>
      </c>
      <c r="H543" s="118">
        <v>1</v>
      </c>
      <c r="I543" s="118">
        <v>8.4</v>
      </c>
      <c r="J543" s="118">
        <v>80</v>
      </c>
      <c r="K543" s="118">
        <v>19</v>
      </c>
      <c r="L543" s="122">
        <v>-2.4900000000000002</v>
      </c>
      <c r="M543" s="122">
        <v>-1.54</v>
      </c>
      <c r="N543" s="118">
        <v>-2.2999999999999998</v>
      </c>
      <c r="O543" s="123" t="s">
        <v>1747</v>
      </c>
    </row>
    <row r="544" spans="1:15" ht="43.2">
      <c r="A544" s="118" t="s">
        <v>2694</v>
      </c>
      <c r="B544" s="118" t="s">
        <v>1743</v>
      </c>
      <c r="C544" s="118" t="s">
        <v>1749</v>
      </c>
      <c r="D544" s="119">
        <v>43598</v>
      </c>
      <c r="E544" s="118" t="s">
        <v>2525</v>
      </c>
      <c r="F544" s="118" t="s">
        <v>2190</v>
      </c>
      <c r="G544" s="118">
        <v>2</v>
      </c>
      <c r="H544" s="118">
        <v>2</v>
      </c>
      <c r="I544" s="118">
        <v>13.9</v>
      </c>
      <c r="J544" s="118">
        <v>105</v>
      </c>
      <c r="K544" s="118"/>
      <c r="L544" s="122">
        <v>-0.35</v>
      </c>
      <c r="M544" s="122">
        <v>1.86</v>
      </c>
      <c r="N544" s="118">
        <v>-2.11</v>
      </c>
      <c r="O544" s="123" t="s">
        <v>1747</v>
      </c>
    </row>
    <row r="545" spans="1:15" ht="43.2">
      <c r="A545" s="118" t="s">
        <v>2695</v>
      </c>
      <c r="B545" s="118" t="s">
        <v>1752</v>
      </c>
      <c r="C545" s="118" t="s">
        <v>1786</v>
      </c>
      <c r="D545" s="119">
        <v>43451</v>
      </c>
      <c r="E545" s="118" t="s">
        <v>2696</v>
      </c>
      <c r="F545" s="118" t="s">
        <v>2190</v>
      </c>
      <c r="G545" s="118">
        <v>5</v>
      </c>
      <c r="H545" s="118">
        <v>3</v>
      </c>
      <c r="I545" s="118">
        <v>14.2</v>
      </c>
      <c r="J545" s="118">
        <v>105</v>
      </c>
      <c r="K545" s="118"/>
      <c r="L545" s="122">
        <v>-0.85</v>
      </c>
      <c r="M545" s="122">
        <v>0.89</v>
      </c>
      <c r="N545" s="118">
        <v>-2.0699999999999998</v>
      </c>
      <c r="O545" s="123" t="s">
        <v>1747</v>
      </c>
    </row>
    <row r="546" spans="1:15" ht="43.2">
      <c r="A546" s="118" t="s">
        <v>2697</v>
      </c>
      <c r="B546" s="118" t="s">
        <v>1752</v>
      </c>
      <c r="C546" s="118" t="s">
        <v>1744</v>
      </c>
      <c r="D546" s="119">
        <v>44051</v>
      </c>
      <c r="E546" s="118" t="s">
        <v>2306</v>
      </c>
      <c r="F546" s="118" t="s">
        <v>2190</v>
      </c>
      <c r="G546" s="118">
        <v>1</v>
      </c>
      <c r="H546" s="118">
        <v>6</v>
      </c>
      <c r="I546" s="118">
        <v>11.2</v>
      </c>
      <c r="J546" s="118">
        <v>92</v>
      </c>
      <c r="K546" s="118"/>
      <c r="L546" s="122">
        <v>-0.84</v>
      </c>
      <c r="M546" s="122">
        <v>1.32</v>
      </c>
      <c r="N546" s="118">
        <v>-2.2599999999999998</v>
      </c>
      <c r="O546" s="123" t="s">
        <v>1747</v>
      </c>
    </row>
    <row r="547" spans="1:15" ht="43.2">
      <c r="A547" s="118" t="s">
        <v>2698</v>
      </c>
      <c r="B547" s="118" t="s">
        <v>1752</v>
      </c>
      <c r="C547" s="118" t="s">
        <v>1744</v>
      </c>
      <c r="D547" s="119">
        <v>44041</v>
      </c>
      <c r="E547" s="118" t="s">
        <v>2279</v>
      </c>
      <c r="F547" s="118" t="s">
        <v>2190</v>
      </c>
      <c r="G547" s="118">
        <v>4</v>
      </c>
      <c r="H547" s="118">
        <v>6</v>
      </c>
      <c r="I547" s="118">
        <v>11</v>
      </c>
      <c r="J547" s="118">
        <v>92</v>
      </c>
      <c r="K547" s="118"/>
      <c r="L547" s="122">
        <v>-1.04</v>
      </c>
      <c r="M547" s="122">
        <v>1.22</v>
      </c>
      <c r="N547" s="118">
        <v>-2.5</v>
      </c>
      <c r="O547" s="123" t="s">
        <v>1747</v>
      </c>
    </row>
    <row r="548" spans="1:15" ht="43.2">
      <c r="A548" s="118" t="s">
        <v>2699</v>
      </c>
      <c r="B548" s="118" t="s">
        <v>1752</v>
      </c>
      <c r="C548" s="118" t="s">
        <v>1755</v>
      </c>
      <c r="D548" s="119">
        <v>44635</v>
      </c>
      <c r="E548" s="118" t="s">
        <v>2554</v>
      </c>
      <c r="F548" s="118" t="s">
        <v>2190</v>
      </c>
      <c r="G548" s="118">
        <v>3</v>
      </c>
      <c r="H548" s="118">
        <v>5</v>
      </c>
      <c r="I548" s="118">
        <v>6</v>
      </c>
      <c r="J548" s="118">
        <v>64.099999999999994</v>
      </c>
      <c r="K548" s="118">
        <v>43</v>
      </c>
      <c r="L548" s="122">
        <v>-2.39</v>
      </c>
      <c r="M548" s="122">
        <v>-1.46</v>
      </c>
      <c r="N548" s="118">
        <v>-2.0099999999999998</v>
      </c>
      <c r="O548" s="123" t="s">
        <v>1747</v>
      </c>
    </row>
    <row r="549" spans="1:15" ht="43.2">
      <c r="A549" s="118" t="s">
        <v>2700</v>
      </c>
      <c r="B549" s="118" t="s">
        <v>1752</v>
      </c>
      <c r="C549" s="118" t="s">
        <v>1749</v>
      </c>
      <c r="D549" s="119">
        <v>43603</v>
      </c>
      <c r="E549" s="118" t="s">
        <v>2561</v>
      </c>
      <c r="F549" s="118" t="s">
        <v>2190</v>
      </c>
      <c r="G549" s="118">
        <v>1</v>
      </c>
      <c r="H549" s="118">
        <v>5</v>
      </c>
      <c r="I549" s="118">
        <v>14</v>
      </c>
      <c r="J549" s="118">
        <v>105</v>
      </c>
      <c r="K549" s="118"/>
      <c r="L549" s="122">
        <v>-0.54</v>
      </c>
      <c r="M549" s="122">
        <v>1.71</v>
      </c>
      <c r="N549" s="118">
        <v>-2.25</v>
      </c>
      <c r="O549" s="123" t="s">
        <v>1747</v>
      </c>
    </row>
    <row r="550" spans="1:15" ht="57.6">
      <c r="A550" s="118" t="s">
        <v>2701</v>
      </c>
      <c r="B550" s="118" t="s">
        <v>1752</v>
      </c>
      <c r="C550" s="118" t="s">
        <v>1786</v>
      </c>
      <c r="D550" s="119">
        <v>43282</v>
      </c>
      <c r="E550" s="118" t="s">
        <v>2569</v>
      </c>
      <c r="F550" s="118" t="s">
        <v>2190</v>
      </c>
      <c r="G550" s="118">
        <v>3</v>
      </c>
      <c r="H550" s="118">
        <v>1</v>
      </c>
      <c r="I550" s="118">
        <v>14.2</v>
      </c>
      <c r="J550" s="118">
        <v>105</v>
      </c>
      <c r="K550" s="118"/>
      <c r="L550" s="122">
        <v>-1.27</v>
      </c>
      <c r="M550" s="122">
        <v>0.11</v>
      </c>
      <c r="N550" s="118">
        <v>-2.0699999999999998</v>
      </c>
      <c r="O550" s="123" t="s">
        <v>1747</v>
      </c>
    </row>
    <row r="551" spans="1:15" ht="43.2">
      <c r="A551" s="118" t="s">
        <v>2702</v>
      </c>
      <c r="B551" s="118" t="s">
        <v>1752</v>
      </c>
      <c r="C551" s="118" t="s">
        <v>1749</v>
      </c>
      <c r="D551" s="119">
        <v>43847</v>
      </c>
      <c r="E551" s="118" t="s">
        <v>2703</v>
      </c>
      <c r="F551" s="118" t="s">
        <v>2190</v>
      </c>
      <c r="G551" s="118">
        <v>7</v>
      </c>
      <c r="H551" s="118">
        <v>2</v>
      </c>
      <c r="I551" s="118">
        <v>11.4</v>
      </c>
      <c r="J551" s="118">
        <v>92</v>
      </c>
      <c r="K551" s="118"/>
      <c r="L551" s="122">
        <v>-1.48</v>
      </c>
      <c r="M551" s="122">
        <v>-0.31</v>
      </c>
      <c r="N551" s="118">
        <v>-2.0299999999999998</v>
      </c>
      <c r="O551" s="123" t="s">
        <v>1747</v>
      </c>
    </row>
    <row r="552" spans="1:15" ht="43.2">
      <c r="A552" s="118" t="s">
        <v>2704</v>
      </c>
      <c r="B552" s="118" t="s">
        <v>1752</v>
      </c>
      <c r="C552" s="118" t="s">
        <v>1786</v>
      </c>
      <c r="D552" s="119">
        <v>43532</v>
      </c>
      <c r="E552" s="118" t="s">
        <v>2705</v>
      </c>
      <c r="F552" s="118" t="s">
        <v>2190</v>
      </c>
      <c r="G552" s="118">
        <v>4</v>
      </c>
      <c r="H552" s="118">
        <v>3</v>
      </c>
      <c r="I552" s="118">
        <v>14</v>
      </c>
      <c r="J552" s="118">
        <v>105</v>
      </c>
      <c r="K552" s="118"/>
      <c r="L552" s="122">
        <v>-0.74</v>
      </c>
      <c r="M552" s="122">
        <v>1.31</v>
      </c>
      <c r="N552" s="118">
        <v>-2.25</v>
      </c>
      <c r="O552" s="123" t="s">
        <v>1747</v>
      </c>
    </row>
    <row r="553" spans="1:15" ht="43.2">
      <c r="A553" s="118" t="s">
        <v>2706</v>
      </c>
      <c r="B553" s="118" t="s">
        <v>1752</v>
      </c>
      <c r="C553" s="118" t="s">
        <v>1786</v>
      </c>
      <c r="D553" s="119">
        <v>43388</v>
      </c>
      <c r="E553" s="118" t="s">
        <v>2707</v>
      </c>
      <c r="F553" s="118" t="s">
        <v>2190</v>
      </c>
      <c r="G553" s="118">
        <v>4</v>
      </c>
      <c r="H553" s="118">
        <v>3</v>
      </c>
      <c r="I553" s="118">
        <v>14.1</v>
      </c>
      <c r="J553" s="118">
        <v>105</v>
      </c>
      <c r="K553" s="118"/>
      <c r="L553" s="122">
        <v>-1.07</v>
      </c>
      <c r="M553" s="122">
        <v>0.57999999999999996</v>
      </c>
      <c r="N553" s="118">
        <v>-2.16</v>
      </c>
      <c r="O553" s="123" t="s">
        <v>1747</v>
      </c>
    </row>
    <row r="554" spans="1:15" ht="43.2">
      <c r="A554" s="118" t="s">
        <v>2708</v>
      </c>
      <c r="B554" s="118" t="s">
        <v>1752</v>
      </c>
      <c r="C554" s="118" t="s">
        <v>1749</v>
      </c>
      <c r="D554" s="119">
        <v>43942</v>
      </c>
      <c r="E554" s="118" t="s">
        <v>2709</v>
      </c>
      <c r="F554" s="118" t="s">
        <v>2190</v>
      </c>
      <c r="G554" s="118">
        <v>5</v>
      </c>
      <c r="H554" s="118">
        <v>3</v>
      </c>
      <c r="I554" s="118">
        <v>11.3</v>
      </c>
      <c r="J554" s="118">
        <v>92</v>
      </c>
      <c r="K554" s="118"/>
      <c r="L554" s="122">
        <v>-1.22</v>
      </c>
      <c r="M554" s="122">
        <v>0.36</v>
      </c>
      <c r="N554" s="118">
        <v>-2.14</v>
      </c>
      <c r="O554" s="123" t="s">
        <v>1747</v>
      </c>
    </row>
    <row r="555" spans="1:15" ht="43.2">
      <c r="A555" s="118" t="s">
        <v>2710</v>
      </c>
      <c r="B555" s="118" t="s">
        <v>1752</v>
      </c>
      <c r="C555" s="118" t="s">
        <v>1744</v>
      </c>
      <c r="D555" s="119">
        <v>43962</v>
      </c>
      <c r="E555" s="118" t="s">
        <v>2711</v>
      </c>
      <c r="F555" s="118" t="s">
        <v>2190</v>
      </c>
      <c r="G555" s="118">
        <v>5</v>
      </c>
      <c r="H555" s="118">
        <v>3</v>
      </c>
      <c r="I555" s="118">
        <v>11.3</v>
      </c>
      <c r="J555" s="118">
        <v>92</v>
      </c>
      <c r="K555" s="118"/>
      <c r="L555" s="122">
        <v>-1.1399999999999999</v>
      </c>
      <c r="M555" s="122">
        <v>0.52</v>
      </c>
      <c r="N555" s="118">
        <v>-2.14</v>
      </c>
      <c r="O555" s="123" t="s">
        <v>1747</v>
      </c>
    </row>
    <row r="556" spans="1:15" ht="43.2">
      <c r="A556" s="118" t="s">
        <v>2712</v>
      </c>
      <c r="B556" s="118" t="s">
        <v>1752</v>
      </c>
      <c r="C556" s="118" t="s">
        <v>1786</v>
      </c>
      <c r="D556" s="119">
        <v>43566</v>
      </c>
      <c r="E556" s="118" t="s">
        <v>2713</v>
      </c>
      <c r="F556" s="118" t="s">
        <v>1781</v>
      </c>
      <c r="G556" s="118">
        <v>1</v>
      </c>
      <c r="H556" s="118">
        <v>2</v>
      </c>
      <c r="I556" s="118">
        <v>14</v>
      </c>
      <c r="J556" s="118">
        <v>105</v>
      </c>
      <c r="K556" s="118"/>
      <c r="L556" s="122">
        <v>-0.64</v>
      </c>
      <c r="M556" s="122">
        <v>1.49</v>
      </c>
      <c r="N556" s="118">
        <v>-2.25</v>
      </c>
      <c r="O556" s="123" t="s">
        <v>1747</v>
      </c>
    </row>
    <row r="557" spans="1:15" ht="43.2">
      <c r="A557" s="118" t="s">
        <v>2714</v>
      </c>
      <c r="B557" s="118" t="s">
        <v>1743</v>
      </c>
      <c r="C557" s="118" t="s">
        <v>1749</v>
      </c>
      <c r="D557" s="119">
        <v>43770</v>
      </c>
      <c r="E557" s="118" t="s">
        <v>2310</v>
      </c>
      <c r="F557" s="118" t="s">
        <v>1781</v>
      </c>
      <c r="G557" s="118">
        <v>1</v>
      </c>
      <c r="H557" s="118">
        <v>11</v>
      </c>
      <c r="I557" s="118">
        <v>9.4</v>
      </c>
      <c r="J557" s="118">
        <v>87</v>
      </c>
      <c r="K557" s="118">
        <v>14</v>
      </c>
      <c r="L557" s="122">
        <v>-3.01</v>
      </c>
      <c r="M557" s="122">
        <v>-1.83</v>
      </c>
      <c r="N557" s="118">
        <v>-2.77</v>
      </c>
      <c r="O557" s="123" t="s">
        <v>1747</v>
      </c>
    </row>
    <row r="558" spans="1:15" ht="43.2">
      <c r="A558" s="118" t="s">
        <v>2715</v>
      </c>
      <c r="B558" s="118" t="s">
        <v>1752</v>
      </c>
      <c r="C558" s="118" t="s">
        <v>1786</v>
      </c>
      <c r="D558" s="119">
        <v>43239</v>
      </c>
      <c r="E558" s="118" t="s">
        <v>2131</v>
      </c>
      <c r="F558" s="118" t="s">
        <v>1781</v>
      </c>
      <c r="G558" s="118">
        <v>2</v>
      </c>
      <c r="H558" s="118">
        <v>11</v>
      </c>
      <c r="I558" s="118">
        <v>11.6</v>
      </c>
      <c r="J558" s="118">
        <v>97</v>
      </c>
      <c r="K558" s="118">
        <v>13.5</v>
      </c>
      <c r="L558" s="122">
        <v>-2.99</v>
      </c>
      <c r="M558" s="122">
        <v>-1.93</v>
      </c>
      <c r="N558" s="118">
        <v>-2.91</v>
      </c>
      <c r="O558" s="123" t="s">
        <v>1747</v>
      </c>
    </row>
    <row r="559" spans="1:15" ht="43.2">
      <c r="A559" s="118" t="s">
        <v>2716</v>
      </c>
      <c r="B559" s="118" t="s">
        <v>1752</v>
      </c>
      <c r="C559" s="118" t="s">
        <v>1755</v>
      </c>
      <c r="D559" s="119">
        <v>44519</v>
      </c>
      <c r="E559" s="118" t="s">
        <v>2308</v>
      </c>
      <c r="F559" s="118" t="s">
        <v>1781</v>
      </c>
      <c r="G559" s="118">
        <v>4</v>
      </c>
      <c r="H559" s="118">
        <v>2</v>
      </c>
      <c r="I559" s="118">
        <v>6.8</v>
      </c>
      <c r="J559" s="118">
        <v>69</v>
      </c>
      <c r="K559" s="118">
        <v>13</v>
      </c>
      <c r="L559" s="122">
        <v>-2.6</v>
      </c>
      <c r="M559" s="122">
        <v>-1.64</v>
      </c>
      <c r="N559" s="118">
        <v>-2.35</v>
      </c>
      <c r="O559" s="123" t="s">
        <v>1747</v>
      </c>
    </row>
    <row r="560" spans="1:15" ht="43.2">
      <c r="A560" s="118" t="s">
        <v>2717</v>
      </c>
      <c r="B560" s="118" t="s">
        <v>1743</v>
      </c>
      <c r="C560" s="118" t="s">
        <v>1744</v>
      </c>
      <c r="D560" s="119">
        <v>44104</v>
      </c>
      <c r="E560" s="118" t="s">
        <v>2119</v>
      </c>
      <c r="F560" s="118" t="s">
        <v>1781</v>
      </c>
      <c r="G560" s="118">
        <v>2</v>
      </c>
      <c r="H560" s="118">
        <v>2</v>
      </c>
      <c r="I560" s="118">
        <v>7.5</v>
      </c>
      <c r="J560" s="118">
        <v>73.5</v>
      </c>
      <c r="K560" s="118">
        <v>12</v>
      </c>
      <c r="L560" s="122">
        <v>-3.48</v>
      </c>
      <c r="M560" s="122">
        <v>-3.63</v>
      </c>
      <c r="N560" s="118">
        <v>-2.09</v>
      </c>
      <c r="O560" s="123" t="s">
        <v>1747</v>
      </c>
    </row>
    <row r="561" spans="1:15" ht="43.2">
      <c r="A561" s="118" t="s">
        <v>2718</v>
      </c>
      <c r="B561" s="118" t="s">
        <v>1743</v>
      </c>
      <c r="C561" s="118" t="s">
        <v>1749</v>
      </c>
      <c r="D561" s="119">
        <v>43777</v>
      </c>
      <c r="E561" s="118" t="s">
        <v>2591</v>
      </c>
      <c r="F561" s="118" t="s">
        <v>1781</v>
      </c>
      <c r="G561" s="118">
        <v>1</v>
      </c>
      <c r="H561" s="118">
        <v>11</v>
      </c>
      <c r="I561" s="118">
        <v>10.1</v>
      </c>
      <c r="J561" s="118">
        <v>88</v>
      </c>
      <c r="K561" s="118">
        <v>14</v>
      </c>
      <c r="L561" s="122">
        <v>-2.38</v>
      </c>
      <c r="M561" s="122">
        <v>-1.56</v>
      </c>
      <c r="N561" s="118">
        <v>-2.15</v>
      </c>
      <c r="O561" s="123" t="s">
        <v>1747</v>
      </c>
    </row>
    <row r="562" spans="1:15" ht="43.2">
      <c r="A562" s="118" t="s">
        <v>2719</v>
      </c>
      <c r="B562" s="118" t="s">
        <v>1743</v>
      </c>
      <c r="C562" s="118" t="s">
        <v>1749</v>
      </c>
      <c r="D562" s="119">
        <v>43777</v>
      </c>
      <c r="E562" s="118" t="s">
        <v>2320</v>
      </c>
      <c r="F562" s="118" t="s">
        <v>1781</v>
      </c>
      <c r="G562" s="118">
        <v>3</v>
      </c>
      <c r="H562" s="118">
        <v>11</v>
      </c>
      <c r="I562" s="118">
        <v>10.1</v>
      </c>
      <c r="J562" s="118">
        <v>88</v>
      </c>
      <c r="K562" s="118">
        <v>14</v>
      </c>
      <c r="L562" s="122">
        <v>-2.38</v>
      </c>
      <c r="M562" s="122">
        <v>-1.56</v>
      </c>
      <c r="N562" s="118">
        <v>-2.15</v>
      </c>
      <c r="O562" s="123" t="s">
        <v>1747</v>
      </c>
    </row>
    <row r="563" spans="1:15" ht="57.6">
      <c r="A563" s="118" t="s">
        <v>2720</v>
      </c>
      <c r="B563" s="118" t="s">
        <v>1752</v>
      </c>
      <c r="C563" s="118" t="s">
        <v>1749</v>
      </c>
      <c r="D563" s="119">
        <v>43875</v>
      </c>
      <c r="E563" s="118" t="s">
        <v>2594</v>
      </c>
      <c r="F563" s="118" t="s">
        <v>1781</v>
      </c>
      <c r="G563" s="118">
        <v>6</v>
      </c>
      <c r="H563" s="118">
        <v>14</v>
      </c>
      <c r="I563" s="118">
        <v>10.9</v>
      </c>
      <c r="J563" s="118">
        <v>90</v>
      </c>
      <c r="K563" s="118">
        <v>13</v>
      </c>
      <c r="L563" s="122">
        <v>-1.8</v>
      </c>
      <c r="M563" s="122">
        <v>-0.77</v>
      </c>
      <c r="N563" s="118">
        <v>-2.15</v>
      </c>
      <c r="O563" s="123" t="s">
        <v>1747</v>
      </c>
    </row>
    <row r="564" spans="1:15" ht="43.2">
      <c r="A564" s="118" t="s">
        <v>2721</v>
      </c>
      <c r="B564" s="118" t="s">
        <v>1752</v>
      </c>
      <c r="C564" s="118" t="s">
        <v>1744</v>
      </c>
      <c r="D564" s="119">
        <v>43979</v>
      </c>
      <c r="E564" s="118" t="s">
        <v>2596</v>
      </c>
      <c r="F564" s="118" t="s">
        <v>1781</v>
      </c>
      <c r="G564" s="118">
        <v>2</v>
      </c>
      <c r="H564" s="118">
        <v>13</v>
      </c>
      <c r="I564" s="118">
        <v>11.4</v>
      </c>
      <c r="J564" s="118">
        <v>92</v>
      </c>
      <c r="K564" s="118"/>
      <c r="L564" s="122">
        <v>-0.99</v>
      </c>
      <c r="M564" s="122">
        <v>0.67</v>
      </c>
      <c r="N564" s="118">
        <v>-2.0299999999999998</v>
      </c>
      <c r="O564" s="123" t="s">
        <v>1747</v>
      </c>
    </row>
    <row r="565" spans="1:15" ht="43.2">
      <c r="A565" s="118" t="s">
        <v>2722</v>
      </c>
      <c r="B565" s="118" t="s">
        <v>1743</v>
      </c>
      <c r="C565" s="118" t="s">
        <v>1755</v>
      </c>
      <c r="D565" s="119">
        <v>44458</v>
      </c>
      <c r="E565" s="118" t="s">
        <v>2723</v>
      </c>
      <c r="F565" s="118" t="s">
        <v>1781</v>
      </c>
      <c r="G565" s="118">
        <v>5</v>
      </c>
      <c r="H565" s="118">
        <v>12</v>
      </c>
      <c r="I565" s="118">
        <v>6.6</v>
      </c>
      <c r="J565" s="118">
        <v>71</v>
      </c>
      <c r="K565" s="118">
        <v>14</v>
      </c>
      <c r="L565" s="122">
        <v>-2.5299999999999998</v>
      </c>
      <c r="M565" s="122">
        <v>-1.1100000000000001</v>
      </c>
      <c r="N565" s="118">
        <v>-2.74</v>
      </c>
      <c r="O565" s="123" t="s">
        <v>1747</v>
      </c>
    </row>
    <row r="566" spans="1:15" ht="43.2">
      <c r="A566" s="118" t="s">
        <v>2724</v>
      </c>
      <c r="B566" s="118" t="s">
        <v>1752</v>
      </c>
      <c r="C566" s="118" t="s">
        <v>1755</v>
      </c>
      <c r="D566" s="119">
        <v>44505</v>
      </c>
      <c r="E566" s="118" t="s">
        <v>2328</v>
      </c>
      <c r="F566" s="118" t="s">
        <v>1784</v>
      </c>
      <c r="G566" s="118">
        <v>3</v>
      </c>
      <c r="H566" s="118">
        <v>4</v>
      </c>
      <c r="I566" s="118">
        <v>7.5</v>
      </c>
      <c r="J566" s="118">
        <v>73</v>
      </c>
      <c r="K566" s="118">
        <v>13</v>
      </c>
      <c r="L566" s="122">
        <v>-1.9</v>
      </c>
      <c r="M566" s="122">
        <v>-0.3</v>
      </c>
      <c r="N566" s="118">
        <v>-2.4</v>
      </c>
      <c r="O566" s="123" t="s">
        <v>1747</v>
      </c>
    </row>
    <row r="567" spans="1:15" ht="28.8">
      <c r="A567" s="118" t="s">
        <v>2725</v>
      </c>
      <c r="B567" s="118" t="s">
        <v>1743</v>
      </c>
      <c r="C567" s="118" t="s">
        <v>2055</v>
      </c>
      <c r="D567" s="119">
        <v>44710</v>
      </c>
      <c r="E567" s="118" t="s">
        <v>1802</v>
      </c>
      <c r="F567" s="118" t="s">
        <v>1784</v>
      </c>
      <c r="G567" s="118">
        <v>3</v>
      </c>
      <c r="H567" s="118">
        <v>7</v>
      </c>
      <c r="I567" s="118">
        <v>4.9000000000000004</v>
      </c>
      <c r="J567" s="118">
        <v>60</v>
      </c>
      <c r="K567" s="118">
        <v>12</v>
      </c>
      <c r="L567" s="122">
        <v>-1.88</v>
      </c>
      <c r="M567" s="122">
        <v>-0.55000000000000004</v>
      </c>
      <c r="N567" s="118">
        <v>-2.06</v>
      </c>
      <c r="O567" s="123" t="s">
        <v>1747</v>
      </c>
    </row>
    <row r="568" spans="1:15" ht="28.8">
      <c r="A568" s="118" t="s">
        <v>2726</v>
      </c>
      <c r="B568" s="118" t="s">
        <v>1752</v>
      </c>
      <c r="C568" s="118" t="s">
        <v>1755</v>
      </c>
      <c r="D568" s="119">
        <v>44477</v>
      </c>
      <c r="E568" s="118" t="s">
        <v>2036</v>
      </c>
      <c r="F568" s="118" t="s">
        <v>1784</v>
      </c>
      <c r="G568" s="118">
        <v>2</v>
      </c>
      <c r="H568" s="118">
        <v>4</v>
      </c>
      <c r="I568" s="118">
        <v>5.7</v>
      </c>
      <c r="J568" s="118">
        <v>57</v>
      </c>
      <c r="K568" s="118"/>
      <c r="L568" s="122">
        <v>-0.94</v>
      </c>
      <c r="M568" s="122">
        <v>-2.15</v>
      </c>
      <c r="N568" s="118">
        <v>1.23</v>
      </c>
      <c r="O568" s="123" t="s">
        <v>1757</v>
      </c>
    </row>
    <row r="569" spans="1:15" ht="28.8">
      <c r="A569" s="118" t="s">
        <v>2727</v>
      </c>
      <c r="B569" s="118" t="s">
        <v>1743</v>
      </c>
      <c r="C569" s="118" t="s">
        <v>1749</v>
      </c>
      <c r="D569" s="119">
        <v>43664</v>
      </c>
      <c r="E569" s="118" t="s">
        <v>2326</v>
      </c>
      <c r="F569" s="118" t="s">
        <v>1784</v>
      </c>
      <c r="G569" s="118">
        <v>7</v>
      </c>
      <c r="H569" s="118">
        <v>7</v>
      </c>
      <c r="I569" s="118">
        <v>8.6</v>
      </c>
      <c r="J569" s="118">
        <v>78.400000000000006</v>
      </c>
      <c r="K569" s="118">
        <v>13.5</v>
      </c>
      <c r="L569" s="122">
        <v>-3.26</v>
      </c>
      <c r="M569" s="122">
        <v>-3.67</v>
      </c>
      <c r="N569" s="118">
        <v>-1.47</v>
      </c>
      <c r="O569" s="123" t="s">
        <v>1760</v>
      </c>
    </row>
    <row r="570" spans="1:15" ht="43.2">
      <c r="A570" s="118" t="s">
        <v>2728</v>
      </c>
      <c r="B570" s="118" t="s">
        <v>1752</v>
      </c>
      <c r="C570" s="118" t="s">
        <v>1744</v>
      </c>
      <c r="D570" s="119">
        <v>43950</v>
      </c>
      <c r="E570" s="118" t="s">
        <v>1907</v>
      </c>
      <c r="F570" s="118" t="s">
        <v>1784</v>
      </c>
      <c r="G570" s="118">
        <v>3</v>
      </c>
      <c r="H570" s="118">
        <v>2</v>
      </c>
      <c r="I570" s="118">
        <v>8.9</v>
      </c>
      <c r="J570" s="118">
        <v>78</v>
      </c>
      <c r="K570" s="118">
        <v>14</v>
      </c>
      <c r="L570" s="122">
        <v>-2.2000000000000002</v>
      </c>
      <c r="M570" s="122">
        <v>-2.02</v>
      </c>
      <c r="N570" s="118">
        <v>-1.69</v>
      </c>
      <c r="O570" s="123" t="s">
        <v>1760</v>
      </c>
    </row>
    <row r="571" spans="1:15" ht="28.8">
      <c r="A571" s="118" t="s">
        <v>2729</v>
      </c>
      <c r="B571" s="118" t="s">
        <v>1752</v>
      </c>
      <c r="C571" s="118" t="s">
        <v>1749</v>
      </c>
      <c r="D571" s="119">
        <v>43790</v>
      </c>
      <c r="E571" s="118" t="s">
        <v>2336</v>
      </c>
      <c r="F571" s="118" t="s">
        <v>1784</v>
      </c>
      <c r="G571" s="118">
        <v>1</v>
      </c>
      <c r="H571" s="118">
        <v>4</v>
      </c>
      <c r="I571" s="118">
        <v>8.1999999999999993</v>
      </c>
      <c r="J571" s="118">
        <v>75</v>
      </c>
      <c r="K571" s="118">
        <v>14</v>
      </c>
      <c r="L571" s="122">
        <v>-3.58</v>
      </c>
      <c r="M571" s="122">
        <v>-4.26</v>
      </c>
      <c r="N571" s="118">
        <v>-2.0099999999999998</v>
      </c>
      <c r="O571" s="123" t="s">
        <v>1747</v>
      </c>
    </row>
    <row r="572" spans="1:15" ht="57.6">
      <c r="A572" s="118" t="s">
        <v>2730</v>
      </c>
      <c r="B572" s="118" t="s">
        <v>1743</v>
      </c>
      <c r="C572" s="118" t="s">
        <v>1749</v>
      </c>
      <c r="D572" s="119">
        <v>43782</v>
      </c>
      <c r="E572" s="118" t="s">
        <v>2611</v>
      </c>
      <c r="F572" s="118" t="s">
        <v>1807</v>
      </c>
      <c r="G572" s="118">
        <v>1</v>
      </c>
      <c r="H572" s="118">
        <v>4</v>
      </c>
      <c r="I572" s="118">
        <v>8.1999999999999993</v>
      </c>
      <c r="J572" s="118">
        <v>79</v>
      </c>
      <c r="K572" s="118">
        <v>13.5</v>
      </c>
      <c r="L572" s="122">
        <v>-3.12</v>
      </c>
      <c r="M572" s="122">
        <v>-2.48</v>
      </c>
      <c r="N572" s="118">
        <v>-2.34</v>
      </c>
      <c r="O572" s="123" t="s">
        <v>1747</v>
      </c>
    </row>
    <row r="573" spans="1:15" ht="43.2">
      <c r="A573" s="118" t="s">
        <v>2731</v>
      </c>
      <c r="B573" s="118" t="s">
        <v>1752</v>
      </c>
      <c r="C573" s="118" t="s">
        <v>1749</v>
      </c>
      <c r="D573" s="119">
        <v>43892</v>
      </c>
      <c r="E573" s="118" t="s">
        <v>1806</v>
      </c>
      <c r="F573" s="118" t="s">
        <v>1807</v>
      </c>
      <c r="G573" s="118">
        <v>11</v>
      </c>
      <c r="H573" s="118">
        <v>3</v>
      </c>
      <c r="I573" s="118">
        <v>9.6</v>
      </c>
      <c r="J573" s="118">
        <v>76</v>
      </c>
      <c r="K573" s="118">
        <v>15</v>
      </c>
      <c r="L573" s="122">
        <v>-1.81</v>
      </c>
      <c r="M573" s="122">
        <v>-3.46</v>
      </c>
      <c r="N573" s="118">
        <v>-0.13</v>
      </c>
      <c r="O573" s="123" t="s">
        <v>1760</v>
      </c>
    </row>
    <row r="574" spans="1:15" ht="43.2">
      <c r="A574" s="118" t="s">
        <v>2732</v>
      </c>
      <c r="B574" s="118" t="s">
        <v>1743</v>
      </c>
      <c r="C574" s="118" t="s">
        <v>1866</v>
      </c>
      <c r="D574" s="119">
        <v>42847</v>
      </c>
      <c r="E574" s="118" t="s">
        <v>2343</v>
      </c>
      <c r="F574" s="118" t="s">
        <v>1807</v>
      </c>
      <c r="G574" s="118">
        <v>3</v>
      </c>
      <c r="H574" s="118">
        <v>2</v>
      </c>
      <c r="I574" s="118">
        <v>11.3</v>
      </c>
      <c r="J574" s="118">
        <v>91</v>
      </c>
      <c r="K574" s="118">
        <v>14</v>
      </c>
      <c r="L574" s="122">
        <v>-3.26</v>
      </c>
      <c r="M574" s="122">
        <v>-3.57</v>
      </c>
      <c r="N574" s="118">
        <v>-1.52</v>
      </c>
      <c r="O574" s="123" t="s">
        <v>1760</v>
      </c>
    </row>
    <row r="575" spans="1:15" ht="43.2">
      <c r="A575" s="118" t="s">
        <v>2733</v>
      </c>
      <c r="B575" s="118" t="s">
        <v>1743</v>
      </c>
      <c r="C575" s="118" t="s">
        <v>1779</v>
      </c>
      <c r="D575" s="119">
        <v>43145</v>
      </c>
      <c r="E575" s="118" t="s">
        <v>2345</v>
      </c>
      <c r="F575" s="118" t="s">
        <v>1807</v>
      </c>
      <c r="G575" s="118">
        <v>1</v>
      </c>
      <c r="H575" s="118">
        <v>3</v>
      </c>
      <c r="I575" s="118">
        <v>11.6</v>
      </c>
      <c r="J575" s="118">
        <v>86.6</v>
      </c>
      <c r="K575" s="118">
        <v>14.8</v>
      </c>
      <c r="L575" s="122">
        <v>-2.41</v>
      </c>
      <c r="M575" s="122">
        <v>-3.64</v>
      </c>
      <c r="N575" s="118">
        <v>-0.19</v>
      </c>
      <c r="O575" s="123" t="s">
        <v>1760</v>
      </c>
    </row>
    <row r="576" spans="1:15" ht="43.2">
      <c r="A576" s="118" t="s">
        <v>2734</v>
      </c>
      <c r="B576" s="118" t="s">
        <v>1752</v>
      </c>
      <c r="C576" s="118" t="s">
        <v>1786</v>
      </c>
      <c r="D576" s="119">
        <v>43340</v>
      </c>
      <c r="E576" s="118" t="s">
        <v>2735</v>
      </c>
      <c r="F576" s="118" t="s">
        <v>1807</v>
      </c>
      <c r="G576" s="118">
        <v>2</v>
      </c>
      <c r="H576" s="118">
        <v>3</v>
      </c>
      <c r="I576" s="118">
        <v>10.1</v>
      </c>
      <c r="J576" s="118">
        <v>90.7</v>
      </c>
      <c r="K576" s="118">
        <v>13.2</v>
      </c>
      <c r="L576" s="122">
        <v>-3.32</v>
      </c>
      <c r="M576" s="122">
        <v>-2.1800000000000002</v>
      </c>
      <c r="N576" s="118">
        <v>-3.32</v>
      </c>
      <c r="O576" s="123" t="s">
        <v>1790</v>
      </c>
    </row>
    <row r="577" spans="1:15" ht="43.2">
      <c r="A577" s="118" t="s">
        <v>2736</v>
      </c>
      <c r="B577" s="118" t="s">
        <v>1752</v>
      </c>
      <c r="C577" s="118" t="s">
        <v>1779</v>
      </c>
      <c r="D577" s="119">
        <v>43198</v>
      </c>
      <c r="E577" s="118" t="s">
        <v>2737</v>
      </c>
      <c r="F577" s="118" t="s">
        <v>1807</v>
      </c>
      <c r="G577" s="118">
        <v>1</v>
      </c>
      <c r="H577" s="118">
        <v>4</v>
      </c>
      <c r="I577" s="118">
        <v>12.5</v>
      </c>
      <c r="J577" s="118">
        <v>92.3</v>
      </c>
      <c r="K577" s="118">
        <v>14.5</v>
      </c>
      <c r="L577" s="122">
        <v>-1.93</v>
      </c>
      <c r="M577" s="122">
        <v>-2.3199999999999998</v>
      </c>
      <c r="N577" s="118">
        <v>-0.9</v>
      </c>
      <c r="O577" s="123" t="s">
        <v>1760</v>
      </c>
    </row>
    <row r="578" spans="1:15" ht="28.8">
      <c r="A578" s="118" t="s">
        <v>2738</v>
      </c>
      <c r="B578" s="118" t="s">
        <v>1752</v>
      </c>
      <c r="C578" s="118" t="s">
        <v>1755</v>
      </c>
      <c r="D578" s="119">
        <v>44591</v>
      </c>
      <c r="E578" s="118" t="s">
        <v>2739</v>
      </c>
      <c r="F578" s="118" t="s">
        <v>1746</v>
      </c>
      <c r="G578" s="118">
        <v>4</v>
      </c>
      <c r="H578" s="118">
        <v>5</v>
      </c>
      <c r="I578" s="118">
        <v>3</v>
      </c>
      <c r="J578" s="118">
        <v>48</v>
      </c>
      <c r="K578" s="118"/>
      <c r="L578" s="122">
        <v>-2.81</v>
      </c>
      <c r="M578" s="122">
        <v>-3.07</v>
      </c>
      <c r="N578" s="118">
        <v>-0.27</v>
      </c>
      <c r="O578" s="123" t="s">
        <v>1760</v>
      </c>
    </row>
    <row r="579" spans="1:15" ht="43.2">
      <c r="A579" s="118" t="s">
        <v>2740</v>
      </c>
      <c r="B579" s="118" t="s">
        <v>1752</v>
      </c>
      <c r="C579" s="118" t="s">
        <v>1755</v>
      </c>
      <c r="D579" s="119">
        <v>44585</v>
      </c>
      <c r="E579" s="118" t="s">
        <v>2408</v>
      </c>
      <c r="F579" s="118" t="s">
        <v>1769</v>
      </c>
      <c r="G579" s="118">
        <v>8</v>
      </c>
      <c r="H579" s="118">
        <v>1</v>
      </c>
      <c r="I579" s="118">
        <v>3</v>
      </c>
      <c r="J579" s="118">
        <v>47</v>
      </c>
      <c r="K579" s="118"/>
      <c r="L579" s="122">
        <v>-2.35</v>
      </c>
      <c r="M579" s="122">
        <v>-3.17</v>
      </c>
      <c r="N579" s="118">
        <v>0.39</v>
      </c>
      <c r="O579" s="123" t="s">
        <v>1760</v>
      </c>
    </row>
    <row r="580" spans="1:15" ht="43.2">
      <c r="A580" s="118" t="s">
        <v>2741</v>
      </c>
      <c r="B580" s="118" t="s">
        <v>1752</v>
      </c>
      <c r="C580" s="118" t="s">
        <v>1755</v>
      </c>
      <c r="D580" s="119">
        <v>44585</v>
      </c>
      <c r="E580" s="118" t="s">
        <v>2742</v>
      </c>
      <c r="F580" s="118" t="s">
        <v>1769</v>
      </c>
      <c r="G580" s="118">
        <v>4</v>
      </c>
      <c r="H580" s="118">
        <v>1</v>
      </c>
      <c r="I580" s="118">
        <v>2.7</v>
      </c>
      <c r="J580" s="118">
        <v>49</v>
      </c>
      <c r="K580" s="118"/>
      <c r="L580" s="122">
        <v>-3.05</v>
      </c>
      <c r="M580" s="122">
        <v>-2.13</v>
      </c>
      <c r="N580" s="118">
        <v>-2.21</v>
      </c>
      <c r="O580" s="123" t="s">
        <v>1747</v>
      </c>
    </row>
    <row r="581" spans="1:15" ht="57.6">
      <c r="A581" s="118" t="s">
        <v>2743</v>
      </c>
      <c r="B581" s="118" t="s">
        <v>1752</v>
      </c>
      <c r="C581" s="118" t="s">
        <v>1786</v>
      </c>
      <c r="D581" s="119">
        <v>43224</v>
      </c>
      <c r="E581" s="118" t="s">
        <v>2636</v>
      </c>
      <c r="F581" s="118" t="s">
        <v>1769</v>
      </c>
      <c r="G581" s="118">
        <v>8</v>
      </c>
      <c r="H581" s="118">
        <v>1</v>
      </c>
      <c r="I581" s="118">
        <v>13.5</v>
      </c>
      <c r="J581" s="118">
        <v>93</v>
      </c>
      <c r="K581" s="118">
        <v>15</v>
      </c>
      <c r="L581" s="122">
        <v>-1.23</v>
      </c>
      <c r="M581" s="122">
        <v>-2.0299999999999998</v>
      </c>
      <c r="N581" s="118">
        <v>-0.08</v>
      </c>
      <c r="O581" s="123" t="s">
        <v>1760</v>
      </c>
    </row>
    <row r="582" spans="1:15" ht="43.2">
      <c r="A582" s="118" t="s">
        <v>2744</v>
      </c>
      <c r="B582" s="118" t="s">
        <v>1752</v>
      </c>
      <c r="C582" s="118" t="s">
        <v>1744</v>
      </c>
      <c r="D582" s="119">
        <v>43986</v>
      </c>
      <c r="E582" s="118" t="s">
        <v>2745</v>
      </c>
      <c r="F582" s="118" t="s">
        <v>1769</v>
      </c>
      <c r="G582" s="118">
        <v>3</v>
      </c>
      <c r="H582" s="118">
        <v>1</v>
      </c>
      <c r="I582" s="118">
        <v>11.5</v>
      </c>
      <c r="J582" s="118">
        <v>77</v>
      </c>
      <c r="K582" s="118">
        <v>15</v>
      </c>
      <c r="L582" s="122">
        <v>0.24</v>
      </c>
      <c r="M582" s="122">
        <v>-2.35</v>
      </c>
      <c r="N582" s="118">
        <v>1.76</v>
      </c>
      <c r="O582" s="123" t="s">
        <v>1757</v>
      </c>
    </row>
    <row r="583" spans="1:15" ht="43.2">
      <c r="A583" s="118" t="s">
        <v>2746</v>
      </c>
      <c r="B583" s="118" t="s">
        <v>1743</v>
      </c>
      <c r="C583" s="118" t="s">
        <v>1749</v>
      </c>
      <c r="D583" s="119">
        <v>43853</v>
      </c>
      <c r="E583" s="118" t="s">
        <v>2161</v>
      </c>
      <c r="F583" s="118" t="s">
        <v>1769</v>
      </c>
      <c r="G583" s="118">
        <v>8</v>
      </c>
      <c r="H583" s="118">
        <v>1</v>
      </c>
      <c r="I583" s="118">
        <v>8</v>
      </c>
      <c r="J583" s="118">
        <v>78</v>
      </c>
      <c r="K583" s="118">
        <v>12.8</v>
      </c>
      <c r="L583" s="122">
        <v>-3.02</v>
      </c>
      <c r="M583" s="122">
        <v>-2.31</v>
      </c>
      <c r="N583" s="118">
        <v>-2.4</v>
      </c>
      <c r="O583" s="123" t="s">
        <v>1747</v>
      </c>
    </row>
    <row r="584" spans="1:15" ht="43.2">
      <c r="A584" s="118" t="s">
        <v>2747</v>
      </c>
      <c r="B584" s="118" t="s">
        <v>1752</v>
      </c>
      <c r="C584" s="118" t="s">
        <v>1755</v>
      </c>
      <c r="D584" s="119">
        <v>44380</v>
      </c>
      <c r="E584" s="118" t="s">
        <v>2158</v>
      </c>
      <c r="F584" s="118" t="s">
        <v>1769</v>
      </c>
      <c r="G584" s="118">
        <v>1</v>
      </c>
      <c r="H584" s="118">
        <v>2</v>
      </c>
      <c r="I584" s="118">
        <v>6.8</v>
      </c>
      <c r="J584" s="118">
        <v>63.3</v>
      </c>
      <c r="K584" s="118">
        <v>12.5</v>
      </c>
      <c r="L584" s="122">
        <v>-1.54</v>
      </c>
      <c r="M584" s="122">
        <v>-2.2599999999999998</v>
      </c>
      <c r="N584" s="118">
        <v>-0.09</v>
      </c>
      <c r="O584" s="123" t="s">
        <v>1760</v>
      </c>
    </row>
    <row r="585" spans="1:15" ht="43.2">
      <c r="A585" s="118" t="s">
        <v>2748</v>
      </c>
      <c r="B585" s="118" t="s">
        <v>1752</v>
      </c>
      <c r="C585" s="118" t="s">
        <v>1744</v>
      </c>
      <c r="D585" s="119">
        <v>44222</v>
      </c>
      <c r="E585" s="118" t="s">
        <v>2629</v>
      </c>
      <c r="F585" s="118" t="s">
        <v>1769</v>
      </c>
      <c r="G585" s="118">
        <v>4</v>
      </c>
      <c r="H585" s="118">
        <v>2</v>
      </c>
      <c r="I585" s="118">
        <v>7.2</v>
      </c>
      <c r="J585" s="118">
        <v>67.900000000000006</v>
      </c>
      <c r="K585" s="118">
        <v>15</v>
      </c>
      <c r="L585" s="122">
        <v>-2.5499999999999998</v>
      </c>
      <c r="M585" s="122">
        <v>-3.08</v>
      </c>
      <c r="N585" s="118">
        <v>-1.22</v>
      </c>
      <c r="O585" s="123" t="s">
        <v>1760</v>
      </c>
    </row>
    <row r="586" spans="1:15" ht="43.2">
      <c r="A586" s="118" t="s">
        <v>2749</v>
      </c>
      <c r="B586" s="118" t="s">
        <v>1752</v>
      </c>
      <c r="C586" s="118" t="s">
        <v>1866</v>
      </c>
      <c r="D586" s="119">
        <v>42849</v>
      </c>
      <c r="E586" s="118" t="s">
        <v>2252</v>
      </c>
      <c r="F586" s="118" t="s">
        <v>1769</v>
      </c>
      <c r="G586" s="118">
        <v>5</v>
      </c>
      <c r="H586" s="118">
        <v>5</v>
      </c>
      <c r="I586" s="118">
        <v>11.6</v>
      </c>
      <c r="J586" s="118">
        <v>92.2</v>
      </c>
      <c r="K586" s="118"/>
      <c r="L586" s="122">
        <v>-3.28</v>
      </c>
      <c r="M586" s="122">
        <v>-3.52</v>
      </c>
      <c r="N586" s="118">
        <v>-1.84</v>
      </c>
      <c r="O586" s="123" t="s">
        <v>1760</v>
      </c>
    </row>
    <row r="587" spans="1:15" ht="43.2">
      <c r="A587" s="118" t="s">
        <v>2750</v>
      </c>
      <c r="B587" s="118" t="s">
        <v>1743</v>
      </c>
      <c r="C587" s="118" t="s">
        <v>1779</v>
      </c>
      <c r="D587" s="119">
        <v>43180</v>
      </c>
      <c r="E587" s="118" t="s">
        <v>2099</v>
      </c>
      <c r="F587" s="118" t="s">
        <v>1769</v>
      </c>
      <c r="G587" s="118">
        <v>9</v>
      </c>
      <c r="H587" s="118">
        <v>5</v>
      </c>
      <c r="I587" s="118">
        <v>11.8</v>
      </c>
      <c r="J587" s="118">
        <v>92.8</v>
      </c>
      <c r="K587" s="118"/>
      <c r="L587" s="122">
        <v>-2.1800000000000002</v>
      </c>
      <c r="M587" s="122">
        <v>-2.0499999999999998</v>
      </c>
      <c r="N587" s="118">
        <v>-1.4</v>
      </c>
      <c r="O587" s="123" t="s">
        <v>1760</v>
      </c>
    </row>
    <row r="588" spans="1:15" ht="43.2">
      <c r="A588" s="118" t="s">
        <v>2751</v>
      </c>
      <c r="B588" s="118" t="s">
        <v>1743</v>
      </c>
      <c r="C588" s="118" t="s">
        <v>1779</v>
      </c>
      <c r="D588" s="119">
        <v>43191</v>
      </c>
      <c r="E588" s="118" t="s">
        <v>2493</v>
      </c>
      <c r="F588" s="118" t="s">
        <v>1769</v>
      </c>
      <c r="G588" s="118">
        <v>8</v>
      </c>
      <c r="H588" s="118">
        <v>5</v>
      </c>
      <c r="I588" s="118">
        <v>8.6</v>
      </c>
      <c r="J588" s="118">
        <v>86.2</v>
      </c>
      <c r="K588" s="118"/>
      <c r="L588" s="122">
        <v>-4.46</v>
      </c>
      <c r="M588" s="122">
        <v>-3.74</v>
      </c>
      <c r="N588" s="118">
        <v>-3.44</v>
      </c>
      <c r="O588" s="123" t="s">
        <v>1790</v>
      </c>
    </row>
    <row r="589" spans="1:15" ht="57.6">
      <c r="A589" s="118" t="s">
        <v>2752</v>
      </c>
      <c r="B589" s="118" t="s">
        <v>1743</v>
      </c>
      <c r="C589" s="118" t="s">
        <v>1749</v>
      </c>
      <c r="D589" s="119">
        <v>43645</v>
      </c>
      <c r="E589" s="118" t="s">
        <v>2753</v>
      </c>
      <c r="F589" s="118" t="s">
        <v>1769</v>
      </c>
      <c r="G589" s="118">
        <v>1</v>
      </c>
      <c r="H589" s="118">
        <v>7</v>
      </c>
      <c r="I589" s="118">
        <v>8.3000000000000007</v>
      </c>
      <c r="J589" s="118">
        <v>82.5</v>
      </c>
      <c r="K589" s="118"/>
      <c r="L589" s="122">
        <v>-3.65</v>
      </c>
      <c r="M589" s="122">
        <v>-2.5</v>
      </c>
      <c r="N589" s="118">
        <v>-3.09</v>
      </c>
      <c r="O589" s="123" t="s">
        <v>1790</v>
      </c>
    </row>
    <row r="590" spans="1:15" ht="43.2">
      <c r="A590" s="118" t="s">
        <v>2754</v>
      </c>
      <c r="B590" s="118" t="s">
        <v>1752</v>
      </c>
      <c r="C590" s="118" t="s">
        <v>1786</v>
      </c>
      <c r="D590" s="119">
        <v>43364</v>
      </c>
      <c r="E590" s="118" t="s">
        <v>2219</v>
      </c>
      <c r="F590" s="118" t="s">
        <v>1769</v>
      </c>
      <c r="G590" s="118">
        <v>1</v>
      </c>
      <c r="H590" s="118">
        <v>11</v>
      </c>
      <c r="I590" s="118">
        <v>10</v>
      </c>
      <c r="J590" s="118">
        <v>79.8</v>
      </c>
      <c r="K590" s="118"/>
      <c r="L590" s="122">
        <v>-3.29</v>
      </c>
      <c r="M590" s="122">
        <v>-4.9800000000000004</v>
      </c>
      <c r="N590" s="118">
        <v>-0.49</v>
      </c>
      <c r="O590" s="123" t="s">
        <v>1760</v>
      </c>
    </row>
    <row r="591" spans="1:15" ht="57.6">
      <c r="A591" s="118" t="s">
        <v>2755</v>
      </c>
      <c r="B591" s="118" t="s">
        <v>1743</v>
      </c>
      <c r="C591" s="118" t="s">
        <v>1749</v>
      </c>
      <c r="D591" s="119">
        <v>43789</v>
      </c>
      <c r="E591" s="118" t="s">
        <v>2756</v>
      </c>
      <c r="F591" s="118" t="s">
        <v>1769</v>
      </c>
      <c r="G591" s="118">
        <v>2</v>
      </c>
      <c r="H591" s="118">
        <v>5</v>
      </c>
      <c r="I591" s="118">
        <v>9.1</v>
      </c>
      <c r="J591" s="118">
        <v>80.5</v>
      </c>
      <c r="K591" s="118">
        <v>13</v>
      </c>
      <c r="L591" s="122">
        <v>-2.2200000000000002</v>
      </c>
      <c r="M591" s="122">
        <v>-2.0499999999999998</v>
      </c>
      <c r="N591" s="118">
        <v>-1.47</v>
      </c>
      <c r="O591" s="123" t="s">
        <v>1760</v>
      </c>
    </row>
    <row r="592" spans="1:15" ht="43.2">
      <c r="A592" s="118" t="s">
        <v>2757</v>
      </c>
      <c r="B592" s="118" t="s">
        <v>1752</v>
      </c>
      <c r="C592" s="118" t="s">
        <v>1749</v>
      </c>
      <c r="D592" s="119">
        <v>43589</v>
      </c>
      <c r="E592" s="118" t="s">
        <v>2758</v>
      </c>
      <c r="F592" s="118" t="s">
        <v>1769</v>
      </c>
      <c r="G592" s="118">
        <v>8</v>
      </c>
      <c r="H592" s="118">
        <v>5</v>
      </c>
      <c r="I592" s="118">
        <v>10</v>
      </c>
      <c r="J592" s="118">
        <v>82.7</v>
      </c>
      <c r="K592" s="118">
        <v>14.3</v>
      </c>
      <c r="L592" s="122">
        <v>-2.69</v>
      </c>
      <c r="M592" s="122">
        <v>-3.12</v>
      </c>
      <c r="N592" s="118">
        <v>-1.32</v>
      </c>
      <c r="O592" s="123" t="s">
        <v>1760</v>
      </c>
    </row>
    <row r="593" spans="1:15" ht="43.2">
      <c r="A593" s="118" t="s">
        <v>2759</v>
      </c>
      <c r="B593" s="118" t="s">
        <v>1752</v>
      </c>
      <c r="C593" s="118" t="s">
        <v>1755</v>
      </c>
      <c r="D593" s="119">
        <v>44576</v>
      </c>
      <c r="E593" s="118" t="s">
        <v>2760</v>
      </c>
      <c r="F593" s="118" t="s">
        <v>1769</v>
      </c>
      <c r="G593" s="118">
        <v>4</v>
      </c>
      <c r="H593" s="118">
        <v>5</v>
      </c>
      <c r="I593" s="118">
        <v>2.4</v>
      </c>
      <c r="J593" s="118">
        <v>47</v>
      </c>
      <c r="K593" s="118"/>
      <c r="L593" s="122">
        <v>-3.06</v>
      </c>
      <c r="M593" s="122">
        <v>-2.5099999999999998</v>
      </c>
      <c r="N593" s="118">
        <v>-2.15</v>
      </c>
      <c r="O593" s="123" t="s">
        <v>1747</v>
      </c>
    </row>
    <row r="594" spans="1:15" ht="43.2">
      <c r="A594" s="118" t="s">
        <v>2761</v>
      </c>
      <c r="B594" s="118" t="s">
        <v>1752</v>
      </c>
      <c r="C594" s="118" t="s">
        <v>1755</v>
      </c>
      <c r="D594" s="119">
        <v>44586</v>
      </c>
      <c r="E594" s="118" t="s">
        <v>2663</v>
      </c>
      <c r="F594" s="118" t="s">
        <v>1774</v>
      </c>
      <c r="G594" s="118">
        <v>4</v>
      </c>
      <c r="H594" s="118">
        <v>4</v>
      </c>
      <c r="I594" s="118">
        <v>2.8</v>
      </c>
      <c r="J594" s="118">
        <v>49</v>
      </c>
      <c r="K594" s="118"/>
      <c r="L594" s="122">
        <v>-2.9</v>
      </c>
      <c r="M594" s="122">
        <v>-2.2000000000000002</v>
      </c>
      <c r="N594" s="118">
        <v>-1.78</v>
      </c>
      <c r="O594" s="123" t="s">
        <v>1760</v>
      </c>
    </row>
    <row r="595" spans="1:15" ht="72">
      <c r="A595" s="118" t="s">
        <v>2762</v>
      </c>
      <c r="B595" s="118" t="s">
        <v>1752</v>
      </c>
      <c r="C595" s="118" t="s">
        <v>1779</v>
      </c>
      <c r="D595" s="119">
        <v>43113</v>
      </c>
      <c r="E595" s="118" t="s">
        <v>2667</v>
      </c>
      <c r="F595" s="118" t="s">
        <v>1774</v>
      </c>
      <c r="G595" s="118">
        <v>7</v>
      </c>
      <c r="H595" s="118">
        <v>3</v>
      </c>
      <c r="I595" s="118">
        <v>13.6</v>
      </c>
      <c r="J595" s="118">
        <v>98</v>
      </c>
      <c r="K595" s="118">
        <v>15</v>
      </c>
      <c r="L595" s="122">
        <v>-2.2599999999999998</v>
      </c>
      <c r="M595" s="122">
        <v>-2.57</v>
      </c>
      <c r="N595" s="118">
        <v>-1.07</v>
      </c>
      <c r="O595" s="123" t="s">
        <v>1760</v>
      </c>
    </row>
    <row r="596" spans="1:15" ht="43.2">
      <c r="A596" s="118" t="s">
        <v>2763</v>
      </c>
      <c r="B596" s="118" t="s">
        <v>1743</v>
      </c>
      <c r="C596" s="118" t="s">
        <v>1744</v>
      </c>
      <c r="D596" s="119">
        <v>44312</v>
      </c>
      <c r="E596" s="118" t="s">
        <v>2262</v>
      </c>
      <c r="F596" s="118" t="s">
        <v>1774</v>
      </c>
      <c r="G596" s="118">
        <v>1</v>
      </c>
      <c r="H596" s="118">
        <v>7</v>
      </c>
      <c r="I596" s="118">
        <v>8</v>
      </c>
      <c r="J596" s="118">
        <v>75</v>
      </c>
      <c r="K596" s="118">
        <v>13</v>
      </c>
      <c r="L596" s="122">
        <v>-2.5</v>
      </c>
      <c r="M596" s="122">
        <v>-2.7</v>
      </c>
      <c r="N596" s="118">
        <v>-1.53</v>
      </c>
      <c r="O596" s="123" t="s">
        <v>1760</v>
      </c>
    </row>
    <row r="597" spans="1:15" ht="43.2">
      <c r="A597" s="118" t="s">
        <v>2764</v>
      </c>
      <c r="B597" s="118" t="s">
        <v>1752</v>
      </c>
      <c r="C597" s="118" t="s">
        <v>1786</v>
      </c>
      <c r="D597" s="119">
        <v>43334</v>
      </c>
      <c r="E597" s="118" t="s">
        <v>2685</v>
      </c>
      <c r="F597" s="118" t="s">
        <v>1777</v>
      </c>
      <c r="G597" s="118">
        <v>3</v>
      </c>
      <c r="H597" s="118">
        <v>12</v>
      </c>
      <c r="I597" s="118">
        <v>11</v>
      </c>
      <c r="J597" s="118">
        <v>93</v>
      </c>
      <c r="K597" s="118">
        <v>14</v>
      </c>
      <c r="L597" s="122">
        <v>-3.44</v>
      </c>
      <c r="M597" s="122">
        <v>-2.96</v>
      </c>
      <c r="N597" s="118">
        <v>-2.73</v>
      </c>
      <c r="O597" s="123" t="s">
        <v>1747</v>
      </c>
    </row>
    <row r="598" spans="1:15" ht="57.6">
      <c r="A598" s="118" t="s">
        <v>2765</v>
      </c>
      <c r="B598" s="118" t="s">
        <v>1752</v>
      </c>
      <c r="C598" s="118" t="s">
        <v>1749</v>
      </c>
      <c r="D598" s="119">
        <v>43647</v>
      </c>
      <c r="E598" s="118" t="s">
        <v>2687</v>
      </c>
      <c r="F598" s="118" t="s">
        <v>1777</v>
      </c>
      <c r="G598" s="118"/>
      <c r="H598" s="118">
        <v>1</v>
      </c>
      <c r="I598" s="118">
        <v>11.7</v>
      </c>
      <c r="J598" s="118">
        <v>90</v>
      </c>
      <c r="K598" s="118">
        <v>14.5</v>
      </c>
      <c r="L598" s="122">
        <v>-2.2400000000000002</v>
      </c>
      <c r="M598" s="122">
        <v>-2.5299999999999998</v>
      </c>
      <c r="N598" s="118">
        <v>-1.22</v>
      </c>
      <c r="O598" s="123" t="s">
        <v>1760</v>
      </c>
    </row>
    <row r="599" spans="1:15" ht="43.2">
      <c r="A599" s="118" t="s">
        <v>2766</v>
      </c>
      <c r="B599" s="118" t="s">
        <v>1743</v>
      </c>
      <c r="C599" s="118" t="s">
        <v>1786</v>
      </c>
      <c r="D599" s="119">
        <v>43293</v>
      </c>
      <c r="E599" s="118" t="s">
        <v>2509</v>
      </c>
      <c r="F599" s="118" t="s">
        <v>1777</v>
      </c>
      <c r="G599" s="118">
        <v>2</v>
      </c>
      <c r="H599" s="118">
        <v>10</v>
      </c>
      <c r="I599" s="118">
        <v>11.5</v>
      </c>
      <c r="J599" s="118">
        <v>90</v>
      </c>
      <c r="K599" s="118"/>
      <c r="L599" s="122">
        <v>-2.99</v>
      </c>
      <c r="M599" s="122">
        <v>-3.58</v>
      </c>
      <c r="N599" s="118">
        <v>-1.0900000000000001</v>
      </c>
      <c r="O599" s="123" t="s">
        <v>1760</v>
      </c>
    </row>
    <row r="600" spans="1:15" ht="57.6">
      <c r="A600" s="118" t="s">
        <v>2767</v>
      </c>
      <c r="B600" s="118" t="s">
        <v>1752</v>
      </c>
      <c r="C600" s="118" t="s">
        <v>1749</v>
      </c>
      <c r="D600" s="119">
        <v>43669</v>
      </c>
      <c r="E600" s="118" t="s">
        <v>2107</v>
      </c>
      <c r="F600" s="118" t="s">
        <v>1777</v>
      </c>
      <c r="G600" s="118">
        <v>4</v>
      </c>
      <c r="H600" s="118">
        <v>2</v>
      </c>
      <c r="I600" s="118">
        <v>10.5</v>
      </c>
      <c r="J600" s="118">
        <v>88</v>
      </c>
      <c r="K600" s="118"/>
      <c r="L600" s="122">
        <v>-3.08</v>
      </c>
      <c r="M600" s="122">
        <v>-2.96</v>
      </c>
      <c r="N600" s="118">
        <v>-2.13</v>
      </c>
      <c r="O600" s="123" t="s">
        <v>1747</v>
      </c>
    </row>
    <row r="601" spans="1:15" ht="43.2">
      <c r="A601" s="118" t="s">
        <v>2768</v>
      </c>
      <c r="B601" s="118" t="s">
        <v>1752</v>
      </c>
      <c r="C601" s="118" t="s">
        <v>1749</v>
      </c>
      <c r="D601" s="119">
        <v>43717</v>
      </c>
      <c r="E601" s="118" t="s">
        <v>2642</v>
      </c>
      <c r="F601" s="118" t="s">
        <v>1777</v>
      </c>
      <c r="G601" s="118">
        <v>1</v>
      </c>
      <c r="H601" s="118">
        <v>1</v>
      </c>
      <c r="I601" s="118">
        <v>10</v>
      </c>
      <c r="J601" s="118">
        <v>84</v>
      </c>
      <c r="K601" s="118"/>
      <c r="L601" s="122">
        <v>-3.34</v>
      </c>
      <c r="M601" s="122">
        <v>-3.79</v>
      </c>
      <c r="N601" s="118">
        <v>-1.67</v>
      </c>
      <c r="O601" s="123" t="s">
        <v>1760</v>
      </c>
    </row>
    <row r="602" spans="1:15" ht="43.2">
      <c r="A602" s="118" t="s">
        <v>2769</v>
      </c>
      <c r="B602" s="118" t="s">
        <v>1743</v>
      </c>
      <c r="C602" s="118" t="s">
        <v>1744</v>
      </c>
      <c r="D602" s="119">
        <v>43956</v>
      </c>
      <c r="E602" s="118" t="s">
        <v>2511</v>
      </c>
      <c r="F602" s="118" t="s">
        <v>1777</v>
      </c>
      <c r="G602" s="118">
        <v>8</v>
      </c>
      <c r="H602" s="118">
        <v>9</v>
      </c>
      <c r="I602" s="118">
        <v>10.3</v>
      </c>
      <c r="J602" s="118">
        <v>81</v>
      </c>
      <c r="K602" s="118"/>
      <c r="L602" s="122">
        <v>-2</v>
      </c>
      <c r="M602" s="122">
        <v>-3.14</v>
      </c>
      <c r="N602" s="118">
        <v>-0.16</v>
      </c>
      <c r="O602" s="123" t="s">
        <v>1760</v>
      </c>
    </row>
    <row r="603" spans="1:15" ht="43.2">
      <c r="A603" s="118" t="s">
        <v>2770</v>
      </c>
      <c r="B603" s="118" t="s">
        <v>1752</v>
      </c>
      <c r="C603" s="118" t="s">
        <v>2055</v>
      </c>
      <c r="D603" s="119">
        <v>44956</v>
      </c>
      <c r="E603" s="118" t="s">
        <v>1776</v>
      </c>
      <c r="F603" s="118" t="s">
        <v>1777</v>
      </c>
      <c r="G603" s="118">
        <v>1</v>
      </c>
      <c r="H603" s="118">
        <v>2</v>
      </c>
      <c r="I603" s="118">
        <v>3</v>
      </c>
      <c r="J603" s="118">
        <v>50</v>
      </c>
      <c r="K603" s="118"/>
      <c r="L603" s="122">
        <v>-2.81</v>
      </c>
      <c r="M603" s="122">
        <v>-2.04</v>
      </c>
      <c r="N603" s="118">
        <v>-1.7</v>
      </c>
      <c r="O603" s="123" t="s">
        <v>1760</v>
      </c>
    </row>
    <row r="604" spans="1:15" ht="43.2">
      <c r="A604" s="118" t="s">
        <v>2771</v>
      </c>
      <c r="B604" s="118" t="s">
        <v>1752</v>
      </c>
      <c r="C604" s="118" t="s">
        <v>2055</v>
      </c>
      <c r="D604" s="119">
        <v>44954</v>
      </c>
      <c r="E604" s="118" t="s">
        <v>2518</v>
      </c>
      <c r="F604" s="118" t="s">
        <v>1777</v>
      </c>
      <c r="G604" s="118">
        <v>5</v>
      </c>
      <c r="H604" s="118">
        <v>2</v>
      </c>
      <c r="I604" s="118">
        <v>2.6</v>
      </c>
      <c r="J604" s="118">
        <v>49</v>
      </c>
      <c r="K604" s="118"/>
      <c r="L604" s="122">
        <v>-3.56</v>
      </c>
      <c r="M604" s="122">
        <v>-2.41</v>
      </c>
      <c r="N604" s="118">
        <v>-2.67</v>
      </c>
      <c r="O604" s="123" t="s">
        <v>1747</v>
      </c>
    </row>
    <row r="605" spans="1:15" ht="43.2">
      <c r="A605" s="118" t="s">
        <v>2772</v>
      </c>
      <c r="B605" s="118" t="s">
        <v>1743</v>
      </c>
      <c r="C605" s="118" t="s">
        <v>1744</v>
      </c>
      <c r="D605" s="119">
        <v>44104</v>
      </c>
      <c r="E605" s="118" t="s">
        <v>2513</v>
      </c>
      <c r="F605" s="118" t="s">
        <v>1777</v>
      </c>
      <c r="G605" s="118">
        <v>3</v>
      </c>
      <c r="H605" s="118">
        <v>10</v>
      </c>
      <c r="I605" s="118">
        <v>8.1</v>
      </c>
      <c r="J605" s="118">
        <v>76</v>
      </c>
      <c r="K605" s="118">
        <v>13</v>
      </c>
      <c r="L605" s="122">
        <v>-3.41</v>
      </c>
      <c r="M605" s="122">
        <v>-3.68</v>
      </c>
      <c r="N605" s="118">
        <v>-1.78</v>
      </c>
      <c r="O605" s="123" t="s">
        <v>1760</v>
      </c>
    </row>
    <row r="606" spans="1:15" ht="43.2">
      <c r="A606" s="118" t="s">
        <v>2773</v>
      </c>
      <c r="B606" s="118" t="s">
        <v>1752</v>
      </c>
      <c r="C606" s="118" t="s">
        <v>1744</v>
      </c>
      <c r="D606" s="119">
        <v>44169</v>
      </c>
      <c r="E606" s="118" t="s">
        <v>2019</v>
      </c>
      <c r="F606" s="118" t="s">
        <v>1777</v>
      </c>
      <c r="G606" s="118">
        <v>1</v>
      </c>
      <c r="H606" s="118">
        <v>15</v>
      </c>
      <c r="I606" s="118">
        <v>8.1999999999999993</v>
      </c>
      <c r="J606" s="118">
        <v>77</v>
      </c>
      <c r="K606" s="118">
        <v>14</v>
      </c>
      <c r="L606" s="122">
        <v>-3.54</v>
      </c>
      <c r="M606" s="122">
        <v>-3.55</v>
      </c>
      <c r="N606" s="118">
        <v>-2.5099999999999998</v>
      </c>
      <c r="O606" s="123" t="s">
        <v>1747</v>
      </c>
    </row>
    <row r="607" spans="1:15" ht="43.2">
      <c r="A607" s="118" t="s">
        <v>2774</v>
      </c>
      <c r="B607" s="118" t="s">
        <v>1752</v>
      </c>
      <c r="C607" s="118" t="s">
        <v>1779</v>
      </c>
      <c r="D607" s="119">
        <v>43121</v>
      </c>
      <c r="E607" s="118" t="s">
        <v>2691</v>
      </c>
      <c r="F607" s="118" t="s">
        <v>1777</v>
      </c>
      <c r="G607" s="118"/>
      <c r="H607" s="118">
        <v>1</v>
      </c>
      <c r="I607" s="118">
        <v>14.5</v>
      </c>
      <c r="J607" s="118">
        <v>96</v>
      </c>
      <c r="K607" s="118">
        <v>15</v>
      </c>
      <c r="L607" s="122">
        <v>-1.74</v>
      </c>
      <c r="M607" s="122">
        <v>-2.97</v>
      </c>
      <c r="N607" s="118">
        <v>0.17</v>
      </c>
      <c r="O607" s="123" t="s">
        <v>1760</v>
      </c>
    </row>
    <row r="608" spans="1:15" ht="43.2">
      <c r="A608" s="118" t="s">
        <v>2775</v>
      </c>
      <c r="B608" s="118" t="s">
        <v>1743</v>
      </c>
      <c r="C608" s="118" t="s">
        <v>1755</v>
      </c>
      <c r="D608" s="119">
        <v>44624</v>
      </c>
      <c r="E608" s="118" t="s">
        <v>2285</v>
      </c>
      <c r="F608" s="118" t="s">
        <v>2190</v>
      </c>
      <c r="G608" s="118">
        <v>5</v>
      </c>
      <c r="H608" s="118">
        <v>2</v>
      </c>
      <c r="I608" s="118">
        <v>5.5</v>
      </c>
      <c r="J608" s="118">
        <v>62</v>
      </c>
      <c r="K608" s="118">
        <v>13</v>
      </c>
      <c r="L608" s="122">
        <v>-3.64</v>
      </c>
      <c r="M608" s="122">
        <v>-3.91</v>
      </c>
      <c r="N608" s="118">
        <v>-1.66</v>
      </c>
      <c r="O608" s="123" t="s">
        <v>1760</v>
      </c>
    </row>
    <row r="609" spans="1:15" ht="43.2">
      <c r="A609" s="118" t="s">
        <v>2776</v>
      </c>
      <c r="B609" s="118" t="s">
        <v>1752</v>
      </c>
      <c r="C609" s="118" t="s">
        <v>1749</v>
      </c>
      <c r="D609" s="119">
        <v>43892</v>
      </c>
      <c r="E609" s="118" t="s">
        <v>2777</v>
      </c>
      <c r="F609" s="118" t="s">
        <v>2190</v>
      </c>
      <c r="G609" s="118">
        <v>1</v>
      </c>
      <c r="H609" s="118">
        <v>2</v>
      </c>
      <c r="I609" s="118">
        <v>10.9</v>
      </c>
      <c r="J609" s="118">
        <v>86</v>
      </c>
      <c r="K609" s="118">
        <v>14</v>
      </c>
      <c r="L609" s="122">
        <v>-2.12</v>
      </c>
      <c r="M609" s="122">
        <v>-2.4500000000000002</v>
      </c>
      <c r="N609" s="118">
        <v>-1.1200000000000001</v>
      </c>
      <c r="O609" s="123" t="s">
        <v>1760</v>
      </c>
    </row>
    <row r="610" spans="1:15" ht="43.2">
      <c r="A610" s="118" t="s">
        <v>2778</v>
      </c>
      <c r="B610" s="118" t="s">
        <v>1743</v>
      </c>
      <c r="C610" s="118" t="s">
        <v>1779</v>
      </c>
      <c r="D610" s="119">
        <v>43109</v>
      </c>
      <c r="E610" s="118" t="s">
        <v>2287</v>
      </c>
      <c r="F610" s="118" t="s">
        <v>2190</v>
      </c>
      <c r="G610" s="118">
        <v>5</v>
      </c>
      <c r="H610" s="118">
        <v>2</v>
      </c>
      <c r="I610" s="118">
        <v>18</v>
      </c>
      <c r="J610" s="118">
        <v>96</v>
      </c>
      <c r="K610" s="118">
        <v>16</v>
      </c>
      <c r="L610" s="122">
        <v>-0.08</v>
      </c>
      <c r="M610" s="122">
        <v>-2.82</v>
      </c>
      <c r="N610" s="118">
        <v>2.56</v>
      </c>
      <c r="O610" s="123" t="s">
        <v>2078</v>
      </c>
    </row>
    <row r="611" spans="1:15" ht="43.2">
      <c r="A611" s="118" t="s">
        <v>2779</v>
      </c>
      <c r="B611" s="118" t="s">
        <v>1743</v>
      </c>
      <c r="C611" s="118" t="s">
        <v>1779</v>
      </c>
      <c r="D611" s="119">
        <v>43150</v>
      </c>
      <c r="E611" s="118" t="s">
        <v>2780</v>
      </c>
      <c r="F611" s="118" t="s">
        <v>2190</v>
      </c>
      <c r="G611" s="118">
        <v>3</v>
      </c>
      <c r="H611" s="118">
        <v>1</v>
      </c>
      <c r="I611" s="118">
        <v>11.9</v>
      </c>
      <c r="J611" s="118">
        <v>85.5</v>
      </c>
      <c r="K611" s="118">
        <v>16</v>
      </c>
      <c r="L611" s="122">
        <v>-3.01</v>
      </c>
      <c r="M611" s="122">
        <v>-4.93</v>
      </c>
      <c r="N611" s="118">
        <v>0.36</v>
      </c>
      <c r="O611" s="123" t="s">
        <v>1760</v>
      </c>
    </row>
    <row r="612" spans="1:15" ht="43.2">
      <c r="A612" s="118" t="s">
        <v>2781</v>
      </c>
      <c r="B612" s="118" t="s">
        <v>1752</v>
      </c>
      <c r="C612" s="118" t="s">
        <v>1779</v>
      </c>
      <c r="D612" s="119">
        <v>43145</v>
      </c>
      <c r="E612" s="118" t="s">
        <v>2693</v>
      </c>
      <c r="F612" s="118" t="s">
        <v>2190</v>
      </c>
      <c r="G612" s="118">
        <v>7</v>
      </c>
      <c r="H612" s="118">
        <v>1</v>
      </c>
      <c r="I612" s="118">
        <v>13</v>
      </c>
      <c r="J612" s="118">
        <v>98</v>
      </c>
      <c r="K612" s="118"/>
      <c r="L612" s="122">
        <v>-2.54</v>
      </c>
      <c r="M612" s="122">
        <v>-2.46</v>
      </c>
      <c r="N612" s="118">
        <v>-1.64</v>
      </c>
      <c r="O612" s="123" t="s">
        <v>1760</v>
      </c>
    </row>
    <row r="613" spans="1:15" ht="43.2">
      <c r="A613" s="118" t="s">
        <v>2782</v>
      </c>
      <c r="B613" s="118" t="s">
        <v>1752</v>
      </c>
      <c r="C613" s="118" t="s">
        <v>1744</v>
      </c>
      <c r="D613" s="119">
        <v>44217</v>
      </c>
      <c r="E613" s="118" t="s">
        <v>2783</v>
      </c>
      <c r="F613" s="118" t="s">
        <v>2190</v>
      </c>
      <c r="G613" s="118">
        <v>4</v>
      </c>
      <c r="H613" s="118">
        <v>1</v>
      </c>
      <c r="I613" s="118">
        <v>13.35</v>
      </c>
      <c r="J613" s="118">
        <v>80</v>
      </c>
      <c r="K613" s="118">
        <v>19</v>
      </c>
      <c r="L613" s="122">
        <v>0.87</v>
      </c>
      <c r="M613" s="122">
        <v>-2.25</v>
      </c>
      <c r="N613" s="118">
        <v>2.69</v>
      </c>
      <c r="O613" s="123" t="s">
        <v>2078</v>
      </c>
    </row>
    <row r="614" spans="1:15" ht="43.2">
      <c r="A614" s="118" t="s">
        <v>2784</v>
      </c>
      <c r="B614" s="118" t="s">
        <v>1752</v>
      </c>
      <c r="C614" s="118" t="s">
        <v>1744</v>
      </c>
      <c r="D614" s="119">
        <v>44286</v>
      </c>
      <c r="E614" s="118" t="s">
        <v>2785</v>
      </c>
      <c r="F614" s="118" t="s">
        <v>2190</v>
      </c>
      <c r="G614" s="118">
        <v>5</v>
      </c>
      <c r="H614" s="118">
        <v>1</v>
      </c>
      <c r="I614" s="118">
        <v>8.8000000000000007</v>
      </c>
      <c r="J614" s="118">
        <v>79</v>
      </c>
      <c r="K614" s="118"/>
      <c r="L614" s="122">
        <v>-2.4500000000000002</v>
      </c>
      <c r="M614" s="122">
        <v>-2.21</v>
      </c>
      <c r="N614" s="118">
        <v>-1.9</v>
      </c>
      <c r="O614" s="123" t="s">
        <v>1760</v>
      </c>
    </row>
    <row r="615" spans="1:15" ht="43.2">
      <c r="A615" s="118" t="s">
        <v>2786</v>
      </c>
      <c r="B615" s="118" t="s">
        <v>1752</v>
      </c>
      <c r="C615" s="118" t="s">
        <v>1755</v>
      </c>
      <c r="D615" s="119">
        <v>44371</v>
      </c>
      <c r="E615" s="118" t="s">
        <v>2531</v>
      </c>
      <c r="F615" s="118" t="s">
        <v>2190</v>
      </c>
      <c r="G615" s="118">
        <v>6</v>
      </c>
      <c r="H615" s="118">
        <v>3</v>
      </c>
      <c r="I615" s="118">
        <v>9</v>
      </c>
      <c r="J615" s="118">
        <v>76.400000000000006</v>
      </c>
      <c r="K615" s="118">
        <v>16.5</v>
      </c>
      <c r="L615" s="122">
        <v>-1.85</v>
      </c>
      <c r="M615" s="122">
        <v>-2.36</v>
      </c>
      <c r="N615" s="118">
        <v>-1.02</v>
      </c>
      <c r="O615" s="123" t="s">
        <v>1760</v>
      </c>
    </row>
    <row r="616" spans="1:15" ht="43.2">
      <c r="A616" s="118" t="s">
        <v>2787</v>
      </c>
      <c r="B616" s="118" t="s">
        <v>1752</v>
      </c>
      <c r="C616" s="118" t="s">
        <v>1755</v>
      </c>
      <c r="D616" s="119">
        <v>44377</v>
      </c>
      <c r="E616" s="118" t="s">
        <v>2298</v>
      </c>
      <c r="F616" s="118" t="s">
        <v>2190</v>
      </c>
      <c r="G616" s="118">
        <v>8</v>
      </c>
      <c r="H616" s="118">
        <v>3</v>
      </c>
      <c r="I616" s="118">
        <v>9.1</v>
      </c>
      <c r="J616" s="118">
        <v>77</v>
      </c>
      <c r="K616" s="118">
        <v>15.5</v>
      </c>
      <c r="L616" s="122">
        <v>-1.73</v>
      </c>
      <c r="M616" s="122">
        <v>-2.11</v>
      </c>
      <c r="N616" s="118">
        <v>-1.02</v>
      </c>
      <c r="O616" s="123" t="s">
        <v>1760</v>
      </c>
    </row>
    <row r="617" spans="1:15" ht="43.2">
      <c r="A617" s="118" t="s">
        <v>2788</v>
      </c>
      <c r="B617" s="118" t="s">
        <v>1752</v>
      </c>
      <c r="C617" s="118" t="s">
        <v>1755</v>
      </c>
      <c r="D617" s="119">
        <v>44651</v>
      </c>
      <c r="E617" s="118" t="s">
        <v>2529</v>
      </c>
      <c r="F617" s="118" t="s">
        <v>2190</v>
      </c>
      <c r="G617" s="118">
        <v>1</v>
      </c>
      <c r="H617" s="118">
        <v>3</v>
      </c>
      <c r="I617" s="118">
        <v>5.9</v>
      </c>
      <c r="J617" s="118">
        <v>65</v>
      </c>
      <c r="K617" s="118">
        <v>13</v>
      </c>
      <c r="L617" s="122">
        <v>-3.72</v>
      </c>
      <c r="M617" s="122">
        <v>-3.27</v>
      </c>
      <c r="N617" s="118">
        <v>-2.63</v>
      </c>
      <c r="O617" s="123" t="s">
        <v>1747</v>
      </c>
    </row>
    <row r="618" spans="1:15" ht="43.2">
      <c r="A618" s="118" t="s">
        <v>2789</v>
      </c>
      <c r="B618" s="118" t="s">
        <v>1752</v>
      </c>
      <c r="C618" s="118" t="s">
        <v>1749</v>
      </c>
      <c r="D618" s="119">
        <v>43878</v>
      </c>
      <c r="E618" s="118" t="s">
        <v>2790</v>
      </c>
      <c r="F618" s="118" t="s">
        <v>2190</v>
      </c>
      <c r="G618" s="118">
        <v>6</v>
      </c>
      <c r="H618" s="118">
        <v>3</v>
      </c>
      <c r="I618" s="118">
        <v>11.3</v>
      </c>
      <c r="J618" s="118">
        <v>88</v>
      </c>
      <c r="K618" s="118">
        <v>16</v>
      </c>
      <c r="L618" s="122">
        <v>-1.88</v>
      </c>
      <c r="M618" s="122">
        <v>-2.0099999999999998</v>
      </c>
      <c r="N618" s="118">
        <v>-1.18</v>
      </c>
      <c r="O618" s="123" t="s">
        <v>1760</v>
      </c>
    </row>
    <row r="619" spans="1:15" ht="43.2">
      <c r="A619" s="118" t="s">
        <v>2791</v>
      </c>
      <c r="B619" s="118" t="s">
        <v>1752</v>
      </c>
      <c r="C619" s="118" t="s">
        <v>1744</v>
      </c>
      <c r="D619" s="119">
        <v>44004</v>
      </c>
      <c r="E619" s="118" t="s">
        <v>2707</v>
      </c>
      <c r="F619" s="118" t="s">
        <v>2190</v>
      </c>
      <c r="G619" s="118">
        <v>4</v>
      </c>
      <c r="H619" s="118">
        <v>3</v>
      </c>
      <c r="I619" s="118">
        <v>9.5</v>
      </c>
      <c r="J619" s="118">
        <v>84.2</v>
      </c>
      <c r="K619" s="118"/>
      <c r="L619" s="122">
        <v>-2.95</v>
      </c>
      <c r="M619" s="122">
        <v>-2.4</v>
      </c>
      <c r="N619" s="118">
        <v>-2.39</v>
      </c>
      <c r="O619" s="123" t="s">
        <v>1747</v>
      </c>
    </row>
    <row r="620" spans="1:15" ht="43.2">
      <c r="A620" s="118" t="s">
        <v>2792</v>
      </c>
      <c r="B620" s="118" t="s">
        <v>1752</v>
      </c>
      <c r="C620" s="118" t="s">
        <v>1744</v>
      </c>
      <c r="D620" s="119">
        <v>44051</v>
      </c>
      <c r="E620" s="118" t="s">
        <v>2696</v>
      </c>
      <c r="F620" s="118" t="s">
        <v>2190</v>
      </c>
      <c r="G620" s="118">
        <v>5</v>
      </c>
      <c r="H620" s="118">
        <v>3</v>
      </c>
      <c r="I620" s="118">
        <v>10</v>
      </c>
      <c r="J620" s="118">
        <v>83.5</v>
      </c>
      <c r="K620" s="118">
        <v>14</v>
      </c>
      <c r="L620" s="122">
        <v>-2.34</v>
      </c>
      <c r="M620" s="122">
        <v>-2.31</v>
      </c>
      <c r="N620" s="118">
        <v>-1.53</v>
      </c>
      <c r="O620" s="123" t="s">
        <v>1760</v>
      </c>
    </row>
    <row r="621" spans="1:15" ht="43.2">
      <c r="A621" s="118" t="s">
        <v>2793</v>
      </c>
      <c r="B621" s="118" t="s">
        <v>1752</v>
      </c>
      <c r="C621" s="118" t="s">
        <v>1779</v>
      </c>
      <c r="D621" s="119">
        <v>43187</v>
      </c>
      <c r="E621" s="118" t="s">
        <v>2711</v>
      </c>
      <c r="F621" s="118" t="s">
        <v>2190</v>
      </c>
      <c r="G621" s="118">
        <v>5</v>
      </c>
      <c r="H621" s="118">
        <v>3</v>
      </c>
      <c r="I621" s="118">
        <v>13.9</v>
      </c>
      <c r="J621" s="118">
        <v>97</v>
      </c>
      <c r="K621" s="118"/>
      <c r="L621" s="122">
        <v>-1.94</v>
      </c>
      <c r="M621" s="122">
        <v>-2.56</v>
      </c>
      <c r="N621" s="118">
        <v>-0.56999999999999995</v>
      </c>
      <c r="O621" s="123" t="s">
        <v>1760</v>
      </c>
    </row>
    <row r="622" spans="1:15" ht="43.2">
      <c r="A622" s="118" t="s">
        <v>2794</v>
      </c>
      <c r="B622" s="118" t="s">
        <v>1752</v>
      </c>
      <c r="C622" s="118" t="s">
        <v>1786</v>
      </c>
      <c r="D622" s="119">
        <v>43231</v>
      </c>
      <c r="E622" s="118" t="s">
        <v>2705</v>
      </c>
      <c r="F622" s="118" t="s">
        <v>2190</v>
      </c>
      <c r="G622" s="118">
        <v>4</v>
      </c>
      <c r="H622" s="118">
        <v>3</v>
      </c>
      <c r="I622" s="118">
        <v>12.5</v>
      </c>
      <c r="J622" s="118">
        <v>95.5</v>
      </c>
      <c r="K622" s="118"/>
      <c r="L622" s="122">
        <v>-2.68</v>
      </c>
      <c r="M622" s="122">
        <v>-2.75</v>
      </c>
      <c r="N622" s="118">
        <v>-1.6</v>
      </c>
      <c r="O622" s="123" t="s">
        <v>1760</v>
      </c>
    </row>
    <row r="623" spans="1:15" ht="43.2">
      <c r="A623" s="118" t="s">
        <v>2795</v>
      </c>
      <c r="B623" s="118" t="s">
        <v>1743</v>
      </c>
      <c r="C623" s="118" t="s">
        <v>1786</v>
      </c>
      <c r="D623" s="119">
        <v>43466</v>
      </c>
      <c r="E623" s="118" t="s">
        <v>2796</v>
      </c>
      <c r="F623" s="118" t="s">
        <v>2190</v>
      </c>
      <c r="G623" s="118">
        <v>5</v>
      </c>
      <c r="H623" s="118">
        <v>3</v>
      </c>
      <c r="I623" s="118">
        <v>11.1</v>
      </c>
      <c r="J623" s="118">
        <v>89</v>
      </c>
      <c r="K623" s="118"/>
      <c r="L623" s="122">
        <v>-2.87</v>
      </c>
      <c r="M623" s="122">
        <v>-3.23</v>
      </c>
      <c r="N623" s="118">
        <v>-1.27</v>
      </c>
      <c r="O623" s="123" t="s">
        <v>1760</v>
      </c>
    </row>
    <row r="624" spans="1:15" ht="43.2">
      <c r="A624" s="118" t="s">
        <v>2797</v>
      </c>
      <c r="B624" s="118" t="s">
        <v>1752</v>
      </c>
      <c r="C624" s="118" t="s">
        <v>1786</v>
      </c>
      <c r="D624" s="119">
        <v>43519</v>
      </c>
      <c r="E624" s="118" t="s">
        <v>2554</v>
      </c>
      <c r="F624" s="118" t="s">
        <v>2190</v>
      </c>
      <c r="G624" s="118">
        <v>3</v>
      </c>
      <c r="H624" s="118">
        <v>5</v>
      </c>
      <c r="I624" s="118">
        <v>11.9</v>
      </c>
      <c r="J624" s="118">
        <v>90.5</v>
      </c>
      <c r="K624" s="118"/>
      <c r="L624" s="122">
        <v>-2.44</v>
      </c>
      <c r="M624" s="122">
        <v>-2.91</v>
      </c>
      <c r="N624" s="118">
        <v>-1.1200000000000001</v>
      </c>
      <c r="O624" s="123" t="s">
        <v>1760</v>
      </c>
    </row>
    <row r="625" spans="1:15" ht="43.2">
      <c r="A625" s="118" t="s">
        <v>2798</v>
      </c>
      <c r="B625" s="118" t="s">
        <v>1752</v>
      </c>
      <c r="C625" s="118" t="s">
        <v>1744</v>
      </c>
      <c r="D625" s="119">
        <v>43979</v>
      </c>
      <c r="E625" s="118" t="s">
        <v>2799</v>
      </c>
      <c r="F625" s="118" t="s">
        <v>2190</v>
      </c>
      <c r="G625" s="118">
        <v>1</v>
      </c>
      <c r="H625" s="118">
        <v>5</v>
      </c>
      <c r="I625" s="118">
        <v>10</v>
      </c>
      <c r="J625" s="118">
        <v>86</v>
      </c>
      <c r="K625" s="118">
        <v>47</v>
      </c>
      <c r="L625" s="122">
        <v>-2.6</v>
      </c>
      <c r="M625" s="122">
        <v>-2.0299999999999998</v>
      </c>
      <c r="N625" s="118">
        <v>-2.23</v>
      </c>
      <c r="O625" s="123" t="s">
        <v>1747</v>
      </c>
    </row>
    <row r="626" spans="1:15" ht="43.2">
      <c r="A626" s="118" t="s">
        <v>2800</v>
      </c>
      <c r="B626" s="118" t="s">
        <v>1743</v>
      </c>
      <c r="C626" s="118" t="s">
        <v>1744</v>
      </c>
      <c r="D626" s="119">
        <v>44145</v>
      </c>
      <c r="E626" s="118" t="s">
        <v>2801</v>
      </c>
      <c r="F626" s="118" t="s">
        <v>2190</v>
      </c>
      <c r="G626" s="118">
        <v>1</v>
      </c>
      <c r="H626" s="118">
        <v>1</v>
      </c>
      <c r="I626" s="118">
        <v>10.5</v>
      </c>
      <c r="J626" s="118">
        <v>78.099999999999994</v>
      </c>
      <c r="K626" s="118"/>
      <c r="L626" s="122">
        <v>-1.03</v>
      </c>
      <c r="M626" s="122">
        <v>-2.82</v>
      </c>
      <c r="N626" s="118">
        <v>0.7</v>
      </c>
      <c r="O626" s="123" t="s">
        <v>1760</v>
      </c>
    </row>
    <row r="627" spans="1:15" ht="43.2">
      <c r="A627" s="118" t="s">
        <v>2802</v>
      </c>
      <c r="B627" s="118" t="s">
        <v>1752</v>
      </c>
      <c r="C627" s="118" t="s">
        <v>1744</v>
      </c>
      <c r="D627" s="119">
        <v>44154</v>
      </c>
      <c r="E627" s="118" t="s">
        <v>2803</v>
      </c>
      <c r="F627" s="118" t="s">
        <v>2190</v>
      </c>
      <c r="G627" s="118">
        <v>6</v>
      </c>
      <c r="H627" s="118">
        <v>3</v>
      </c>
      <c r="I627" s="118">
        <v>9.3000000000000007</v>
      </c>
      <c r="J627" s="118">
        <v>78.5</v>
      </c>
      <c r="K627" s="118"/>
      <c r="L627" s="122">
        <v>-2.58</v>
      </c>
      <c r="M627" s="122">
        <v>-3.2</v>
      </c>
      <c r="N627" s="118">
        <v>-1.25</v>
      </c>
      <c r="O627" s="123" t="s">
        <v>1760</v>
      </c>
    </row>
    <row r="628" spans="1:15" ht="43.2">
      <c r="A628" s="118" t="s">
        <v>2804</v>
      </c>
      <c r="B628" s="118" t="s">
        <v>1752</v>
      </c>
      <c r="C628" s="118" t="s">
        <v>1755</v>
      </c>
      <c r="D628" s="119">
        <v>44489</v>
      </c>
      <c r="E628" s="118" t="s">
        <v>2805</v>
      </c>
      <c r="F628" s="118" t="s">
        <v>2190</v>
      </c>
      <c r="G628" s="118">
        <v>5</v>
      </c>
      <c r="H628" s="118">
        <v>1</v>
      </c>
      <c r="I628" s="118">
        <v>9.5</v>
      </c>
      <c r="J628" s="118">
        <v>72</v>
      </c>
      <c r="K628" s="118">
        <v>17</v>
      </c>
      <c r="L628" s="122">
        <v>-0.67</v>
      </c>
      <c r="M628" s="122">
        <v>-2.67</v>
      </c>
      <c r="N628" s="118">
        <v>0.82</v>
      </c>
      <c r="O628" s="123" t="s">
        <v>1760</v>
      </c>
    </row>
    <row r="629" spans="1:15" ht="43.2">
      <c r="A629" s="118" t="s">
        <v>2806</v>
      </c>
      <c r="B629" s="118" t="s">
        <v>1752</v>
      </c>
      <c r="C629" s="118" t="s">
        <v>1755</v>
      </c>
      <c r="D629" s="119">
        <v>44494</v>
      </c>
      <c r="E629" s="118" t="s">
        <v>2807</v>
      </c>
      <c r="F629" s="118" t="s">
        <v>2190</v>
      </c>
      <c r="G629" s="118">
        <v>4</v>
      </c>
      <c r="H629" s="118">
        <v>2</v>
      </c>
      <c r="I629" s="118">
        <v>7.6</v>
      </c>
      <c r="J629" s="118">
        <v>72</v>
      </c>
      <c r="K629" s="118">
        <v>16</v>
      </c>
      <c r="L629" s="122">
        <v>-2.65</v>
      </c>
      <c r="M629" s="122">
        <v>-2.61</v>
      </c>
      <c r="N629" s="118">
        <v>-1.92</v>
      </c>
      <c r="O629" s="123" t="s">
        <v>1760</v>
      </c>
    </row>
    <row r="630" spans="1:15" ht="43.2">
      <c r="A630" s="118" t="s">
        <v>2808</v>
      </c>
      <c r="B630" s="118" t="s">
        <v>1743</v>
      </c>
      <c r="C630" s="118" t="s">
        <v>1749</v>
      </c>
      <c r="D630" s="119">
        <v>43593</v>
      </c>
      <c r="E630" s="118" t="s">
        <v>2809</v>
      </c>
      <c r="F630" s="118" t="s">
        <v>2190</v>
      </c>
      <c r="G630" s="118">
        <v>7</v>
      </c>
      <c r="H630" s="118">
        <v>3</v>
      </c>
      <c r="I630" s="118">
        <v>11.6</v>
      </c>
      <c r="J630" s="118">
        <v>87.3</v>
      </c>
      <c r="K630" s="118">
        <v>15</v>
      </c>
      <c r="L630" s="122">
        <v>-2.16</v>
      </c>
      <c r="M630" s="122">
        <v>-3.14</v>
      </c>
      <c r="N630" s="118">
        <v>-0.36</v>
      </c>
      <c r="O630" s="123" t="s">
        <v>1760</v>
      </c>
    </row>
    <row r="631" spans="1:15" ht="43.2">
      <c r="A631" s="118" t="s">
        <v>2810</v>
      </c>
      <c r="B631" s="118" t="s">
        <v>1752</v>
      </c>
      <c r="C631" s="118" t="s">
        <v>1786</v>
      </c>
      <c r="D631" s="119">
        <v>43487</v>
      </c>
      <c r="E631" s="118" t="s">
        <v>2811</v>
      </c>
      <c r="F631" s="118" t="s">
        <v>2190</v>
      </c>
      <c r="G631" s="118">
        <v>6</v>
      </c>
      <c r="H631" s="118">
        <v>3</v>
      </c>
      <c r="I631" s="118">
        <v>13.7</v>
      </c>
      <c r="J631" s="118">
        <v>93</v>
      </c>
      <c r="K631" s="118">
        <v>15</v>
      </c>
      <c r="L631" s="122">
        <v>-1.38</v>
      </c>
      <c r="M631" s="122">
        <v>-2.44</v>
      </c>
      <c r="N631" s="118">
        <v>0.1</v>
      </c>
      <c r="O631" s="123" t="s">
        <v>1760</v>
      </c>
    </row>
    <row r="632" spans="1:15" ht="43.2">
      <c r="A632" s="118" t="s">
        <v>2812</v>
      </c>
      <c r="B632" s="118" t="s">
        <v>1743</v>
      </c>
      <c r="C632" s="118" t="s">
        <v>1744</v>
      </c>
      <c r="D632" s="119">
        <v>44272</v>
      </c>
      <c r="E632" s="118" t="s">
        <v>2813</v>
      </c>
      <c r="F632" s="118" t="s">
        <v>2190</v>
      </c>
      <c r="G632" s="118">
        <v>3</v>
      </c>
      <c r="H632" s="118">
        <v>2</v>
      </c>
      <c r="I632" s="118">
        <v>7.8</v>
      </c>
      <c r="J632" s="118">
        <v>75</v>
      </c>
      <c r="K632" s="118">
        <v>13</v>
      </c>
      <c r="L632" s="122">
        <v>-2.98</v>
      </c>
      <c r="M632" s="122">
        <v>-3.08</v>
      </c>
      <c r="N632" s="118">
        <v>-1.83</v>
      </c>
      <c r="O632" s="123" t="s">
        <v>1760</v>
      </c>
    </row>
    <row r="633" spans="1:15" ht="43.2">
      <c r="A633" s="118" t="s">
        <v>2814</v>
      </c>
      <c r="B633" s="118" t="s">
        <v>1752</v>
      </c>
      <c r="C633" s="118" t="s">
        <v>1744</v>
      </c>
      <c r="D633" s="119">
        <v>44252</v>
      </c>
      <c r="E633" s="118" t="s">
        <v>2306</v>
      </c>
      <c r="F633" s="118" t="s">
        <v>2190</v>
      </c>
      <c r="G633" s="118">
        <v>1</v>
      </c>
      <c r="H633" s="118">
        <v>6</v>
      </c>
      <c r="I633" s="118">
        <v>8.1999999999999993</v>
      </c>
      <c r="J633" s="118">
        <v>76</v>
      </c>
      <c r="K633" s="118">
        <v>12.5</v>
      </c>
      <c r="L633" s="122">
        <v>-3.26</v>
      </c>
      <c r="M633" s="122">
        <v>-3.35</v>
      </c>
      <c r="N633" s="118">
        <v>-2.2599999999999998</v>
      </c>
      <c r="O633" s="123" t="s">
        <v>1747</v>
      </c>
    </row>
    <row r="634" spans="1:15" ht="43.2">
      <c r="A634" s="118" t="s">
        <v>2815</v>
      </c>
      <c r="B634" s="118" t="s">
        <v>1743</v>
      </c>
      <c r="C634" s="118" t="s">
        <v>1744</v>
      </c>
      <c r="D634" s="119">
        <v>44130</v>
      </c>
      <c r="E634" s="118" t="s">
        <v>2816</v>
      </c>
      <c r="F634" s="118" t="s">
        <v>2190</v>
      </c>
      <c r="G634" s="118">
        <v>3</v>
      </c>
      <c r="H634" s="118">
        <v>4</v>
      </c>
      <c r="I634" s="118">
        <v>8.5</v>
      </c>
      <c r="J634" s="118">
        <v>80</v>
      </c>
      <c r="K634" s="118"/>
      <c r="L634" s="122">
        <v>-2.92</v>
      </c>
      <c r="M634" s="122">
        <v>-2.35</v>
      </c>
      <c r="N634" s="118">
        <v>-2.15</v>
      </c>
      <c r="O634" s="123" t="s">
        <v>1747</v>
      </c>
    </row>
    <row r="635" spans="1:15" ht="43.2">
      <c r="A635" s="118" t="s">
        <v>2817</v>
      </c>
      <c r="B635" s="118" t="s">
        <v>1752</v>
      </c>
      <c r="C635" s="118" t="s">
        <v>1744</v>
      </c>
      <c r="D635" s="119">
        <v>44119</v>
      </c>
      <c r="E635" s="118" t="s">
        <v>2818</v>
      </c>
      <c r="F635" s="118" t="s">
        <v>2190</v>
      </c>
      <c r="G635" s="118">
        <v>4</v>
      </c>
      <c r="H635" s="118">
        <v>3</v>
      </c>
      <c r="I635" s="118">
        <v>9.5</v>
      </c>
      <c r="J635" s="118">
        <v>75.2</v>
      </c>
      <c r="K635" s="118">
        <v>15</v>
      </c>
      <c r="L635" s="122">
        <v>-2.5299999999999998</v>
      </c>
      <c r="M635" s="122">
        <v>-4.4400000000000004</v>
      </c>
      <c r="N635" s="118">
        <v>-0.23</v>
      </c>
      <c r="O635" s="123" t="s">
        <v>1760</v>
      </c>
    </row>
    <row r="636" spans="1:15" ht="57.6">
      <c r="A636" s="118" t="s">
        <v>2819</v>
      </c>
      <c r="B636" s="118" t="s">
        <v>1752</v>
      </c>
      <c r="C636" s="118" t="s">
        <v>1749</v>
      </c>
      <c r="D636" s="119">
        <v>43848</v>
      </c>
      <c r="E636" s="118" t="s">
        <v>2594</v>
      </c>
      <c r="F636" s="118" t="s">
        <v>1781</v>
      </c>
      <c r="G636" s="118">
        <v>6</v>
      </c>
      <c r="H636" s="118">
        <v>14</v>
      </c>
      <c r="I636" s="118">
        <v>10.5</v>
      </c>
      <c r="J636" s="118">
        <v>85.9</v>
      </c>
      <c r="K636" s="118">
        <v>14</v>
      </c>
      <c r="L636" s="122">
        <v>-2.59</v>
      </c>
      <c r="M636" s="122">
        <v>-2.72</v>
      </c>
      <c r="N636" s="118">
        <v>-1.57</v>
      </c>
      <c r="O636" s="123" t="s">
        <v>1760</v>
      </c>
    </row>
    <row r="637" spans="1:15" ht="43.2">
      <c r="A637" s="118" t="s">
        <v>2820</v>
      </c>
      <c r="B637" s="118" t="s">
        <v>1743</v>
      </c>
      <c r="C637" s="118" t="s">
        <v>1749</v>
      </c>
      <c r="D637" s="119">
        <v>43821</v>
      </c>
      <c r="E637" s="118" t="s">
        <v>2196</v>
      </c>
      <c r="F637" s="118" t="s">
        <v>1781</v>
      </c>
      <c r="G637" s="118">
        <v>3</v>
      </c>
      <c r="H637" s="118">
        <v>2</v>
      </c>
      <c r="I637" s="118">
        <v>8.3000000000000007</v>
      </c>
      <c r="J637" s="118">
        <v>81</v>
      </c>
      <c r="K637" s="118">
        <v>13</v>
      </c>
      <c r="L637" s="122">
        <v>-4.1500000000000004</v>
      </c>
      <c r="M637" s="122">
        <v>-3.79</v>
      </c>
      <c r="N637" s="118">
        <v>-2.7</v>
      </c>
      <c r="O637" s="123" t="s">
        <v>1747</v>
      </c>
    </row>
    <row r="638" spans="1:15" ht="43.2">
      <c r="A638" s="118" t="s">
        <v>2821</v>
      </c>
      <c r="B638" s="118" t="s">
        <v>1752</v>
      </c>
      <c r="C638" s="118" t="s">
        <v>1744</v>
      </c>
      <c r="D638" s="119">
        <v>44101</v>
      </c>
      <c r="E638" s="118" t="s">
        <v>2822</v>
      </c>
      <c r="F638" s="118" t="s">
        <v>1781</v>
      </c>
      <c r="G638" s="118">
        <v>2</v>
      </c>
      <c r="H638" s="118">
        <v>12</v>
      </c>
      <c r="I638" s="118">
        <v>9</v>
      </c>
      <c r="J638" s="118">
        <v>81.400000000000006</v>
      </c>
      <c r="K638" s="118"/>
      <c r="L638" s="122">
        <v>-3.06</v>
      </c>
      <c r="M638" s="122">
        <v>-2.64</v>
      </c>
      <c r="N638" s="118">
        <v>-2.34</v>
      </c>
      <c r="O638" s="123" t="s">
        <v>1747</v>
      </c>
    </row>
    <row r="639" spans="1:15" ht="43.2">
      <c r="A639" s="118" t="s">
        <v>2823</v>
      </c>
      <c r="B639" s="118" t="s">
        <v>1743</v>
      </c>
      <c r="C639" s="118" t="s">
        <v>1744</v>
      </c>
      <c r="D639" s="119">
        <v>44028</v>
      </c>
      <c r="E639" s="118" t="s">
        <v>2824</v>
      </c>
      <c r="F639" s="118" t="s">
        <v>1781</v>
      </c>
      <c r="G639" s="118">
        <v>1</v>
      </c>
      <c r="H639" s="118">
        <v>3</v>
      </c>
      <c r="I639" s="118">
        <v>10.4</v>
      </c>
      <c r="J639" s="118">
        <v>82.7</v>
      </c>
      <c r="K639" s="118"/>
      <c r="L639" s="122">
        <v>-1.63</v>
      </c>
      <c r="M639" s="122">
        <v>-2.2400000000000002</v>
      </c>
      <c r="N639" s="118">
        <v>-0.46</v>
      </c>
      <c r="O639" s="123" t="s">
        <v>1760</v>
      </c>
    </row>
    <row r="640" spans="1:15" ht="43.2">
      <c r="A640" s="118" t="s">
        <v>2825</v>
      </c>
      <c r="B640" s="118" t="s">
        <v>1752</v>
      </c>
      <c r="C640" s="118" t="s">
        <v>1749</v>
      </c>
      <c r="D640" s="119">
        <v>43888</v>
      </c>
      <c r="E640" s="118" t="s">
        <v>2723</v>
      </c>
      <c r="F640" s="118" t="s">
        <v>1781</v>
      </c>
      <c r="G640" s="118">
        <v>5</v>
      </c>
      <c r="H640" s="118">
        <v>12</v>
      </c>
      <c r="I640" s="118">
        <v>10.1</v>
      </c>
      <c r="J640" s="118">
        <v>83.6</v>
      </c>
      <c r="K640" s="118"/>
      <c r="L640" s="122">
        <v>-2.79</v>
      </c>
      <c r="M640" s="122">
        <v>-3.16</v>
      </c>
      <c r="N640" s="118">
        <v>-1.43</v>
      </c>
      <c r="O640" s="123" t="s">
        <v>1760</v>
      </c>
    </row>
    <row r="641" spans="1:15" ht="43.2">
      <c r="A641" s="118" t="s">
        <v>2826</v>
      </c>
      <c r="B641" s="118" t="s">
        <v>1752</v>
      </c>
      <c r="C641" s="118" t="s">
        <v>1786</v>
      </c>
      <c r="D641" s="119">
        <v>43496</v>
      </c>
      <c r="E641" s="118" t="s">
        <v>2596</v>
      </c>
      <c r="F641" s="118" t="s">
        <v>1781</v>
      </c>
      <c r="G641" s="118">
        <v>2</v>
      </c>
      <c r="H641" s="118">
        <v>13</v>
      </c>
      <c r="I641" s="118">
        <v>12</v>
      </c>
      <c r="J641" s="118">
        <v>94</v>
      </c>
      <c r="K641" s="118">
        <v>14.5</v>
      </c>
      <c r="L641" s="122">
        <v>-2.42</v>
      </c>
      <c r="M641" s="122">
        <v>-2.15</v>
      </c>
      <c r="N641" s="118">
        <v>-1.8</v>
      </c>
      <c r="O641" s="123" t="s">
        <v>1760</v>
      </c>
    </row>
    <row r="642" spans="1:15" ht="43.2">
      <c r="A642" s="118" t="s">
        <v>2827</v>
      </c>
      <c r="B642" s="118" t="s">
        <v>1752</v>
      </c>
      <c r="C642" s="118" t="s">
        <v>1749</v>
      </c>
      <c r="D642" s="119">
        <v>43727</v>
      </c>
      <c r="E642" s="118" t="s">
        <v>2119</v>
      </c>
      <c r="F642" s="118" t="s">
        <v>1781</v>
      </c>
      <c r="G642" s="118">
        <v>2</v>
      </c>
      <c r="H642" s="118">
        <v>2</v>
      </c>
      <c r="I642" s="118">
        <v>11.65</v>
      </c>
      <c r="J642" s="118">
        <v>90.4</v>
      </c>
      <c r="K642" s="118"/>
      <c r="L642" s="122">
        <v>-2.06</v>
      </c>
      <c r="M642" s="122">
        <v>-2.09</v>
      </c>
      <c r="N642" s="118">
        <v>-1.37</v>
      </c>
      <c r="O642" s="123" t="s">
        <v>1760</v>
      </c>
    </row>
    <row r="643" spans="1:15" ht="43.2">
      <c r="A643" s="118" t="s">
        <v>2828</v>
      </c>
      <c r="B643" s="118" t="s">
        <v>1743</v>
      </c>
      <c r="C643" s="118" t="s">
        <v>1749</v>
      </c>
      <c r="D643" s="119">
        <v>43646</v>
      </c>
      <c r="E643" s="118" t="s">
        <v>2320</v>
      </c>
      <c r="F643" s="118" t="s">
        <v>1781</v>
      </c>
      <c r="G643" s="118">
        <v>3</v>
      </c>
      <c r="H643" s="118">
        <v>11</v>
      </c>
      <c r="I643" s="118">
        <v>11.65</v>
      </c>
      <c r="J643" s="118">
        <v>87.9</v>
      </c>
      <c r="K643" s="118"/>
      <c r="L643" s="122">
        <v>-1.99</v>
      </c>
      <c r="M643" s="122">
        <v>-2.8</v>
      </c>
      <c r="N643" s="118">
        <v>-0.45</v>
      </c>
      <c r="O643" s="123" t="s">
        <v>1760</v>
      </c>
    </row>
    <row r="644" spans="1:15" ht="43.2">
      <c r="A644" s="118" t="s">
        <v>2829</v>
      </c>
      <c r="B644" s="118" t="s">
        <v>1743</v>
      </c>
      <c r="C644" s="118" t="s">
        <v>1749</v>
      </c>
      <c r="D644" s="119">
        <v>43637</v>
      </c>
      <c r="E644" s="118" t="s">
        <v>2308</v>
      </c>
      <c r="F644" s="118" t="s">
        <v>1781</v>
      </c>
      <c r="G644" s="118">
        <v>4</v>
      </c>
      <c r="H644" s="118">
        <v>2</v>
      </c>
      <c r="I644" s="118">
        <v>11</v>
      </c>
      <c r="J644" s="118">
        <v>87.1</v>
      </c>
      <c r="K644" s="118"/>
      <c r="L644" s="122">
        <v>-2.4900000000000002</v>
      </c>
      <c r="M644" s="122">
        <v>-3.03</v>
      </c>
      <c r="N644" s="118">
        <v>-0.92</v>
      </c>
      <c r="O644" s="123" t="s">
        <v>1760</v>
      </c>
    </row>
    <row r="645" spans="1:15" ht="43.2">
      <c r="A645" s="118" t="s">
        <v>2830</v>
      </c>
      <c r="B645" s="118" t="s">
        <v>1743</v>
      </c>
      <c r="C645" s="118" t="s">
        <v>1786</v>
      </c>
      <c r="D645" s="119">
        <v>43555</v>
      </c>
      <c r="E645" s="118" t="s">
        <v>2713</v>
      </c>
      <c r="F645" s="118" t="s">
        <v>1781</v>
      </c>
      <c r="G645" s="118">
        <v>1</v>
      </c>
      <c r="H645" s="118">
        <v>2</v>
      </c>
      <c r="I645" s="118">
        <v>13.4</v>
      </c>
      <c r="J645" s="118">
        <v>91</v>
      </c>
      <c r="K645" s="118">
        <v>16.5</v>
      </c>
      <c r="L645" s="122">
        <v>-1.1399999999999999</v>
      </c>
      <c r="M645" s="122">
        <v>-2.42</v>
      </c>
      <c r="N645" s="118">
        <v>0.43</v>
      </c>
      <c r="O645" s="123" t="s">
        <v>1760</v>
      </c>
    </row>
    <row r="646" spans="1:15" ht="28.8">
      <c r="A646" s="118" t="s">
        <v>2831</v>
      </c>
      <c r="B646" s="118" t="s">
        <v>1752</v>
      </c>
      <c r="C646" s="118" t="s">
        <v>1786</v>
      </c>
      <c r="D646" s="119">
        <v>43333</v>
      </c>
      <c r="E646" s="118" t="s">
        <v>2832</v>
      </c>
      <c r="F646" s="118" t="s">
        <v>1784</v>
      </c>
      <c r="G646" s="118">
        <v>2</v>
      </c>
      <c r="H646" s="118">
        <v>4</v>
      </c>
      <c r="I646" s="118">
        <v>12</v>
      </c>
      <c r="J646" s="118">
        <v>94.9</v>
      </c>
      <c r="K646" s="118">
        <v>14.3</v>
      </c>
      <c r="L646" s="122">
        <v>-2.79</v>
      </c>
      <c r="M646" s="122">
        <v>-2.5299999999999998</v>
      </c>
      <c r="N646" s="118">
        <v>-2.0099999999999998</v>
      </c>
      <c r="O646" s="123" t="s">
        <v>1747</v>
      </c>
    </row>
    <row r="647" spans="1:15" ht="28.8">
      <c r="A647" s="118" t="s">
        <v>2833</v>
      </c>
      <c r="B647" s="118" t="s">
        <v>1743</v>
      </c>
      <c r="C647" s="118" t="s">
        <v>1786</v>
      </c>
      <c r="D647" s="119">
        <v>43229</v>
      </c>
      <c r="E647" s="118" t="s">
        <v>2326</v>
      </c>
      <c r="F647" s="118" t="s">
        <v>1784</v>
      </c>
      <c r="G647" s="118">
        <v>7</v>
      </c>
      <c r="H647" s="118">
        <v>7</v>
      </c>
      <c r="I647" s="118">
        <v>14</v>
      </c>
      <c r="J647" s="118">
        <v>95</v>
      </c>
      <c r="K647" s="118">
        <v>14</v>
      </c>
      <c r="L647" s="122">
        <v>-1.61</v>
      </c>
      <c r="M647" s="122">
        <v>-2.68</v>
      </c>
      <c r="N647" s="118">
        <v>0.09</v>
      </c>
      <c r="O647" s="123" t="s">
        <v>1760</v>
      </c>
    </row>
    <row r="648" spans="1:15" ht="28.8">
      <c r="A648" s="118" t="s">
        <v>2834</v>
      </c>
      <c r="B648" s="118" t="s">
        <v>1743</v>
      </c>
      <c r="C648" s="118" t="s">
        <v>2055</v>
      </c>
      <c r="D648" s="119">
        <v>44956</v>
      </c>
      <c r="E648" s="118" t="s">
        <v>2336</v>
      </c>
      <c r="F648" s="118" t="s">
        <v>1784</v>
      </c>
      <c r="G648" s="118">
        <v>1</v>
      </c>
      <c r="H648" s="118">
        <v>4</v>
      </c>
      <c r="I648" s="118">
        <v>2.2999999999999998</v>
      </c>
      <c r="J648" s="118">
        <v>47</v>
      </c>
      <c r="K648" s="118"/>
      <c r="L648" s="122">
        <v>-3.98</v>
      </c>
      <c r="M648" s="122">
        <v>-3.04</v>
      </c>
      <c r="N648" s="118">
        <v>-2.77</v>
      </c>
      <c r="O648" s="123" t="s">
        <v>1747</v>
      </c>
    </row>
    <row r="649" spans="1:15" ht="28.8">
      <c r="A649" s="118" t="s">
        <v>2835</v>
      </c>
      <c r="B649" s="118" t="s">
        <v>1743</v>
      </c>
      <c r="C649" s="118" t="s">
        <v>2055</v>
      </c>
      <c r="D649" s="119">
        <v>44956</v>
      </c>
      <c r="E649" s="118" t="s">
        <v>2324</v>
      </c>
      <c r="F649" s="118" t="s">
        <v>1784</v>
      </c>
      <c r="G649" s="118">
        <v>3</v>
      </c>
      <c r="H649" s="118">
        <v>7</v>
      </c>
      <c r="I649" s="118">
        <v>3.2</v>
      </c>
      <c r="J649" s="118">
        <v>48</v>
      </c>
      <c r="K649" s="118"/>
      <c r="L649" s="122">
        <v>-1.89</v>
      </c>
      <c r="M649" s="122">
        <v>-2.5299999999999998</v>
      </c>
      <c r="N649" s="118">
        <v>0.35</v>
      </c>
      <c r="O649" s="123" t="s">
        <v>1760</v>
      </c>
    </row>
    <row r="650" spans="1:15" ht="28.8">
      <c r="A650" s="118" t="s">
        <v>2836</v>
      </c>
      <c r="B650" s="118" t="s">
        <v>1752</v>
      </c>
      <c r="C650" s="118" t="s">
        <v>1755</v>
      </c>
      <c r="D650" s="119">
        <v>44522</v>
      </c>
      <c r="E650" s="118" t="s">
        <v>1802</v>
      </c>
      <c r="F650" s="118" t="s">
        <v>1784</v>
      </c>
      <c r="G650" s="118">
        <v>3</v>
      </c>
      <c r="H650" s="118">
        <v>7</v>
      </c>
      <c r="I650" s="118">
        <v>7</v>
      </c>
      <c r="J650" s="118">
        <v>68</v>
      </c>
      <c r="K650" s="118">
        <v>13.1</v>
      </c>
      <c r="L650" s="122">
        <v>-3.22</v>
      </c>
      <c r="M650" s="122">
        <v>-3.91</v>
      </c>
      <c r="N650" s="118">
        <v>-1.61</v>
      </c>
      <c r="O650" s="123" t="s">
        <v>1760</v>
      </c>
    </row>
    <row r="651" spans="1:15" ht="43.2">
      <c r="A651" s="118" t="s">
        <v>2837</v>
      </c>
      <c r="B651" s="118" t="s">
        <v>1743</v>
      </c>
      <c r="C651" s="118" t="s">
        <v>1755</v>
      </c>
      <c r="D651" s="119">
        <v>44502</v>
      </c>
      <c r="E651" s="118" t="s">
        <v>2328</v>
      </c>
      <c r="F651" s="118" t="s">
        <v>1784</v>
      </c>
      <c r="G651" s="118">
        <v>3</v>
      </c>
      <c r="H651" s="118">
        <v>4</v>
      </c>
      <c r="I651" s="118">
        <v>7.3</v>
      </c>
      <c r="J651" s="118">
        <v>70.5</v>
      </c>
      <c r="K651" s="118">
        <v>12.5</v>
      </c>
      <c r="L651" s="122">
        <v>-2.16</v>
      </c>
      <c r="M651" s="122">
        <v>-2.29</v>
      </c>
      <c r="N651" s="118">
        <v>-1.4</v>
      </c>
      <c r="O651" s="123" t="s">
        <v>1760</v>
      </c>
    </row>
    <row r="652" spans="1:15" ht="43.2">
      <c r="A652" s="118" t="s">
        <v>2838</v>
      </c>
      <c r="B652" s="118" t="s">
        <v>1752</v>
      </c>
      <c r="C652" s="118" t="s">
        <v>1744</v>
      </c>
      <c r="D652" s="119">
        <v>44157</v>
      </c>
      <c r="E652" s="118" t="s">
        <v>2735</v>
      </c>
      <c r="F652" s="118" t="s">
        <v>1807</v>
      </c>
      <c r="G652" s="118">
        <v>2</v>
      </c>
      <c r="H652" s="118">
        <v>3</v>
      </c>
      <c r="I652" s="118">
        <v>9.6</v>
      </c>
      <c r="J652" s="118">
        <v>80.2</v>
      </c>
      <c r="K652" s="118">
        <v>14.2</v>
      </c>
      <c r="L652" s="122">
        <v>-2.27</v>
      </c>
      <c r="M652" s="122">
        <v>-2.85</v>
      </c>
      <c r="N652" s="118">
        <v>-1.08</v>
      </c>
      <c r="O652" s="123" t="s">
        <v>1760</v>
      </c>
    </row>
    <row r="653" spans="1:15" ht="43.2">
      <c r="A653" s="118" t="s">
        <v>2839</v>
      </c>
      <c r="B653" s="118" t="s">
        <v>1752</v>
      </c>
      <c r="C653" s="118" t="s">
        <v>1749</v>
      </c>
      <c r="D653" s="119">
        <v>43841</v>
      </c>
      <c r="E653" s="118" t="s">
        <v>2840</v>
      </c>
      <c r="F653" s="118" t="s">
        <v>1807</v>
      </c>
      <c r="G653" s="118">
        <v>7</v>
      </c>
      <c r="H653" s="118">
        <v>2</v>
      </c>
      <c r="I653" s="118">
        <v>10.65</v>
      </c>
      <c r="J653" s="118">
        <v>86.5</v>
      </c>
      <c r="K653" s="118">
        <v>14</v>
      </c>
      <c r="L653" s="122">
        <v>-2.48</v>
      </c>
      <c r="M653" s="122">
        <v>-2.58</v>
      </c>
      <c r="N653" s="118">
        <v>-1.55</v>
      </c>
      <c r="O653" s="123" t="s">
        <v>1760</v>
      </c>
    </row>
    <row r="654" spans="1:15" ht="43.2">
      <c r="A654" s="118" t="s">
        <v>2841</v>
      </c>
      <c r="B654" s="118" t="s">
        <v>1743</v>
      </c>
      <c r="C654" s="118" t="s">
        <v>1744</v>
      </c>
      <c r="D654" s="119">
        <v>43992</v>
      </c>
      <c r="E654" s="118" t="s">
        <v>1806</v>
      </c>
      <c r="F654" s="118" t="s">
        <v>1807</v>
      </c>
      <c r="G654" s="118">
        <v>11</v>
      </c>
      <c r="H654" s="118">
        <v>3</v>
      </c>
      <c r="I654" s="118">
        <v>10.25</v>
      </c>
      <c r="J654" s="118">
        <v>79.3</v>
      </c>
      <c r="K654" s="118">
        <v>15</v>
      </c>
      <c r="L654" s="122">
        <v>-1.89</v>
      </c>
      <c r="M654" s="122">
        <v>-3.4</v>
      </c>
      <c r="N654" s="118">
        <v>0.18</v>
      </c>
      <c r="O654" s="123" t="s">
        <v>1760</v>
      </c>
    </row>
    <row r="655" spans="1:15" ht="43.2">
      <c r="A655" s="118" t="s">
        <v>2842</v>
      </c>
      <c r="B655" s="118" t="s">
        <v>1743</v>
      </c>
      <c r="C655" s="118" t="s">
        <v>1744</v>
      </c>
      <c r="D655" s="119">
        <v>43992</v>
      </c>
      <c r="E655" s="118" t="s">
        <v>2843</v>
      </c>
      <c r="F655" s="118" t="s">
        <v>1807</v>
      </c>
      <c r="G655" s="118">
        <v>4</v>
      </c>
      <c r="H655" s="118">
        <v>4</v>
      </c>
      <c r="I655" s="118">
        <v>9.6</v>
      </c>
      <c r="J655" s="118">
        <v>78.2</v>
      </c>
      <c r="K655" s="118">
        <v>14.8</v>
      </c>
      <c r="L655" s="122">
        <v>-2.4500000000000002</v>
      </c>
      <c r="M655" s="122">
        <v>-3.7</v>
      </c>
      <c r="N655" s="118">
        <v>-0.31</v>
      </c>
      <c r="O655" s="123" t="s">
        <v>1760</v>
      </c>
    </row>
    <row r="656" spans="1:15" ht="43.2">
      <c r="A656" s="118" t="s">
        <v>2844</v>
      </c>
      <c r="B656" s="118" t="s">
        <v>1743</v>
      </c>
      <c r="C656" s="118" t="s">
        <v>1744</v>
      </c>
      <c r="D656" s="119">
        <v>43991</v>
      </c>
      <c r="E656" s="118" t="s">
        <v>2345</v>
      </c>
      <c r="F656" s="118" t="s">
        <v>1807</v>
      </c>
      <c r="G656" s="118">
        <v>1</v>
      </c>
      <c r="H656" s="118">
        <v>3</v>
      </c>
      <c r="I656" s="118">
        <v>10</v>
      </c>
      <c r="J656" s="118">
        <v>84</v>
      </c>
      <c r="K656" s="118">
        <v>14</v>
      </c>
      <c r="L656" s="122">
        <v>-2.1</v>
      </c>
      <c r="M656" s="122">
        <v>-2.09</v>
      </c>
      <c r="N656" s="118">
        <v>-1.25</v>
      </c>
      <c r="O656" s="123" t="s">
        <v>1760</v>
      </c>
    </row>
    <row r="657" spans="1:15" ht="57.6">
      <c r="A657" s="118" t="s">
        <v>2845</v>
      </c>
      <c r="B657" s="118" t="s">
        <v>1752</v>
      </c>
      <c r="C657" s="118" t="s">
        <v>1749</v>
      </c>
      <c r="D657" s="119">
        <v>43703</v>
      </c>
      <c r="E657" s="118" t="s">
        <v>2611</v>
      </c>
      <c r="F657" s="118" t="s">
        <v>1807</v>
      </c>
      <c r="G657" s="118">
        <v>1</v>
      </c>
      <c r="H657" s="118">
        <v>4</v>
      </c>
      <c r="I657" s="118">
        <v>10.6</v>
      </c>
      <c r="J657" s="118">
        <v>89.1</v>
      </c>
      <c r="K657" s="118"/>
      <c r="L657" s="122">
        <v>-2.91</v>
      </c>
      <c r="M657" s="122">
        <v>-2.52</v>
      </c>
      <c r="N657" s="118">
        <v>-2.29</v>
      </c>
      <c r="O657" s="123" t="s">
        <v>1747</v>
      </c>
    </row>
    <row r="658" spans="1:15" ht="28.8">
      <c r="A658" s="118" t="s">
        <v>2846</v>
      </c>
      <c r="B658" s="118" t="s">
        <v>1752</v>
      </c>
      <c r="C658" s="118" t="s">
        <v>1749</v>
      </c>
      <c r="D658" s="119">
        <v>43659</v>
      </c>
      <c r="E658" s="118" t="s">
        <v>2352</v>
      </c>
      <c r="F658" s="118" t="s">
        <v>1746</v>
      </c>
      <c r="G658" s="118">
        <v>2</v>
      </c>
      <c r="H658" s="118">
        <v>1</v>
      </c>
      <c r="I658" s="118">
        <v>11.7</v>
      </c>
      <c r="J658" s="118">
        <v>88.8</v>
      </c>
      <c r="K658" s="118"/>
      <c r="L658" s="122">
        <v>-2.21</v>
      </c>
      <c r="M658" s="122">
        <v>-2.78</v>
      </c>
      <c r="N658" s="118">
        <v>-0.93</v>
      </c>
      <c r="O658" s="123" t="s">
        <v>1760</v>
      </c>
    </row>
    <row r="659" spans="1:15" ht="43.2">
      <c r="A659" s="118" t="s">
        <v>2847</v>
      </c>
      <c r="B659" s="118" t="s">
        <v>1752</v>
      </c>
      <c r="C659" s="118" t="s">
        <v>1786</v>
      </c>
      <c r="D659" s="119">
        <v>43298</v>
      </c>
      <c r="E659" s="118" t="s">
        <v>2618</v>
      </c>
      <c r="F659" s="118" t="s">
        <v>1746</v>
      </c>
      <c r="G659" s="118">
        <v>6</v>
      </c>
      <c r="H659" s="118">
        <v>1</v>
      </c>
      <c r="I659" s="118">
        <v>10</v>
      </c>
      <c r="J659" s="118">
        <v>89.5</v>
      </c>
      <c r="K659" s="118"/>
      <c r="L659" s="122">
        <v>-4.1399999999999997</v>
      </c>
      <c r="M659" s="122">
        <v>-4.03</v>
      </c>
      <c r="N659" s="118">
        <v>-2.99</v>
      </c>
      <c r="O659" s="123" t="s">
        <v>1747</v>
      </c>
    </row>
    <row r="660" spans="1:15" ht="43.2">
      <c r="A660" s="118" t="s">
        <v>2848</v>
      </c>
      <c r="B660" s="118" t="s">
        <v>1743</v>
      </c>
      <c r="C660" s="118" t="s">
        <v>2055</v>
      </c>
      <c r="D660" s="119">
        <v>44889</v>
      </c>
      <c r="E660" s="118" t="s">
        <v>2849</v>
      </c>
      <c r="F660" s="118" t="s">
        <v>1746</v>
      </c>
      <c r="G660" s="118">
        <v>3</v>
      </c>
      <c r="H660" s="118">
        <v>1</v>
      </c>
      <c r="I660" s="118">
        <v>3.72</v>
      </c>
      <c r="J660" s="118">
        <v>50.5</v>
      </c>
      <c r="K660" s="118">
        <v>11.5</v>
      </c>
      <c r="L660" s="122">
        <v>-1.99</v>
      </c>
      <c r="M660" s="122">
        <v>-2.76</v>
      </c>
      <c r="N660" s="118">
        <v>0.8</v>
      </c>
      <c r="O660" s="123" t="s">
        <v>1760</v>
      </c>
    </row>
    <row r="661" spans="1:15" ht="28.8">
      <c r="A661" s="118" t="s">
        <v>2850</v>
      </c>
      <c r="B661" s="118" t="s">
        <v>1752</v>
      </c>
      <c r="C661" s="118" t="s">
        <v>2055</v>
      </c>
      <c r="D661" s="119">
        <v>44957</v>
      </c>
      <c r="E661" s="118" t="s">
        <v>2851</v>
      </c>
      <c r="F661" s="118" t="s">
        <v>1746</v>
      </c>
      <c r="G661" s="118">
        <v>7</v>
      </c>
      <c r="H661" s="118">
        <v>1</v>
      </c>
      <c r="I661" s="118">
        <v>3</v>
      </c>
      <c r="J661" s="118">
        <v>50</v>
      </c>
      <c r="K661" s="118"/>
      <c r="L661" s="122">
        <v>-2.89</v>
      </c>
      <c r="M661" s="122">
        <v>-2.11</v>
      </c>
      <c r="N661" s="118">
        <v>-1.7</v>
      </c>
      <c r="O661" s="123" t="s">
        <v>1760</v>
      </c>
    </row>
    <row r="662" spans="1:15" ht="43.2">
      <c r="A662" s="118" t="s">
        <v>2852</v>
      </c>
      <c r="B662" s="118" t="s">
        <v>1743</v>
      </c>
      <c r="C662" s="118" t="s">
        <v>2055</v>
      </c>
      <c r="D662" s="119">
        <v>44941</v>
      </c>
      <c r="E662" s="118" t="s">
        <v>2376</v>
      </c>
      <c r="F662" s="118" t="s">
        <v>1746</v>
      </c>
      <c r="G662" s="118">
        <v>4</v>
      </c>
      <c r="H662" s="118">
        <v>1</v>
      </c>
      <c r="I662" s="118">
        <v>2.4</v>
      </c>
      <c r="J662" s="118">
        <v>47</v>
      </c>
      <c r="K662" s="118"/>
      <c r="L662" s="122">
        <v>-2.72</v>
      </c>
      <c r="M662" s="122">
        <v>-2.0699999999999998</v>
      </c>
      <c r="N662" s="118">
        <v>-2.2599999999999998</v>
      </c>
      <c r="O662" s="123" t="s">
        <v>1747</v>
      </c>
    </row>
    <row r="663" spans="1:15" ht="28.8">
      <c r="A663" s="118" t="s">
        <v>2853</v>
      </c>
      <c r="B663" s="118" t="s">
        <v>1743</v>
      </c>
      <c r="C663" s="118" t="s">
        <v>1755</v>
      </c>
      <c r="D663" s="119">
        <v>44634</v>
      </c>
      <c r="E663" s="118" t="s">
        <v>1764</v>
      </c>
      <c r="F663" s="118" t="s">
        <v>1746</v>
      </c>
      <c r="G663" s="118">
        <v>4</v>
      </c>
      <c r="H663" s="118">
        <v>7</v>
      </c>
      <c r="I663" s="118">
        <v>6.8</v>
      </c>
      <c r="J663" s="118">
        <v>66</v>
      </c>
      <c r="K663" s="118"/>
      <c r="L663" s="122">
        <v>-1.85</v>
      </c>
      <c r="M663" s="122">
        <v>-2.25</v>
      </c>
      <c r="N663" s="118">
        <v>-0.8</v>
      </c>
      <c r="O663" s="123" t="s">
        <v>1760</v>
      </c>
    </row>
    <row r="664" spans="1:15" ht="28.8">
      <c r="A664" s="118" t="s">
        <v>2854</v>
      </c>
      <c r="B664" s="118" t="s">
        <v>1743</v>
      </c>
      <c r="C664" s="118" t="s">
        <v>1755</v>
      </c>
      <c r="D664" s="119">
        <v>44519</v>
      </c>
      <c r="E664" s="118" t="s">
        <v>1813</v>
      </c>
      <c r="F664" s="118" t="s">
        <v>1746</v>
      </c>
      <c r="G664" s="118">
        <v>1</v>
      </c>
      <c r="H664" s="118">
        <v>2</v>
      </c>
      <c r="I664" s="118">
        <v>7.2</v>
      </c>
      <c r="J664" s="118">
        <v>69.2</v>
      </c>
      <c r="K664" s="118">
        <v>14</v>
      </c>
      <c r="L664" s="122">
        <v>-2.19</v>
      </c>
      <c r="M664" s="122">
        <v>-2.61</v>
      </c>
      <c r="N664" s="118">
        <v>-1.18</v>
      </c>
      <c r="O664" s="123" t="s">
        <v>1760</v>
      </c>
    </row>
    <row r="665" spans="1:15" ht="43.2">
      <c r="A665" s="118" t="s">
        <v>2855</v>
      </c>
      <c r="B665" s="118" t="s">
        <v>1752</v>
      </c>
      <c r="C665" s="118" t="s">
        <v>1755</v>
      </c>
      <c r="D665" s="119">
        <v>44591</v>
      </c>
      <c r="E665" s="118" t="s">
        <v>2408</v>
      </c>
      <c r="F665" s="118" t="s">
        <v>1769</v>
      </c>
      <c r="G665" s="118">
        <v>8</v>
      </c>
      <c r="H665" s="118">
        <v>1</v>
      </c>
      <c r="I665" s="118">
        <v>8.1999999999999993</v>
      </c>
      <c r="J665" s="118">
        <v>78.5</v>
      </c>
      <c r="K665" s="118">
        <v>13</v>
      </c>
      <c r="L665" s="122">
        <v>-3.35</v>
      </c>
      <c r="M665" s="122">
        <v>-2.93</v>
      </c>
      <c r="N665" s="118">
        <v>-2.69</v>
      </c>
      <c r="O665" s="123" t="s">
        <v>1747</v>
      </c>
    </row>
    <row r="666" spans="1:15" ht="57.6">
      <c r="A666" s="118" t="s">
        <v>2856</v>
      </c>
      <c r="B666" s="118" t="s">
        <v>1743</v>
      </c>
      <c r="C666" s="118" t="s">
        <v>1744</v>
      </c>
      <c r="D666" s="119">
        <v>44195</v>
      </c>
      <c r="E666" s="118" t="s">
        <v>2636</v>
      </c>
      <c r="F666" s="118" t="s">
        <v>1769</v>
      </c>
      <c r="G666" s="118">
        <v>8</v>
      </c>
      <c r="H666" s="118">
        <v>1</v>
      </c>
      <c r="I666" s="118">
        <v>9.4</v>
      </c>
      <c r="J666" s="118">
        <v>79.2</v>
      </c>
      <c r="K666" s="118">
        <v>13</v>
      </c>
      <c r="L666" s="122">
        <v>-1.73</v>
      </c>
      <c r="M666" s="122">
        <v>-2.35</v>
      </c>
      <c r="N666" s="118">
        <v>-0.62</v>
      </c>
      <c r="O666" s="123" t="s">
        <v>1760</v>
      </c>
    </row>
    <row r="667" spans="1:15" ht="57.6">
      <c r="A667" s="118" t="s">
        <v>2857</v>
      </c>
      <c r="B667" s="118" t="s">
        <v>1743</v>
      </c>
      <c r="C667" s="118" t="s">
        <v>1755</v>
      </c>
      <c r="D667" s="119">
        <v>44443</v>
      </c>
      <c r="E667" s="118" t="s">
        <v>2858</v>
      </c>
      <c r="F667" s="118" t="s">
        <v>1769</v>
      </c>
      <c r="G667" s="118">
        <v>3</v>
      </c>
      <c r="H667" s="118">
        <v>1</v>
      </c>
      <c r="I667" s="118">
        <v>7.4</v>
      </c>
      <c r="J667" s="118">
        <v>71.5</v>
      </c>
      <c r="K667" s="118">
        <v>14</v>
      </c>
      <c r="L667" s="122">
        <v>-2.44</v>
      </c>
      <c r="M667" s="122">
        <v>-2.65</v>
      </c>
      <c r="N667" s="118">
        <v>-1.53</v>
      </c>
      <c r="O667" s="123" t="s">
        <v>1760</v>
      </c>
    </row>
    <row r="668" spans="1:15" ht="43.2">
      <c r="A668" s="118" t="s">
        <v>2859</v>
      </c>
      <c r="B668" s="118" t="s">
        <v>1752</v>
      </c>
      <c r="C668" s="118" t="s">
        <v>1755</v>
      </c>
      <c r="D668" s="119">
        <v>44370</v>
      </c>
      <c r="E668" s="118" t="s">
        <v>2158</v>
      </c>
      <c r="F668" s="118" t="s">
        <v>1769</v>
      </c>
      <c r="G668" s="118">
        <v>1</v>
      </c>
      <c r="H668" s="118">
        <v>2</v>
      </c>
      <c r="I668" s="118">
        <v>8.1999999999999993</v>
      </c>
      <c r="J668" s="118">
        <v>74.7</v>
      </c>
      <c r="K668" s="118"/>
      <c r="L668" s="122">
        <v>-2.7</v>
      </c>
      <c r="M668" s="122">
        <v>-3.02</v>
      </c>
      <c r="N668" s="118">
        <v>-1.74</v>
      </c>
      <c r="O668" s="123" t="s">
        <v>1760</v>
      </c>
    </row>
    <row r="669" spans="1:15" ht="43.2">
      <c r="A669" s="118" t="s">
        <v>2860</v>
      </c>
      <c r="B669" s="118" t="s">
        <v>1752</v>
      </c>
      <c r="C669" s="118" t="s">
        <v>1744</v>
      </c>
      <c r="D669" s="119">
        <v>44296</v>
      </c>
      <c r="E669" s="118" t="s">
        <v>1891</v>
      </c>
      <c r="F669" s="118" t="s">
        <v>1769</v>
      </c>
      <c r="G669" s="118">
        <v>3</v>
      </c>
      <c r="H669" s="118">
        <v>2</v>
      </c>
      <c r="I669" s="118">
        <v>8.4</v>
      </c>
      <c r="J669" s="118">
        <v>69.5</v>
      </c>
      <c r="K669" s="118"/>
      <c r="L669" s="122">
        <v>-2.85</v>
      </c>
      <c r="M669" s="122">
        <v>-5.47</v>
      </c>
      <c r="N669" s="118">
        <v>0.13</v>
      </c>
      <c r="O669" s="123" t="s">
        <v>1760</v>
      </c>
    </row>
    <row r="670" spans="1:15" ht="43.2">
      <c r="A670" s="118" t="s">
        <v>2861</v>
      </c>
      <c r="B670" s="118" t="s">
        <v>1752</v>
      </c>
      <c r="C670" s="118" t="s">
        <v>1744</v>
      </c>
      <c r="D670" s="119">
        <v>44144</v>
      </c>
      <c r="E670" s="118" t="s">
        <v>2862</v>
      </c>
      <c r="F670" s="118" t="s">
        <v>1769</v>
      </c>
      <c r="G670" s="118">
        <v>8</v>
      </c>
      <c r="H670" s="118">
        <v>2</v>
      </c>
      <c r="I670" s="118">
        <v>8.5</v>
      </c>
      <c r="J670" s="118">
        <v>76.400000000000006</v>
      </c>
      <c r="K670" s="118"/>
      <c r="L670" s="122">
        <v>-3.37</v>
      </c>
      <c r="M670" s="122">
        <v>-4.1500000000000004</v>
      </c>
      <c r="N670" s="118">
        <v>-1.73</v>
      </c>
      <c r="O670" s="123" t="s">
        <v>1760</v>
      </c>
    </row>
    <row r="671" spans="1:15" ht="43.2">
      <c r="A671" s="118" t="s">
        <v>2863</v>
      </c>
      <c r="B671" s="118" t="s">
        <v>1752</v>
      </c>
      <c r="C671" s="118" t="s">
        <v>1744</v>
      </c>
      <c r="D671" s="119">
        <v>44101</v>
      </c>
      <c r="E671" s="118" t="s">
        <v>2099</v>
      </c>
      <c r="F671" s="118" t="s">
        <v>1769</v>
      </c>
      <c r="G671" s="118">
        <v>9</v>
      </c>
      <c r="H671" s="118">
        <v>5</v>
      </c>
      <c r="I671" s="118">
        <v>10.3</v>
      </c>
      <c r="J671" s="118">
        <v>83</v>
      </c>
      <c r="K671" s="118">
        <v>13.5</v>
      </c>
      <c r="L671" s="122">
        <v>-1.91</v>
      </c>
      <c r="M671" s="122">
        <v>-2.16</v>
      </c>
      <c r="N671" s="118">
        <v>-1.03</v>
      </c>
      <c r="O671" s="123" t="s">
        <v>1760</v>
      </c>
    </row>
    <row r="672" spans="1:15" ht="43.2">
      <c r="A672" s="118" t="s">
        <v>2864</v>
      </c>
      <c r="B672" s="118" t="s">
        <v>1743</v>
      </c>
      <c r="C672" s="118" t="s">
        <v>1744</v>
      </c>
      <c r="D672" s="119">
        <v>44068</v>
      </c>
      <c r="E672" s="118" t="s">
        <v>2499</v>
      </c>
      <c r="F672" s="118" t="s">
        <v>1769</v>
      </c>
      <c r="G672" s="118">
        <v>6</v>
      </c>
      <c r="H672" s="118">
        <v>5</v>
      </c>
      <c r="I672" s="118">
        <v>10.199999999999999</v>
      </c>
      <c r="J672" s="118">
        <v>80.5</v>
      </c>
      <c r="K672" s="118"/>
      <c r="L672" s="122">
        <v>-1.63</v>
      </c>
      <c r="M672" s="122">
        <v>-2.63</v>
      </c>
      <c r="N672" s="118">
        <v>-0.15</v>
      </c>
      <c r="O672" s="123" t="s">
        <v>1760</v>
      </c>
    </row>
    <row r="673" spans="1:15" ht="43.2">
      <c r="A673" s="118" t="s">
        <v>2865</v>
      </c>
      <c r="B673" s="118" t="s">
        <v>1743</v>
      </c>
      <c r="C673" s="118" t="s">
        <v>1749</v>
      </c>
      <c r="D673" s="119">
        <v>43799</v>
      </c>
      <c r="E673" s="118" t="s">
        <v>2493</v>
      </c>
      <c r="F673" s="118" t="s">
        <v>1769</v>
      </c>
      <c r="G673" s="118">
        <v>8</v>
      </c>
      <c r="H673" s="118">
        <v>5</v>
      </c>
      <c r="I673" s="118">
        <v>11.4</v>
      </c>
      <c r="J673" s="118">
        <v>86.7</v>
      </c>
      <c r="K673" s="118">
        <v>14.5</v>
      </c>
      <c r="L673" s="122">
        <v>-1.71</v>
      </c>
      <c r="M673" s="122">
        <v>-2.42</v>
      </c>
      <c r="N673" s="118">
        <v>-0.41</v>
      </c>
      <c r="O673" s="123" t="s">
        <v>1760</v>
      </c>
    </row>
    <row r="674" spans="1:15" ht="43.2">
      <c r="A674" s="118" t="s">
        <v>2866</v>
      </c>
      <c r="B674" s="118" t="s">
        <v>1752</v>
      </c>
      <c r="C674" s="118" t="s">
        <v>1749</v>
      </c>
      <c r="D674" s="119">
        <v>43694</v>
      </c>
      <c r="E674" s="118" t="s">
        <v>2867</v>
      </c>
      <c r="F674" s="118" t="s">
        <v>1769</v>
      </c>
      <c r="G674" s="118">
        <v>2</v>
      </c>
      <c r="H674" s="118">
        <v>5</v>
      </c>
      <c r="I674" s="118">
        <v>13.2</v>
      </c>
      <c r="J674" s="118">
        <v>90.5</v>
      </c>
      <c r="K674" s="118">
        <v>14</v>
      </c>
      <c r="L674" s="122">
        <v>-1.1299999999999999</v>
      </c>
      <c r="M674" s="122">
        <v>-2.2200000000000002</v>
      </c>
      <c r="N674" s="118">
        <v>0.19</v>
      </c>
      <c r="O674" s="123" t="s">
        <v>1760</v>
      </c>
    </row>
    <row r="675" spans="1:15" ht="43.2">
      <c r="A675" s="118" t="s">
        <v>2868</v>
      </c>
      <c r="B675" s="118" t="s">
        <v>1752</v>
      </c>
      <c r="C675" s="118" t="s">
        <v>1755</v>
      </c>
      <c r="D675" s="119">
        <v>44477</v>
      </c>
      <c r="E675" s="118" t="s">
        <v>2248</v>
      </c>
      <c r="F675" s="118" t="s">
        <v>1769</v>
      </c>
      <c r="G675" s="118">
        <v>4</v>
      </c>
      <c r="H675" s="118">
        <v>8</v>
      </c>
      <c r="I675" s="118">
        <v>6.3</v>
      </c>
      <c r="J675" s="118">
        <v>58.3</v>
      </c>
      <c r="K675" s="118">
        <v>14</v>
      </c>
      <c r="L675" s="122">
        <v>-0.76</v>
      </c>
      <c r="M675" s="122">
        <v>-2.4500000000000002</v>
      </c>
      <c r="N675" s="118">
        <v>1.56</v>
      </c>
      <c r="O675" s="123" t="s">
        <v>1757</v>
      </c>
    </row>
    <row r="676" spans="1:15" ht="43.2">
      <c r="A676" s="118" t="s">
        <v>2869</v>
      </c>
      <c r="B676" s="118" t="s">
        <v>1752</v>
      </c>
      <c r="C676" s="118" t="s">
        <v>1755</v>
      </c>
      <c r="D676" s="119">
        <v>44495</v>
      </c>
      <c r="E676" s="118" t="s">
        <v>2870</v>
      </c>
      <c r="F676" s="118" t="s">
        <v>1769</v>
      </c>
      <c r="G676" s="118">
        <v>1</v>
      </c>
      <c r="H676" s="118">
        <v>10</v>
      </c>
      <c r="I676" s="118">
        <v>6.2</v>
      </c>
      <c r="J676" s="118">
        <v>58</v>
      </c>
      <c r="K676" s="118">
        <v>14</v>
      </c>
      <c r="L676" s="122">
        <v>-0.53</v>
      </c>
      <c r="M676" s="122">
        <v>-2.0699999999999998</v>
      </c>
      <c r="N676" s="118">
        <v>1.56</v>
      </c>
      <c r="O676" s="123" t="s">
        <v>1757</v>
      </c>
    </row>
    <row r="677" spans="1:15" ht="43.2">
      <c r="A677" s="118" t="s">
        <v>2871</v>
      </c>
      <c r="B677" s="118" t="s">
        <v>1743</v>
      </c>
      <c r="C677" s="118" t="s">
        <v>1749</v>
      </c>
      <c r="D677" s="119">
        <v>43664</v>
      </c>
      <c r="E677" s="118" t="s">
        <v>2219</v>
      </c>
      <c r="F677" s="118" t="s">
        <v>1769</v>
      </c>
      <c r="G677" s="118">
        <v>1</v>
      </c>
      <c r="H677" s="118">
        <v>11</v>
      </c>
      <c r="I677" s="118">
        <v>8.6999999999999993</v>
      </c>
      <c r="J677" s="118">
        <v>79.099999999999994</v>
      </c>
      <c r="K677" s="118"/>
      <c r="L677" s="122">
        <v>-3.29</v>
      </c>
      <c r="M677" s="122">
        <v>-3.45</v>
      </c>
      <c r="N677" s="118">
        <v>-1.66</v>
      </c>
      <c r="O677" s="123" t="s">
        <v>1760</v>
      </c>
    </row>
    <row r="678" spans="1:15" ht="43.2">
      <c r="A678" s="118" t="s">
        <v>2872</v>
      </c>
      <c r="B678" s="118" t="s">
        <v>1752</v>
      </c>
      <c r="C678" s="118" t="s">
        <v>1755</v>
      </c>
      <c r="D678" s="119">
        <v>44365</v>
      </c>
      <c r="E678" s="118" t="s">
        <v>2258</v>
      </c>
      <c r="F678" s="118" t="s">
        <v>1774</v>
      </c>
      <c r="G678" s="118">
        <v>6</v>
      </c>
      <c r="H678" s="118">
        <v>7</v>
      </c>
      <c r="I678" s="118">
        <v>7</v>
      </c>
      <c r="J678" s="118">
        <v>66</v>
      </c>
      <c r="K678" s="118">
        <v>14.5</v>
      </c>
      <c r="L678" s="122">
        <v>-2.14</v>
      </c>
      <c r="M678" s="122">
        <v>-2.57</v>
      </c>
      <c r="N678" s="118">
        <v>-0.86</v>
      </c>
      <c r="O678" s="123" t="s">
        <v>1760</v>
      </c>
    </row>
    <row r="679" spans="1:15" ht="43.2">
      <c r="A679" s="118" t="s">
        <v>2873</v>
      </c>
      <c r="B679" s="118" t="s">
        <v>1752</v>
      </c>
      <c r="C679" s="118" t="s">
        <v>1749</v>
      </c>
      <c r="D679" s="119">
        <v>43669</v>
      </c>
      <c r="E679" s="118" t="s">
        <v>2663</v>
      </c>
      <c r="F679" s="118" t="s">
        <v>1774</v>
      </c>
      <c r="G679" s="118">
        <v>4</v>
      </c>
      <c r="H679" s="118">
        <v>4</v>
      </c>
      <c r="I679" s="118">
        <v>9.6999999999999993</v>
      </c>
      <c r="J679" s="118">
        <v>85</v>
      </c>
      <c r="K679" s="118"/>
      <c r="L679" s="122">
        <v>-2.77</v>
      </c>
      <c r="M679" s="122">
        <v>-2.36</v>
      </c>
      <c r="N679" s="118">
        <v>-2.15</v>
      </c>
      <c r="O679" s="123" t="s">
        <v>1747</v>
      </c>
    </row>
    <row r="680" spans="1:15" ht="43.2">
      <c r="A680" s="118" t="s">
        <v>2874</v>
      </c>
      <c r="B680" s="118" t="s">
        <v>1743</v>
      </c>
      <c r="C680" s="118" t="s">
        <v>1749</v>
      </c>
      <c r="D680" s="119">
        <v>43849</v>
      </c>
      <c r="E680" s="118" t="s">
        <v>2875</v>
      </c>
      <c r="F680" s="118" t="s">
        <v>1774</v>
      </c>
      <c r="G680" s="118">
        <v>6</v>
      </c>
      <c r="H680" s="118">
        <v>7</v>
      </c>
      <c r="I680" s="118">
        <v>10.1</v>
      </c>
      <c r="J680" s="118">
        <v>82</v>
      </c>
      <c r="K680" s="118">
        <v>15</v>
      </c>
      <c r="L680" s="122">
        <v>-4.07</v>
      </c>
      <c r="M680" s="122">
        <v>-5.72</v>
      </c>
      <c r="N680" s="118">
        <v>-0.86</v>
      </c>
      <c r="O680" s="123" t="s">
        <v>1760</v>
      </c>
    </row>
    <row r="681" spans="1:15" ht="43.2">
      <c r="A681" s="118" t="s">
        <v>2876</v>
      </c>
      <c r="B681" s="118" t="s">
        <v>1752</v>
      </c>
      <c r="C681" s="118" t="s">
        <v>1755</v>
      </c>
      <c r="D681" s="119">
        <v>44617</v>
      </c>
      <c r="E681" s="118" t="s">
        <v>2877</v>
      </c>
      <c r="F681" s="118" t="s">
        <v>1774</v>
      </c>
      <c r="G681" s="118">
        <v>6</v>
      </c>
      <c r="H681" s="118">
        <v>7</v>
      </c>
      <c r="I681" s="118">
        <v>2.6</v>
      </c>
      <c r="J681" s="118">
        <v>47</v>
      </c>
      <c r="K681" s="118">
        <v>15</v>
      </c>
      <c r="L681" s="122">
        <v>-3.35</v>
      </c>
      <c r="M681" s="122">
        <v>-3.24</v>
      </c>
      <c r="N681" s="118">
        <v>-1.22</v>
      </c>
      <c r="O681" s="123" t="s">
        <v>1760</v>
      </c>
    </row>
    <row r="682" spans="1:15" ht="72">
      <c r="A682" s="118" t="s">
        <v>2878</v>
      </c>
      <c r="B682" s="118" t="s">
        <v>1743</v>
      </c>
      <c r="C682" s="118" t="s">
        <v>1755</v>
      </c>
      <c r="D682" s="119">
        <v>44595</v>
      </c>
      <c r="E682" s="118" t="s">
        <v>2667</v>
      </c>
      <c r="F682" s="118" t="s">
        <v>1774</v>
      </c>
      <c r="G682" s="118">
        <v>7</v>
      </c>
      <c r="H682" s="118">
        <v>3</v>
      </c>
      <c r="I682" s="118">
        <v>2.8</v>
      </c>
      <c r="J682" s="118">
        <v>45</v>
      </c>
      <c r="K682" s="118">
        <v>15</v>
      </c>
      <c r="L682" s="122">
        <v>-0.96</v>
      </c>
      <c r="M682" s="122">
        <v>-2.11</v>
      </c>
      <c r="N682" s="118">
        <v>0.89</v>
      </c>
      <c r="O682" s="123" t="s">
        <v>1760</v>
      </c>
    </row>
    <row r="683" spans="1:15" ht="43.2">
      <c r="A683" s="118" t="s">
        <v>2879</v>
      </c>
      <c r="B683" s="118" t="s">
        <v>1752</v>
      </c>
      <c r="C683" s="118" t="s">
        <v>1749</v>
      </c>
      <c r="D683" s="119">
        <v>43892</v>
      </c>
      <c r="E683" s="118" t="s">
        <v>2262</v>
      </c>
      <c r="F683" s="118" t="s">
        <v>1774</v>
      </c>
      <c r="G683" s="118">
        <v>1</v>
      </c>
      <c r="H683" s="118">
        <v>7</v>
      </c>
      <c r="I683" s="118">
        <v>9.8000000000000007</v>
      </c>
      <c r="J683" s="118">
        <v>76.5</v>
      </c>
      <c r="K683" s="118">
        <v>16</v>
      </c>
      <c r="L683" s="122">
        <v>-1.77</v>
      </c>
      <c r="M683" s="122">
        <v>-3.52</v>
      </c>
      <c r="N683" s="118">
        <v>0</v>
      </c>
      <c r="O683" s="123" t="s">
        <v>1760</v>
      </c>
    </row>
    <row r="684" spans="1:15" ht="43.2">
      <c r="A684" s="118" t="s">
        <v>2880</v>
      </c>
      <c r="B684" s="118" t="s">
        <v>1752</v>
      </c>
      <c r="C684" s="118" t="s">
        <v>1744</v>
      </c>
      <c r="D684" s="119">
        <v>43950</v>
      </c>
      <c r="E684" s="118" t="s">
        <v>2881</v>
      </c>
      <c r="F684" s="118" t="s">
        <v>1774</v>
      </c>
      <c r="G684" s="118">
        <v>5</v>
      </c>
      <c r="H684" s="118">
        <v>1</v>
      </c>
      <c r="I684" s="118">
        <v>9.1</v>
      </c>
      <c r="J684" s="118">
        <v>78.8</v>
      </c>
      <c r="K684" s="118">
        <v>16</v>
      </c>
      <c r="L684" s="122">
        <v>-2.15</v>
      </c>
      <c r="M684" s="122">
        <v>-2.27</v>
      </c>
      <c r="N684" s="118">
        <v>-1.44</v>
      </c>
      <c r="O684" s="123" t="s">
        <v>1760</v>
      </c>
    </row>
    <row r="685" spans="1:15" ht="43.2">
      <c r="A685" s="118" t="s">
        <v>2882</v>
      </c>
      <c r="B685" s="118" t="s">
        <v>1752</v>
      </c>
      <c r="C685" s="118" t="s">
        <v>1744</v>
      </c>
      <c r="D685" s="119">
        <v>44078</v>
      </c>
      <c r="E685" s="118" t="s">
        <v>2883</v>
      </c>
      <c r="F685" s="118" t="s">
        <v>1774</v>
      </c>
      <c r="G685" s="118">
        <v>7</v>
      </c>
      <c r="H685" s="118">
        <v>7</v>
      </c>
      <c r="I685" s="118">
        <v>2.75</v>
      </c>
      <c r="J685" s="118">
        <v>45</v>
      </c>
      <c r="K685" s="118">
        <v>16</v>
      </c>
      <c r="L685" s="122">
        <v>-1.3</v>
      </c>
      <c r="M685" s="122">
        <v>-2.58</v>
      </c>
      <c r="N685" s="118">
        <v>1.27</v>
      </c>
      <c r="O685" s="123" t="s">
        <v>1757</v>
      </c>
    </row>
    <row r="686" spans="1:15" ht="72">
      <c r="A686" s="118" t="s">
        <v>2884</v>
      </c>
      <c r="B686" s="118" t="s">
        <v>1752</v>
      </c>
      <c r="C686" s="118" t="s">
        <v>1755</v>
      </c>
      <c r="D686" s="119">
        <v>44620</v>
      </c>
      <c r="E686" s="118" t="s">
        <v>2885</v>
      </c>
      <c r="F686" s="118" t="s">
        <v>1774</v>
      </c>
      <c r="G686" s="118">
        <v>4</v>
      </c>
      <c r="H686" s="118">
        <v>7</v>
      </c>
      <c r="I686" s="118">
        <v>3</v>
      </c>
      <c r="J686" s="118">
        <v>49</v>
      </c>
      <c r="K686" s="118">
        <v>16</v>
      </c>
      <c r="L686" s="122">
        <v>-2.66</v>
      </c>
      <c r="M686" s="122">
        <v>-2.41</v>
      </c>
      <c r="N686" s="118">
        <v>-0.97</v>
      </c>
      <c r="O686" s="123" t="s">
        <v>1760</v>
      </c>
    </row>
    <row r="687" spans="1:15" ht="43.2">
      <c r="A687" s="118" t="s">
        <v>2886</v>
      </c>
      <c r="B687" s="118" t="s">
        <v>1752</v>
      </c>
      <c r="C687" s="118" t="s">
        <v>1755</v>
      </c>
      <c r="D687" s="119">
        <v>44614</v>
      </c>
      <c r="E687" s="118" t="s">
        <v>2887</v>
      </c>
      <c r="F687" s="118" t="s">
        <v>1777</v>
      </c>
      <c r="G687" s="118">
        <v>3</v>
      </c>
      <c r="H687" s="118">
        <v>8</v>
      </c>
      <c r="I687" s="118">
        <v>3.05</v>
      </c>
      <c r="J687" s="118">
        <v>48</v>
      </c>
      <c r="K687" s="118">
        <v>14</v>
      </c>
      <c r="L687" s="122">
        <v>-2.08</v>
      </c>
      <c r="M687" s="122">
        <v>-2.5099999999999998</v>
      </c>
      <c r="N687" s="118">
        <v>-0.09</v>
      </c>
      <c r="O687" s="123" t="s">
        <v>1760</v>
      </c>
    </row>
    <row r="688" spans="1:15" ht="72">
      <c r="A688" s="118" t="s">
        <v>2888</v>
      </c>
      <c r="B688" s="118" t="s">
        <v>1743</v>
      </c>
      <c r="C688" s="118" t="s">
        <v>1749</v>
      </c>
      <c r="D688" s="119">
        <v>43604</v>
      </c>
      <c r="E688" s="118" t="s">
        <v>2889</v>
      </c>
      <c r="F688" s="118" t="s">
        <v>1777</v>
      </c>
      <c r="G688" s="118"/>
      <c r="H688" s="118">
        <v>1</v>
      </c>
      <c r="I688" s="118">
        <v>8.3000000000000007</v>
      </c>
      <c r="J688" s="118">
        <v>84.8</v>
      </c>
      <c r="K688" s="118">
        <v>12.3</v>
      </c>
      <c r="L688" s="122">
        <v>-3.88</v>
      </c>
      <c r="M688" s="122">
        <v>-2.2799999999999998</v>
      </c>
      <c r="N688" s="118">
        <v>-3.66</v>
      </c>
      <c r="O688" s="123" t="s">
        <v>1790</v>
      </c>
    </row>
    <row r="689" spans="1:15" ht="43.2">
      <c r="A689" s="118" t="s">
        <v>2890</v>
      </c>
      <c r="B689" s="118" t="s">
        <v>1752</v>
      </c>
      <c r="C689" s="118" t="s">
        <v>1744</v>
      </c>
      <c r="D689" s="119">
        <v>44270</v>
      </c>
      <c r="E689" s="118" t="s">
        <v>2891</v>
      </c>
      <c r="F689" s="118" t="s">
        <v>1777</v>
      </c>
      <c r="G689" s="118">
        <v>4</v>
      </c>
      <c r="H689" s="118">
        <v>2</v>
      </c>
      <c r="I689" s="118">
        <v>9.6</v>
      </c>
      <c r="J689" s="118">
        <v>69.5</v>
      </c>
      <c r="K689" s="118">
        <v>15</v>
      </c>
      <c r="L689" s="122">
        <v>0.2</v>
      </c>
      <c r="M689" s="122">
        <v>-2.12</v>
      </c>
      <c r="N689" s="118">
        <v>1.71</v>
      </c>
      <c r="O689" s="123" t="s">
        <v>1757</v>
      </c>
    </row>
    <row r="690" spans="1:15" ht="43.2">
      <c r="A690" s="118" t="s">
        <v>2892</v>
      </c>
      <c r="B690" s="118" t="s">
        <v>1752</v>
      </c>
      <c r="C690" s="118" t="s">
        <v>1779</v>
      </c>
      <c r="D690" s="119">
        <v>43198</v>
      </c>
      <c r="E690" s="118" t="s">
        <v>2685</v>
      </c>
      <c r="F690" s="118" t="s">
        <v>1777</v>
      </c>
      <c r="G690" s="118">
        <v>3</v>
      </c>
      <c r="H690" s="118">
        <v>12</v>
      </c>
      <c r="I690" s="118">
        <v>12.6</v>
      </c>
      <c r="J690" s="118">
        <v>92.7</v>
      </c>
      <c r="K690" s="118">
        <v>16</v>
      </c>
      <c r="L690" s="122">
        <v>-1.94</v>
      </c>
      <c r="M690" s="122">
        <v>-2.34</v>
      </c>
      <c r="N690" s="118">
        <v>-0.89</v>
      </c>
      <c r="O690" s="123" t="s">
        <v>1760</v>
      </c>
    </row>
    <row r="691" spans="1:15" ht="43.2">
      <c r="A691" s="118" t="s">
        <v>2893</v>
      </c>
      <c r="B691" s="118" t="s">
        <v>1752</v>
      </c>
      <c r="C691" s="118" t="s">
        <v>1755</v>
      </c>
      <c r="D691" s="119">
        <v>44618</v>
      </c>
      <c r="E691" s="118" t="s">
        <v>2894</v>
      </c>
      <c r="F691" s="118" t="s">
        <v>1777</v>
      </c>
      <c r="G691" s="118">
        <v>2</v>
      </c>
      <c r="H691" s="118">
        <v>11</v>
      </c>
      <c r="I691" s="118">
        <v>3</v>
      </c>
      <c r="J691" s="118">
        <v>49</v>
      </c>
      <c r="K691" s="118">
        <v>13</v>
      </c>
      <c r="L691" s="122">
        <v>-2.5099999999999998</v>
      </c>
      <c r="M691" s="122">
        <v>-2.27</v>
      </c>
      <c r="N691" s="118">
        <v>-0.97</v>
      </c>
      <c r="O691" s="123" t="s">
        <v>1760</v>
      </c>
    </row>
    <row r="692" spans="1:15" ht="43.2">
      <c r="A692" s="118" t="s">
        <v>2895</v>
      </c>
      <c r="B692" s="118" t="s">
        <v>1743</v>
      </c>
      <c r="C692" s="118" t="s">
        <v>1744</v>
      </c>
      <c r="D692" s="119">
        <v>44033</v>
      </c>
      <c r="E692" s="118" t="s">
        <v>2509</v>
      </c>
      <c r="F692" s="118" t="s">
        <v>1777</v>
      </c>
      <c r="G692" s="118">
        <v>2</v>
      </c>
      <c r="H692" s="118">
        <v>10</v>
      </c>
      <c r="I692" s="118">
        <v>9</v>
      </c>
      <c r="J692" s="118">
        <v>84</v>
      </c>
      <c r="K692" s="118">
        <v>13</v>
      </c>
      <c r="L692" s="122">
        <v>-3.62</v>
      </c>
      <c r="M692" s="122">
        <v>-3.27</v>
      </c>
      <c r="N692" s="118">
        <v>-2.3199999999999998</v>
      </c>
      <c r="O692" s="123" t="s">
        <v>1747</v>
      </c>
    </row>
    <row r="693" spans="1:15" ht="57.6">
      <c r="A693" s="118" t="s">
        <v>2896</v>
      </c>
      <c r="B693" s="118" t="s">
        <v>1743</v>
      </c>
      <c r="C693" s="118" t="s">
        <v>1749</v>
      </c>
      <c r="D693" s="119">
        <v>43853</v>
      </c>
      <c r="E693" s="118" t="s">
        <v>2107</v>
      </c>
      <c r="F693" s="118" t="s">
        <v>1777</v>
      </c>
      <c r="G693" s="118">
        <v>4</v>
      </c>
      <c r="H693" s="118">
        <v>2</v>
      </c>
      <c r="I693" s="118">
        <v>8.5</v>
      </c>
      <c r="J693" s="118">
        <v>78</v>
      </c>
      <c r="K693" s="118">
        <v>14</v>
      </c>
      <c r="L693" s="122">
        <v>-2.61</v>
      </c>
      <c r="M693" s="122">
        <v>-2.5099999999999998</v>
      </c>
      <c r="N693" s="118">
        <v>-1.67</v>
      </c>
      <c r="O693" s="123" t="s">
        <v>1760</v>
      </c>
    </row>
    <row r="694" spans="1:15" ht="43.2">
      <c r="A694" s="118" t="s">
        <v>2897</v>
      </c>
      <c r="B694" s="118" t="s">
        <v>1752</v>
      </c>
      <c r="C694" s="118" t="s">
        <v>1744</v>
      </c>
      <c r="D694" s="119">
        <v>43986</v>
      </c>
      <c r="E694" s="118" t="s">
        <v>2898</v>
      </c>
      <c r="F694" s="118" t="s">
        <v>1777</v>
      </c>
      <c r="G694" s="118">
        <v>5</v>
      </c>
      <c r="H694" s="118">
        <v>1</v>
      </c>
      <c r="I694" s="118">
        <v>11.7</v>
      </c>
      <c r="J694" s="118">
        <v>78</v>
      </c>
      <c r="K694" s="118">
        <v>15</v>
      </c>
      <c r="L694" s="122">
        <v>0.27</v>
      </c>
      <c r="M694" s="122">
        <v>-2.21</v>
      </c>
      <c r="N694" s="118">
        <v>1.74</v>
      </c>
      <c r="O694" s="123" t="s">
        <v>1757</v>
      </c>
    </row>
    <row r="695" spans="1:15" ht="43.2">
      <c r="A695" s="118" t="s">
        <v>2899</v>
      </c>
      <c r="B695" s="118" t="s">
        <v>1752</v>
      </c>
      <c r="C695" s="118" t="s">
        <v>1755</v>
      </c>
      <c r="D695" s="119">
        <v>44380</v>
      </c>
      <c r="E695" s="118" t="s">
        <v>2511</v>
      </c>
      <c r="F695" s="118" t="s">
        <v>1777</v>
      </c>
      <c r="G695" s="118">
        <v>8</v>
      </c>
      <c r="H695" s="118">
        <v>9</v>
      </c>
      <c r="I695" s="118">
        <v>7</v>
      </c>
      <c r="J695" s="118">
        <v>64.099999999999994</v>
      </c>
      <c r="K695" s="118">
        <v>13</v>
      </c>
      <c r="L695" s="122">
        <v>-1.62</v>
      </c>
      <c r="M695" s="122">
        <v>-2.46</v>
      </c>
      <c r="N695" s="118">
        <v>-0.09</v>
      </c>
      <c r="O695" s="123" t="s">
        <v>1760</v>
      </c>
    </row>
    <row r="696" spans="1:15" ht="43.2">
      <c r="A696" s="118" t="s">
        <v>2900</v>
      </c>
      <c r="B696" s="118" t="s">
        <v>1752</v>
      </c>
      <c r="C696" s="118" t="s">
        <v>1755</v>
      </c>
      <c r="D696" s="119">
        <v>44527</v>
      </c>
      <c r="E696" s="118" t="s">
        <v>1776</v>
      </c>
      <c r="F696" s="118" t="s">
        <v>1777</v>
      </c>
      <c r="G696" s="118">
        <v>1</v>
      </c>
      <c r="H696" s="118">
        <v>2</v>
      </c>
      <c r="I696" s="118">
        <v>5.0999999999999996</v>
      </c>
      <c r="J696" s="118">
        <v>55.1</v>
      </c>
      <c r="K696" s="118">
        <v>16</v>
      </c>
      <c r="L696" s="122">
        <v>-1.05</v>
      </c>
      <c r="M696" s="122">
        <v>-2.08</v>
      </c>
      <c r="N696" s="118">
        <v>1.24</v>
      </c>
      <c r="O696" s="123" t="s">
        <v>1757</v>
      </c>
    </row>
    <row r="697" spans="1:15" ht="43.2">
      <c r="A697" s="118" t="s">
        <v>2901</v>
      </c>
      <c r="B697" s="118" t="s">
        <v>1743</v>
      </c>
      <c r="C697" s="118" t="s">
        <v>1749</v>
      </c>
      <c r="D697" s="119">
        <v>43645</v>
      </c>
      <c r="E697" s="118" t="s">
        <v>2518</v>
      </c>
      <c r="F697" s="118" t="s">
        <v>1777</v>
      </c>
      <c r="G697" s="118">
        <v>5</v>
      </c>
      <c r="H697" s="118">
        <v>2</v>
      </c>
      <c r="I697" s="118">
        <v>8.4</v>
      </c>
      <c r="J697" s="118">
        <v>81.3</v>
      </c>
      <c r="K697" s="118">
        <v>13.5</v>
      </c>
      <c r="L697" s="122">
        <v>-3.62</v>
      </c>
      <c r="M697" s="122">
        <v>-2.94</v>
      </c>
      <c r="N697" s="118">
        <v>-2.63</v>
      </c>
      <c r="O697" s="123" t="s">
        <v>1747</v>
      </c>
    </row>
    <row r="698" spans="1:15" ht="43.2">
      <c r="A698" s="118" t="s">
        <v>2902</v>
      </c>
      <c r="B698" s="118" t="s">
        <v>1752</v>
      </c>
      <c r="C698" s="118" t="s">
        <v>1866</v>
      </c>
      <c r="D698" s="119">
        <v>42849</v>
      </c>
      <c r="E698" s="118" t="s">
        <v>2513</v>
      </c>
      <c r="F698" s="118" t="s">
        <v>1777</v>
      </c>
      <c r="G698" s="118">
        <v>3</v>
      </c>
      <c r="H698" s="118">
        <v>10</v>
      </c>
      <c r="I698" s="118">
        <v>11.8</v>
      </c>
      <c r="J698" s="118">
        <v>92.6</v>
      </c>
      <c r="K698" s="118">
        <v>13.8</v>
      </c>
      <c r="L698" s="122">
        <v>-3.22</v>
      </c>
      <c r="M698" s="122">
        <v>-3.54</v>
      </c>
      <c r="N698" s="118">
        <v>-1.71</v>
      </c>
      <c r="O698" s="123" t="s">
        <v>1760</v>
      </c>
    </row>
    <row r="699" spans="1:15" ht="43.2">
      <c r="A699" s="118" t="s">
        <v>2903</v>
      </c>
      <c r="B699" s="118" t="s">
        <v>1752</v>
      </c>
      <c r="C699" s="118" t="s">
        <v>1749</v>
      </c>
      <c r="D699" s="119">
        <v>43597</v>
      </c>
      <c r="E699" s="118" t="s">
        <v>2019</v>
      </c>
      <c r="F699" s="118" t="s">
        <v>1777</v>
      </c>
      <c r="G699" s="118">
        <v>1</v>
      </c>
      <c r="H699" s="118">
        <v>15</v>
      </c>
      <c r="I699" s="118">
        <v>13.5</v>
      </c>
      <c r="J699" s="118">
        <v>83.5</v>
      </c>
      <c r="K699" s="118">
        <v>17.5</v>
      </c>
      <c r="L699" s="122">
        <v>-0.21</v>
      </c>
      <c r="M699" s="122">
        <v>-2.98</v>
      </c>
      <c r="N699" s="118">
        <v>2.09</v>
      </c>
      <c r="O699" s="123" t="s">
        <v>2078</v>
      </c>
    </row>
    <row r="700" spans="1:15" ht="43.2">
      <c r="A700" s="118" t="s">
        <v>2904</v>
      </c>
      <c r="B700" s="118" t="s">
        <v>1743</v>
      </c>
      <c r="C700" s="118" t="s">
        <v>1779</v>
      </c>
      <c r="D700" s="119">
        <v>43180</v>
      </c>
      <c r="E700" s="118" t="s">
        <v>2905</v>
      </c>
      <c r="F700" s="118" t="s">
        <v>1777</v>
      </c>
      <c r="G700" s="118">
        <v>1</v>
      </c>
      <c r="H700" s="118">
        <v>15</v>
      </c>
      <c r="I700" s="118">
        <v>12</v>
      </c>
      <c r="J700" s="118">
        <v>93.2</v>
      </c>
      <c r="K700" s="118">
        <v>18</v>
      </c>
      <c r="L700" s="122">
        <v>-2.12</v>
      </c>
      <c r="M700" s="122">
        <v>-2.08</v>
      </c>
      <c r="N700" s="118">
        <v>-1.29</v>
      </c>
      <c r="O700" s="123" t="s">
        <v>1760</v>
      </c>
    </row>
    <row r="701" spans="1:15" ht="72">
      <c r="A701" s="118" t="s">
        <v>2906</v>
      </c>
      <c r="B701" s="118" t="s">
        <v>1743</v>
      </c>
      <c r="C701" s="118" t="s">
        <v>1779</v>
      </c>
      <c r="D701" s="119">
        <v>43191</v>
      </c>
      <c r="E701" s="118" t="s">
        <v>2907</v>
      </c>
      <c r="F701" s="118" t="s">
        <v>1777</v>
      </c>
      <c r="G701" s="118">
        <v>1</v>
      </c>
      <c r="H701" s="118">
        <v>15</v>
      </c>
      <c r="I701" s="118">
        <v>8.9</v>
      </c>
      <c r="J701" s="118">
        <v>86.5</v>
      </c>
      <c r="K701" s="118">
        <v>18</v>
      </c>
      <c r="L701" s="122">
        <v>-4.3</v>
      </c>
      <c r="M701" s="122">
        <v>-3.61</v>
      </c>
      <c r="N701" s="118">
        <v>-3.29</v>
      </c>
      <c r="O701" s="123" t="s">
        <v>1790</v>
      </c>
    </row>
    <row r="702" spans="1:15" ht="43.2">
      <c r="A702" s="118" t="s">
        <v>2908</v>
      </c>
      <c r="B702" s="118" t="s">
        <v>1752</v>
      </c>
      <c r="C702" s="118" t="s">
        <v>1786</v>
      </c>
      <c r="D702" s="119">
        <v>43364</v>
      </c>
      <c r="E702" s="118" t="s">
        <v>2691</v>
      </c>
      <c r="F702" s="118" t="s">
        <v>1777</v>
      </c>
      <c r="G702" s="118"/>
      <c r="H702" s="118">
        <v>1</v>
      </c>
      <c r="I702" s="118">
        <v>10.199999999999999</v>
      </c>
      <c r="J702" s="118">
        <v>80.3</v>
      </c>
      <c r="K702" s="118">
        <v>16</v>
      </c>
      <c r="L702" s="122">
        <v>-3.23</v>
      </c>
      <c r="M702" s="122">
        <v>-4.9800000000000004</v>
      </c>
      <c r="N702" s="118">
        <v>-0.35</v>
      </c>
      <c r="O702" s="123" t="s">
        <v>1760</v>
      </c>
    </row>
    <row r="703" spans="1:15" ht="43.2">
      <c r="A703" s="118" t="s">
        <v>2909</v>
      </c>
      <c r="B703" s="118" t="s">
        <v>1752</v>
      </c>
      <c r="C703" s="118" t="s">
        <v>1749</v>
      </c>
      <c r="D703" s="119">
        <v>43665</v>
      </c>
      <c r="E703" s="118" t="s">
        <v>2910</v>
      </c>
      <c r="F703" s="118" t="s">
        <v>1777</v>
      </c>
      <c r="G703" s="118">
        <v>4</v>
      </c>
      <c r="H703" s="118">
        <v>8</v>
      </c>
      <c r="I703" s="118">
        <v>12</v>
      </c>
      <c r="J703" s="118">
        <v>86</v>
      </c>
      <c r="K703" s="118">
        <v>15</v>
      </c>
      <c r="L703" s="122">
        <v>-3.18</v>
      </c>
      <c r="M703" s="122">
        <v>-5.1100000000000003</v>
      </c>
      <c r="N703" s="118">
        <v>0.09</v>
      </c>
      <c r="O703" s="123" t="s">
        <v>1760</v>
      </c>
    </row>
    <row r="704" spans="1:15" ht="43.2">
      <c r="A704" s="118" t="s">
        <v>2911</v>
      </c>
      <c r="B704" s="118" t="s">
        <v>1752</v>
      </c>
      <c r="C704" s="118" t="s">
        <v>1749</v>
      </c>
      <c r="D704" s="119">
        <v>43875</v>
      </c>
      <c r="E704" s="118" t="s">
        <v>2816</v>
      </c>
      <c r="F704" s="118" t="s">
        <v>2190</v>
      </c>
      <c r="G704" s="118">
        <v>3</v>
      </c>
      <c r="H704" s="118">
        <v>4</v>
      </c>
      <c r="I704" s="118">
        <v>2.9</v>
      </c>
      <c r="J704" s="118">
        <v>47</v>
      </c>
      <c r="K704" s="118">
        <v>14</v>
      </c>
      <c r="L704" s="122">
        <v>-1.76</v>
      </c>
      <c r="M704" s="122">
        <v>-2.4300000000000002</v>
      </c>
      <c r="N704" s="118">
        <v>0.02</v>
      </c>
      <c r="O704" s="123" t="s">
        <v>1760</v>
      </c>
    </row>
    <row r="705" spans="1:15" ht="43.2">
      <c r="A705" s="118" t="s">
        <v>2912</v>
      </c>
      <c r="B705" s="118" t="s">
        <v>1743</v>
      </c>
      <c r="C705" s="118" t="s">
        <v>1779</v>
      </c>
      <c r="D705" s="119">
        <v>42857</v>
      </c>
      <c r="E705" s="118" t="s">
        <v>2285</v>
      </c>
      <c r="F705" s="118" t="s">
        <v>2190</v>
      </c>
      <c r="G705" s="118">
        <v>5</v>
      </c>
      <c r="H705" s="118">
        <v>2</v>
      </c>
      <c r="I705" s="118">
        <v>14</v>
      </c>
      <c r="J705" s="118">
        <v>88.9</v>
      </c>
      <c r="K705" s="118">
        <v>15.1</v>
      </c>
      <c r="L705" s="122">
        <v>-1.69</v>
      </c>
      <c r="M705" s="122">
        <v>-4.09</v>
      </c>
      <c r="N705" s="118">
        <v>1.36</v>
      </c>
      <c r="O705" s="123" t="s">
        <v>1757</v>
      </c>
    </row>
    <row r="706" spans="1:15" ht="43.2">
      <c r="A706" s="118" t="s">
        <v>2913</v>
      </c>
      <c r="B706" s="118" t="s">
        <v>1752</v>
      </c>
      <c r="C706" s="118" t="s">
        <v>1744</v>
      </c>
      <c r="D706" s="119">
        <v>44144</v>
      </c>
      <c r="E706" s="118" t="s">
        <v>2777</v>
      </c>
      <c r="F706" s="118" t="s">
        <v>2190</v>
      </c>
      <c r="G706" s="118">
        <v>1</v>
      </c>
      <c r="H706" s="118">
        <v>2</v>
      </c>
      <c r="I706" s="118">
        <v>7</v>
      </c>
      <c r="J706" s="118">
        <v>70</v>
      </c>
      <c r="K706" s="118">
        <v>13</v>
      </c>
      <c r="L706" s="122">
        <v>-3.43</v>
      </c>
      <c r="M706" s="122">
        <v>-3.57</v>
      </c>
      <c r="N706" s="118">
        <v>-2.3199999999999998</v>
      </c>
      <c r="O706" s="123" t="s">
        <v>1747</v>
      </c>
    </row>
    <row r="707" spans="1:15" ht="43.2">
      <c r="A707" s="118" t="s">
        <v>2914</v>
      </c>
      <c r="B707" s="118" t="s">
        <v>1743</v>
      </c>
      <c r="C707" s="118" t="s">
        <v>1744</v>
      </c>
      <c r="D707" s="119">
        <v>44312</v>
      </c>
      <c r="E707" s="118" t="s">
        <v>2287</v>
      </c>
      <c r="F707" s="118" t="s">
        <v>2190</v>
      </c>
      <c r="G707" s="118">
        <v>5</v>
      </c>
      <c r="H707" s="118">
        <v>2</v>
      </c>
      <c r="I707" s="118">
        <v>7.4</v>
      </c>
      <c r="J707" s="118">
        <v>75.5</v>
      </c>
      <c r="K707" s="118">
        <v>12</v>
      </c>
      <c r="L707" s="122">
        <v>-3.35</v>
      </c>
      <c r="M707" s="122">
        <v>-2.83</v>
      </c>
      <c r="N707" s="118">
        <v>-2.58</v>
      </c>
      <c r="O707" s="123" t="s">
        <v>1747</v>
      </c>
    </row>
    <row r="708" spans="1:15" ht="43.2">
      <c r="A708" s="118" t="s">
        <v>2915</v>
      </c>
      <c r="B708" s="118" t="s">
        <v>1752</v>
      </c>
      <c r="C708" s="118" t="s">
        <v>1744</v>
      </c>
      <c r="D708" s="119">
        <v>44112</v>
      </c>
      <c r="E708" s="118" t="s">
        <v>2780</v>
      </c>
      <c r="F708" s="118" t="s">
        <v>2190</v>
      </c>
      <c r="G708" s="118">
        <v>3</v>
      </c>
      <c r="H708" s="118">
        <v>1</v>
      </c>
      <c r="I708" s="118">
        <v>9.1</v>
      </c>
      <c r="J708" s="118">
        <v>81.5</v>
      </c>
      <c r="K708" s="118">
        <v>12</v>
      </c>
      <c r="L708" s="122">
        <v>-3.05</v>
      </c>
      <c r="M708" s="122">
        <v>-2.75</v>
      </c>
      <c r="N708" s="118">
        <v>-2.2200000000000002</v>
      </c>
      <c r="O708" s="123" t="s">
        <v>1747</v>
      </c>
    </row>
    <row r="709" spans="1:15" ht="43.2">
      <c r="A709" s="118" t="s">
        <v>2916</v>
      </c>
      <c r="B709" s="118" t="s">
        <v>1743</v>
      </c>
      <c r="C709" s="118" t="s">
        <v>1786</v>
      </c>
      <c r="D709" s="119">
        <v>43293</v>
      </c>
      <c r="E709" s="118" t="s">
        <v>2282</v>
      </c>
      <c r="F709" s="118" t="s">
        <v>2190</v>
      </c>
      <c r="G709" s="118">
        <v>2</v>
      </c>
      <c r="H709" s="118">
        <v>1</v>
      </c>
      <c r="I709" s="118">
        <v>11.4</v>
      </c>
      <c r="J709" s="118">
        <v>90</v>
      </c>
      <c r="K709" s="118">
        <v>13</v>
      </c>
      <c r="L709" s="122">
        <v>-3.12</v>
      </c>
      <c r="M709" s="122">
        <v>-3.67</v>
      </c>
      <c r="N709" s="118">
        <v>-1.19</v>
      </c>
      <c r="O709" s="123" t="s">
        <v>1760</v>
      </c>
    </row>
    <row r="710" spans="1:15" ht="43.2">
      <c r="A710" s="118" t="s">
        <v>2917</v>
      </c>
      <c r="B710" s="118" t="s">
        <v>1743</v>
      </c>
      <c r="C710" s="118" t="s">
        <v>1744</v>
      </c>
      <c r="D710" s="119">
        <v>43956</v>
      </c>
      <c r="E710" s="118" t="s">
        <v>2918</v>
      </c>
      <c r="F710" s="118" t="s">
        <v>2190</v>
      </c>
      <c r="G710" s="118">
        <v>9</v>
      </c>
      <c r="H710" s="118">
        <v>3</v>
      </c>
      <c r="I710" s="118">
        <v>10</v>
      </c>
      <c r="J710" s="118">
        <v>82</v>
      </c>
      <c r="K710" s="118">
        <v>14</v>
      </c>
      <c r="L710" s="122">
        <v>-2.36</v>
      </c>
      <c r="M710" s="122">
        <v>-3.01</v>
      </c>
      <c r="N710" s="118">
        <v>-0.74</v>
      </c>
      <c r="O710" s="123" t="s">
        <v>1760</v>
      </c>
    </row>
    <row r="711" spans="1:15" ht="43.2">
      <c r="A711" s="118" t="s">
        <v>2919</v>
      </c>
      <c r="B711" s="118" t="s">
        <v>1752</v>
      </c>
      <c r="C711" s="118" t="s">
        <v>1786</v>
      </c>
      <c r="D711" s="119">
        <v>43334</v>
      </c>
      <c r="E711" s="118" t="s">
        <v>2920</v>
      </c>
      <c r="F711" s="118" t="s">
        <v>1781</v>
      </c>
      <c r="G711" s="118">
        <v>3</v>
      </c>
      <c r="H711" s="118">
        <v>1</v>
      </c>
      <c r="I711" s="118">
        <v>11</v>
      </c>
      <c r="J711" s="118">
        <v>93</v>
      </c>
      <c r="K711" s="118">
        <v>14</v>
      </c>
      <c r="L711" s="122">
        <v>-3.5</v>
      </c>
      <c r="M711" s="122">
        <v>-3.06</v>
      </c>
      <c r="N711" s="118">
        <v>-2.73</v>
      </c>
      <c r="O711" s="123" t="s">
        <v>1747</v>
      </c>
    </row>
    <row r="712" spans="1:15" ht="43.2">
      <c r="A712" s="118" t="s">
        <v>2921</v>
      </c>
      <c r="B712" s="118" t="s">
        <v>1752</v>
      </c>
      <c r="C712" s="118" t="s">
        <v>1749</v>
      </c>
      <c r="D712" s="119">
        <v>43717</v>
      </c>
      <c r="E712" s="118" t="s">
        <v>2922</v>
      </c>
      <c r="F712" s="118" t="s">
        <v>1781</v>
      </c>
      <c r="G712" s="118">
        <v>3</v>
      </c>
      <c r="H712" s="118">
        <v>2</v>
      </c>
      <c r="I712" s="118">
        <v>10.5</v>
      </c>
      <c r="J712" s="118">
        <v>84</v>
      </c>
      <c r="K712" s="118">
        <v>15</v>
      </c>
      <c r="L712" s="122">
        <v>-3.04</v>
      </c>
      <c r="M712" s="122">
        <v>-4.08</v>
      </c>
      <c r="N712" s="118">
        <v>-0.87</v>
      </c>
      <c r="O712" s="123" t="s">
        <v>1760</v>
      </c>
    </row>
    <row r="713" spans="1:15" ht="43.2">
      <c r="A713" s="118" t="s">
        <v>2923</v>
      </c>
      <c r="B713" s="118" t="s">
        <v>1752</v>
      </c>
      <c r="C713" s="118" t="s">
        <v>1749</v>
      </c>
      <c r="D713" s="119">
        <v>43647</v>
      </c>
      <c r="E713" s="118" t="s">
        <v>2924</v>
      </c>
      <c r="F713" s="118" t="s">
        <v>1781</v>
      </c>
      <c r="G713" s="118"/>
      <c r="H713" s="118">
        <v>3</v>
      </c>
      <c r="I713" s="118">
        <v>12</v>
      </c>
      <c r="J713" s="118">
        <v>91</v>
      </c>
      <c r="K713" s="118">
        <v>15</v>
      </c>
      <c r="L713" s="122">
        <v>-2.1</v>
      </c>
      <c r="M713" s="122">
        <v>-2.56</v>
      </c>
      <c r="N713" s="118">
        <v>-0.97</v>
      </c>
      <c r="O713" s="123" t="s">
        <v>1760</v>
      </c>
    </row>
    <row r="714" spans="1:15" ht="43.2">
      <c r="A714" s="118" t="s">
        <v>2925</v>
      </c>
      <c r="B714" s="118" t="s">
        <v>1743</v>
      </c>
      <c r="C714" s="118" t="s">
        <v>1755</v>
      </c>
      <c r="D714" s="119">
        <v>44624</v>
      </c>
      <c r="E714" s="118" t="s">
        <v>2926</v>
      </c>
      <c r="F714" s="118" t="s">
        <v>1781</v>
      </c>
      <c r="G714" s="118"/>
      <c r="H714" s="118">
        <v>3</v>
      </c>
      <c r="I714" s="118">
        <v>5.4</v>
      </c>
      <c r="J714" s="118">
        <v>62.3</v>
      </c>
      <c r="K714" s="118">
        <v>12</v>
      </c>
      <c r="L714" s="122">
        <v>-4.03</v>
      </c>
      <c r="M714" s="122">
        <v>-4.33</v>
      </c>
      <c r="N714" s="118">
        <v>-2.0099999999999998</v>
      </c>
      <c r="O714" s="123" t="s">
        <v>1747</v>
      </c>
    </row>
    <row r="715" spans="1:15" ht="43.2">
      <c r="A715" s="118" t="s">
        <v>2927</v>
      </c>
      <c r="B715" s="118" t="s">
        <v>1743</v>
      </c>
      <c r="C715" s="118" t="s">
        <v>1744</v>
      </c>
      <c r="D715" s="119">
        <v>44104</v>
      </c>
      <c r="E715" s="118" t="s">
        <v>2196</v>
      </c>
      <c r="F715" s="118" t="s">
        <v>1781</v>
      </c>
      <c r="G715" s="118">
        <v>3</v>
      </c>
      <c r="H715" s="118">
        <v>2</v>
      </c>
      <c r="I715" s="118">
        <v>8.5</v>
      </c>
      <c r="J715" s="118">
        <v>76.5</v>
      </c>
      <c r="K715" s="118">
        <v>12.5</v>
      </c>
      <c r="L715" s="122">
        <v>-3.22</v>
      </c>
      <c r="M715" s="122">
        <v>-3.82</v>
      </c>
      <c r="N715" s="118">
        <v>-1.33</v>
      </c>
      <c r="O715" s="123" t="s">
        <v>1760</v>
      </c>
    </row>
    <row r="716" spans="1:15" ht="43.2">
      <c r="A716" s="118" t="s">
        <v>2928</v>
      </c>
      <c r="B716" s="118" t="s">
        <v>1752</v>
      </c>
      <c r="C716" s="118" t="s">
        <v>1779</v>
      </c>
      <c r="D716" s="119">
        <v>43152</v>
      </c>
      <c r="E716" s="118" t="s">
        <v>2822</v>
      </c>
      <c r="F716" s="118" t="s">
        <v>1781</v>
      </c>
      <c r="G716" s="118">
        <v>2</v>
      </c>
      <c r="H716" s="118">
        <v>12</v>
      </c>
      <c r="I716" s="118">
        <v>14.1</v>
      </c>
      <c r="J716" s="118">
        <v>96</v>
      </c>
      <c r="K716" s="118">
        <v>14</v>
      </c>
      <c r="L716" s="122">
        <v>-1.96</v>
      </c>
      <c r="M716" s="122">
        <v>-2.97</v>
      </c>
      <c r="N716" s="118">
        <v>-0.18</v>
      </c>
      <c r="O716" s="123" t="s">
        <v>1760</v>
      </c>
    </row>
    <row r="717" spans="1:15" ht="43.2">
      <c r="A717" s="118" t="s">
        <v>2929</v>
      </c>
      <c r="B717" s="118" t="s">
        <v>1752</v>
      </c>
      <c r="C717" s="118" t="s">
        <v>1749</v>
      </c>
      <c r="D717" s="119">
        <v>43790</v>
      </c>
      <c r="E717" s="118" t="s">
        <v>2824</v>
      </c>
      <c r="F717" s="118" t="s">
        <v>1781</v>
      </c>
      <c r="G717" s="118">
        <v>1</v>
      </c>
      <c r="H717" s="118">
        <v>3</v>
      </c>
      <c r="I717" s="118">
        <v>9.75</v>
      </c>
      <c r="J717" s="118">
        <v>87</v>
      </c>
      <c r="K717" s="118">
        <v>13.5</v>
      </c>
      <c r="L717" s="122">
        <v>-3.4</v>
      </c>
      <c r="M717" s="122">
        <v>-2.8</v>
      </c>
      <c r="N717" s="118">
        <v>-2.84</v>
      </c>
      <c r="O717" s="123" t="s">
        <v>1747</v>
      </c>
    </row>
    <row r="718" spans="1:15" ht="43.2">
      <c r="A718" s="118" t="s">
        <v>2930</v>
      </c>
      <c r="B718" s="118" t="s">
        <v>1752</v>
      </c>
      <c r="C718" s="118" t="s">
        <v>1744</v>
      </c>
      <c r="D718" s="119">
        <v>44169</v>
      </c>
      <c r="E718" s="118" t="s">
        <v>2596</v>
      </c>
      <c r="F718" s="118" t="s">
        <v>1781</v>
      </c>
      <c r="G718" s="118">
        <v>2</v>
      </c>
      <c r="H718" s="118">
        <v>13</v>
      </c>
      <c r="I718" s="118">
        <v>8.1999999999999993</v>
      </c>
      <c r="J718" s="118">
        <v>78</v>
      </c>
      <c r="K718" s="118">
        <v>14</v>
      </c>
      <c r="L718" s="122">
        <v>-3.67</v>
      </c>
      <c r="M718" s="122">
        <v>-3.46</v>
      </c>
      <c r="N718" s="118">
        <v>-2.74</v>
      </c>
      <c r="O718" s="123" t="s">
        <v>1747</v>
      </c>
    </row>
    <row r="719" spans="1:15" ht="43.2">
      <c r="A719" s="118" t="s">
        <v>2931</v>
      </c>
      <c r="B719" s="118" t="s">
        <v>1752</v>
      </c>
      <c r="C719" s="118" t="s">
        <v>1755</v>
      </c>
      <c r="D719" s="119">
        <v>44651</v>
      </c>
      <c r="E719" s="118" t="s">
        <v>2119</v>
      </c>
      <c r="F719" s="118" t="s">
        <v>1781</v>
      </c>
      <c r="G719" s="118">
        <v>2</v>
      </c>
      <c r="H719" s="118">
        <v>2</v>
      </c>
      <c r="I719" s="118">
        <v>6.5</v>
      </c>
      <c r="J719" s="118">
        <v>65.5</v>
      </c>
      <c r="K719" s="118">
        <v>14</v>
      </c>
      <c r="L719" s="122">
        <v>-3.21</v>
      </c>
      <c r="M719" s="122">
        <v>-3.64</v>
      </c>
      <c r="N719" s="118">
        <v>-1.59</v>
      </c>
      <c r="O719" s="123" t="s">
        <v>1760</v>
      </c>
    </row>
    <row r="720" spans="1:15" ht="43.2">
      <c r="A720" s="118" t="s">
        <v>2932</v>
      </c>
      <c r="B720" s="118" t="s">
        <v>1752</v>
      </c>
      <c r="C720" s="118" t="s">
        <v>1755</v>
      </c>
      <c r="D720" s="119">
        <v>44371</v>
      </c>
      <c r="E720" s="118" t="s">
        <v>2320</v>
      </c>
      <c r="F720" s="118" t="s">
        <v>1781</v>
      </c>
      <c r="G720" s="118">
        <v>3</v>
      </c>
      <c r="H720" s="118">
        <v>11</v>
      </c>
      <c r="I720" s="118">
        <v>9</v>
      </c>
      <c r="J720" s="118">
        <v>78</v>
      </c>
      <c r="K720" s="118">
        <v>15</v>
      </c>
      <c r="L720" s="122">
        <v>-2.0099999999999998</v>
      </c>
      <c r="M720" s="122">
        <v>-2.09</v>
      </c>
      <c r="N720" s="118">
        <v>-1.39</v>
      </c>
      <c r="O720" s="123" t="s">
        <v>1760</v>
      </c>
    </row>
    <row r="721" spans="1:15" ht="43.2">
      <c r="A721" s="118" t="s">
        <v>2933</v>
      </c>
      <c r="B721" s="118" t="s">
        <v>1752</v>
      </c>
      <c r="C721" s="118" t="s">
        <v>1744</v>
      </c>
      <c r="D721" s="119">
        <v>44286</v>
      </c>
      <c r="E721" s="118" t="s">
        <v>2308</v>
      </c>
      <c r="F721" s="118" t="s">
        <v>1781</v>
      </c>
      <c r="G721" s="118">
        <v>4</v>
      </c>
      <c r="H721" s="118">
        <v>2</v>
      </c>
      <c r="I721" s="118">
        <v>9.1</v>
      </c>
      <c r="J721" s="118">
        <v>79.5</v>
      </c>
      <c r="K721" s="118"/>
      <c r="L721" s="122">
        <v>-2.29</v>
      </c>
      <c r="M721" s="122">
        <v>-2.2799999999999998</v>
      </c>
      <c r="N721" s="118">
        <v>-1.59</v>
      </c>
      <c r="O721" s="123" t="s">
        <v>1760</v>
      </c>
    </row>
    <row r="722" spans="1:15" ht="43.2">
      <c r="A722" s="118" t="s">
        <v>2934</v>
      </c>
      <c r="B722" s="118" t="s">
        <v>1752</v>
      </c>
      <c r="C722" s="118" t="s">
        <v>1744</v>
      </c>
      <c r="D722" s="119">
        <v>44217</v>
      </c>
      <c r="E722" s="118" t="s">
        <v>2713</v>
      </c>
      <c r="F722" s="118" t="s">
        <v>1781</v>
      </c>
      <c r="G722" s="118">
        <v>1</v>
      </c>
      <c r="H722" s="118">
        <v>2</v>
      </c>
      <c r="I722" s="118">
        <v>13.55</v>
      </c>
      <c r="J722" s="118">
        <v>80.7</v>
      </c>
      <c r="K722" s="118"/>
      <c r="L722" s="122">
        <v>0.87</v>
      </c>
      <c r="M722" s="122">
        <v>-2.23</v>
      </c>
      <c r="N722" s="118">
        <v>2.72</v>
      </c>
      <c r="O722" s="123" t="s">
        <v>2078</v>
      </c>
    </row>
    <row r="723" spans="1:15" ht="43.2">
      <c r="A723" s="118" t="s">
        <v>2935</v>
      </c>
      <c r="B723" s="118" t="s">
        <v>1752</v>
      </c>
      <c r="C723" s="118" t="s">
        <v>1744</v>
      </c>
      <c r="D723" s="119">
        <v>44051</v>
      </c>
      <c r="E723" s="118" t="s">
        <v>2313</v>
      </c>
      <c r="F723" s="118" t="s">
        <v>1781</v>
      </c>
      <c r="G723" s="118">
        <v>2</v>
      </c>
      <c r="H723" s="118">
        <v>11</v>
      </c>
      <c r="I723" s="118">
        <v>10.199999999999999</v>
      </c>
      <c r="J723" s="118">
        <v>84.2</v>
      </c>
      <c r="K723" s="118">
        <v>14</v>
      </c>
      <c r="L723" s="122">
        <v>-2.2799999999999998</v>
      </c>
      <c r="M723" s="122">
        <v>-2.29</v>
      </c>
      <c r="N723" s="118">
        <v>-1.47</v>
      </c>
      <c r="O723" s="123" t="s">
        <v>1760</v>
      </c>
    </row>
    <row r="724" spans="1:15" ht="43.2">
      <c r="A724" s="118" t="s">
        <v>2936</v>
      </c>
      <c r="B724" s="118" t="s">
        <v>1752</v>
      </c>
      <c r="C724" s="118" t="s">
        <v>1744</v>
      </c>
      <c r="D724" s="119">
        <v>44004</v>
      </c>
      <c r="E724" s="118" t="s">
        <v>2937</v>
      </c>
      <c r="F724" s="118" t="s">
        <v>1784</v>
      </c>
      <c r="G724" s="118">
        <v>3</v>
      </c>
      <c r="H724" s="118">
        <v>2</v>
      </c>
      <c r="I724" s="118">
        <v>9.6999999999999993</v>
      </c>
      <c r="J724" s="118">
        <v>84.9</v>
      </c>
      <c r="K724" s="118"/>
      <c r="L724" s="122">
        <v>-2.86</v>
      </c>
      <c r="M724" s="122">
        <v>-2.34</v>
      </c>
      <c r="N724" s="118">
        <v>-2.31</v>
      </c>
      <c r="O724" s="123" t="s">
        <v>1747</v>
      </c>
    </row>
    <row r="725" spans="1:15" ht="43.2">
      <c r="A725" s="118" t="s">
        <v>2938</v>
      </c>
      <c r="B725" s="118" t="s">
        <v>1752</v>
      </c>
      <c r="C725" s="118" t="s">
        <v>1755</v>
      </c>
      <c r="D725" s="119">
        <v>44614</v>
      </c>
      <c r="E725" s="118" t="s">
        <v>2939</v>
      </c>
      <c r="F725" s="118" t="s">
        <v>1784</v>
      </c>
      <c r="G725" s="118">
        <v>3</v>
      </c>
      <c r="H725" s="118">
        <v>4</v>
      </c>
      <c r="I725" s="118">
        <v>7</v>
      </c>
      <c r="J725" s="118">
        <v>70</v>
      </c>
      <c r="K725" s="118">
        <v>12</v>
      </c>
      <c r="L725" s="122">
        <v>-2.84</v>
      </c>
      <c r="M725" s="122">
        <v>-2.2799999999999998</v>
      </c>
      <c r="N725" s="118">
        <v>-2.3199999999999998</v>
      </c>
      <c r="O725" s="123" t="s">
        <v>1747</v>
      </c>
    </row>
    <row r="726" spans="1:15" ht="28.8">
      <c r="A726" s="118" t="s">
        <v>2940</v>
      </c>
      <c r="B726" s="118" t="s">
        <v>1752</v>
      </c>
      <c r="C726" s="118" t="s">
        <v>1779</v>
      </c>
      <c r="D726" s="119">
        <v>43172</v>
      </c>
      <c r="E726" s="118" t="s">
        <v>2326</v>
      </c>
      <c r="F726" s="118" t="s">
        <v>1784</v>
      </c>
      <c r="G726" s="118">
        <v>7</v>
      </c>
      <c r="H726" s="118">
        <v>7</v>
      </c>
      <c r="I726" s="118">
        <v>13.8</v>
      </c>
      <c r="J726" s="118">
        <v>100</v>
      </c>
      <c r="K726" s="118">
        <v>15</v>
      </c>
      <c r="L726" s="122">
        <v>-2.08</v>
      </c>
      <c r="M726" s="122">
        <v>-2.0299999999999998</v>
      </c>
      <c r="N726" s="118">
        <v>-1.32</v>
      </c>
      <c r="O726" s="123" t="s">
        <v>1760</v>
      </c>
    </row>
    <row r="727" spans="1:15" ht="28.8">
      <c r="A727" s="118" t="s">
        <v>2941</v>
      </c>
      <c r="B727" s="118" t="s">
        <v>1752</v>
      </c>
      <c r="C727" s="118" t="s">
        <v>1779</v>
      </c>
      <c r="D727" s="119">
        <v>43187</v>
      </c>
      <c r="E727" s="118" t="s">
        <v>1798</v>
      </c>
      <c r="F727" s="118" t="s">
        <v>1784</v>
      </c>
      <c r="G727" s="118">
        <v>4</v>
      </c>
      <c r="H727" s="118">
        <v>5</v>
      </c>
      <c r="I727" s="118">
        <v>14.4</v>
      </c>
      <c r="J727" s="118">
        <v>99</v>
      </c>
      <c r="K727" s="118">
        <v>15</v>
      </c>
      <c r="L727" s="122">
        <v>-1.73</v>
      </c>
      <c r="M727" s="122">
        <v>-2.2200000000000002</v>
      </c>
      <c r="N727" s="118">
        <v>-0.56999999999999995</v>
      </c>
      <c r="O727" s="123" t="s">
        <v>1760</v>
      </c>
    </row>
    <row r="728" spans="1:15" ht="28.8">
      <c r="A728" s="118" t="s">
        <v>2942</v>
      </c>
      <c r="B728" s="118" t="s">
        <v>1752</v>
      </c>
      <c r="C728" s="118" t="s">
        <v>1786</v>
      </c>
      <c r="D728" s="119">
        <v>43231</v>
      </c>
      <c r="E728" s="118" t="s">
        <v>2036</v>
      </c>
      <c r="F728" s="118" t="s">
        <v>1784</v>
      </c>
      <c r="G728" s="118">
        <v>2</v>
      </c>
      <c r="H728" s="118">
        <v>4</v>
      </c>
      <c r="I728" s="118">
        <v>12.8</v>
      </c>
      <c r="J728" s="118">
        <v>96.2</v>
      </c>
      <c r="K728" s="118"/>
      <c r="L728" s="122">
        <v>-2.54</v>
      </c>
      <c r="M728" s="122">
        <v>-2.66</v>
      </c>
      <c r="N728" s="118">
        <v>-1.44</v>
      </c>
      <c r="O728" s="123" t="s">
        <v>1760</v>
      </c>
    </row>
    <row r="729" spans="1:15" ht="28.8">
      <c r="A729" s="118" t="s">
        <v>2943</v>
      </c>
      <c r="B729" s="118" t="s">
        <v>1743</v>
      </c>
      <c r="C729" s="118" t="s">
        <v>1786</v>
      </c>
      <c r="D729" s="119">
        <v>43418</v>
      </c>
      <c r="E729" s="118" t="s">
        <v>1802</v>
      </c>
      <c r="F729" s="118" t="s">
        <v>1784</v>
      </c>
      <c r="G729" s="118">
        <v>3</v>
      </c>
      <c r="H729" s="118">
        <v>7</v>
      </c>
      <c r="I729" s="118">
        <v>12.2</v>
      </c>
      <c r="J729" s="118">
        <v>95</v>
      </c>
      <c r="K729" s="118">
        <v>14.5</v>
      </c>
      <c r="L729" s="122">
        <v>-2.2799999999999998</v>
      </c>
      <c r="M729" s="122">
        <v>-2.11</v>
      </c>
      <c r="N729" s="118">
        <v>-1.48</v>
      </c>
      <c r="O729" s="123" t="s">
        <v>1760</v>
      </c>
    </row>
    <row r="730" spans="1:15" ht="43.2">
      <c r="A730" s="118" t="s">
        <v>2944</v>
      </c>
      <c r="B730" s="118" t="s">
        <v>1743</v>
      </c>
      <c r="C730" s="118" t="s">
        <v>1786</v>
      </c>
      <c r="D730" s="119">
        <v>43466</v>
      </c>
      <c r="E730" s="118" t="s">
        <v>2945</v>
      </c>
      <c r="F730" s="118" t="s">
        <v>1807</v>
      </c>
      <c r="G730" s="118">
        <v>9</v>
      </c>
      <c r="H730" s="118">
        <v>2</v>
      </c>
      <c r="I730" s="118">
        <v>11.4</v>
      </c>
      <c r="J730" s="118">
        <v>89.7</v>
      </c>
      <c r="K730" s="118"/>
      <c r="L730" s="122">
        <v>-2.7</v>
      </c>
      <c r="M730" s="122">
        <v>-3.14</v>
      </c>
      <c r="N730" s="118">
        <v>-1.1200000000000001</v>
      </c>
      <c r="O730" s="123" t="s">
        <v>1760</v>
      </c>
    </row>
    <row r="731" spans="1:15" ht="43.2">
      <c r="A731" s="118" t="s">
        <v>2946</v>
      </c>
      <c r="B731" s="118" t="s">
        <v>1752</v>
      </c>
      <c r="C731" s="118" t="s">
        <v>1786</v>
      </c>
      <c r="D731" s="119">
        <v>43519</v>
      </c>
      <c r="E731" s="118" t="s">
        <v>2843</v>
      </c>
      <c r="F731" s="118" t="s">
        <v>1807</v>
      </c>
      <c r="G731" s="118">
        <v>4</v>
      </c>
      <c r="H731" s="118">
        <v>4</v>
      </c>
      <c r="I731" s="118">
        <v>12.1</v>
      </c>
      <c r="J731" s="118">
        <v>91.2</v>
      </c>
      <c r="K731" s="118">
        <v>15</v>
      </c>
      <c r="L731" s="122">
        <v>-2.38</v>
      </c>
      <c r="M731" s="122">
        <v>-2.86</v>
      </c>
      <c r="N731" s="118">
        <v>-1.07</v>
      </c>
      <c r="O731" s="123" t="s">
        <v>1760</v>
      </c>
    </row>
    <row r="732" spans="1:15" ht="43.2">
      <c r="A732" s="118" t="s">
        <v>2947</v>
      </c>
      <c r="B732" s="118" t="s">
        <v>1752</v>
      </c>
      <c r="C732" s="118" t="s">
        <v>1744</v>
      </c>
      <c r="D732" s="119">
        <v>43971</v>
      </c>
      <c r="E732" s="118" t="s">
        <v>2948</v>
      </c>
      <c r="F732" s="118" t="s">
        <v>1807</v>
      </c>
      <c r="G732" s="118">
        <v>8</v>
      </c>
      <c r="H732" s="118">
        <v>2</v>
      </c>
      <c r="I732" s="118">
        <v>10.199999999999999</v>
      </c>
      <c r="J732" s="118">
        <v>85.3</v>
      </c>
      <c r="K732" s="118">
        <v>14.9</v>
      </c>
      <c r="L732" s="122">
        <v>-2.5299999999999998</v>
      </c>
      <c r="M732" s="122">
        <v>-2.39</v>
      </c>
      <c r="N732" s="118">
        <v>-1.77</v>
      </c>
      <c r="O732" s="123" t="s">
        <v>1760</v>
      </c>
    </row>
    <row r="733" spans="1:15" ht="57.6">
      <c r="A733" s="118" t="s">
        <v>2949</v>
      </c>
      <c r="B733" s="118" t="s">
        <v>1752</v>
      </c>
      <c r="C733" s="118" t="s">
        <v>1744</v>
      </c>
      <c r="D733" s="119">
        <v>43979</v>
      </c>
      <c r="E733" s="118" t="s">
        <v>2611</v>
      </c>
      <c r="F733" s="118" t="s">
        <v>1807</v>
      </c>
      <c r="G733" s="118">
        <v>1</v>
      </c>
      <c r="H733" s="118">
        <v>4</v>
      </c>
      <c r="I733" s="118">
        <v>10</v>
      </c>
      <c r="J733" s="118">
        <v>86</v>
      </c>
      <c r="K733" s="118">
        <v>16</v>
      </c>
      <c r="L733" s="122">
        <v>-2.69</v>
      </c>
      <c r="M733" s="122">
        <v>-2.1800000000000002</v>
      </c>
      <c r="N733" s="118">
        <v>-2.23</v>
      </c>
      <c r="O733" s="123" t="s">
        <v>1747</v>
      </c>
    </row>
    <row r="734" spans="1:15" ht="43.2">
      <c r="A734" s="118" t="s">
        <v>2950</v>
      </c>
      <c r="B734" s="118" t="s">
        <v>1743</v>
      </c>
      <c r="C734" s="118" t="s">
        <v>1744</v>
      </c>
      <c r="D734" s="119">
        <v>44145</v>
      </c>
      <c r="E734" s="118" t="s">
        <v>2951</v>
      </c>
      <c r="F734" s="118" t="s">
        <v>1807</v>
      </c>
      <c r="G734" s="118">
        <v>2</v>
      </c>
      <c r="H734" s="118">
        <v>4</v>
      </c>
      <c r="I734" s="118">
        <v>10.8</v>
      </c>
      <c r="J734" s="118">
        <v>78.8</v>
      </c>
      <c r="K734" s="118"/>
      <c r="L734" s="122">
        <v>-0.89</v>
      </c>
      <c r="M734" s="122">
        <v>-2.75</v>
      </c>
      <c r="N734" s="118">
        <v>0.86</v>
      </c>
      <c r="O734" s="123" t="s">
        <v>1760</v>
      </c>
    </row>
    <row r="735" spans="1:15" ht="43.2">
      <c r="A735" s="118" t="s">
        <v>2952</v>
      </c>
      <c r="B735" s="118" t="s">
        <v>1752</v>
      </c>
      <c r="C735" s="118" t="s">
        <v>1744</v>
      </c>
      <c r="D735" s="119">
        <v>44154</v>
      </c>
      <c r="E735" s="118" t="s">
        <v>2953</v>
      </c>
      <c r="F735" s="118" t="s">
        <v>1807</v>
      </c>
      <c r="G735" s="118">
        <v>8</v>
      </c>
      <c r="H735" s="118">
        <v>3</v>
      </c>
      <c r="I735" s="118">
        <v>9</v>
      </c>
      <c r="J735" s="118">
        <v>80</v>
      </c>
      <c r="K735" s="118">
        <v>14</v>
      </c>
      <c r="L735" s="122">
        <v>-2.98</v>
      </c>
      <c r="M735" s="122">
        <v>-2.92</v>
      </c>
      <c r="N735" s="118">
        <v>-2.0099999999999998</v>
      </c>
      <c r="O735" s="123" t="s">
        <v>1747</v>
      </c>
    </row>
    <row r="736" spans="1:15" ht="43.2">
      <c r="A736" s="118" t="s">
        <v>2954</v>
      </c>
      <c r="B736" s="118" t="s">
        <v>1743</v>
      </c>
      <c r="C736" s="118" t="s">
        <v>1786</v>
      </c>
      <c r="D736" s="119">
        <v>43378</v>
      </c>
      <c r="E736" s="118" t="s">
        <v>2955</v>
      </c>
      <c r="F736" s="118" t="s">
        <v>1807</v>
      </c>
      <c r="G736" s="118">
        <v>8</v>
      </c>
      <c r="H736" s="118">
        <v>3</v>
      </c>
      <c r="I736" s="118">
        <v>10.9</v>
      </c>
      <c r="J736" s="118">
        <v>92</v>
      </c>
      <c r="K736" s="118">
        <v>15</v>
      </c>
      <c r="L736" s="122">
        <v>-3.27</v>
      </c>
      <c r="M736" s="122">
        <v>-2.96</v>
      </c>
      <c r="N736" s="118">
        <v>-2.17</v>
      </c>
      <c r="O736" s="123" t="s">
        <v>1747</v>
      </c>
    </row>
    <row r="737" spans="1:15" ht="43.2">
      <c r="A737" s="118" t="s">
        <v>2956</v>
      </c>
      <c r="B737" s="118" t="s">
        <v>1752</v>
      </c>
      <c r="C737" s="118" t="s">
        <v>1749</v>
      </c>
      <c r="D737" s="119">
        <v>43759</v>
      </c>
      <c r="E737" s="118" t="s">
        <v>2957</v>
      </c>
      <c r="F737" s="118" t="s">
        <v>1807</v>
      </c>
      <c r="G737" s="118">
        <v>5</v>
      </c>
      <c r="H737" s="118">
        <v>2</v>
      </c>
      <c r="I737" s="118">
        <v>11.3</v>
      </c>
      <c r="J737" s="118">
        <v>88</v>
      </c>
      <c r="K737" s="118">
        <v>15.6</v>
      </c>
      <c r="L737" s="122">
        <v>-2.29</v>
      </c>
      <c r="M737" s="122">
        <v>-2.68</v>
      </c>
      <c r="N737" s="118">
        <v>-1.18</v>
      </c>
      <c r="O737" s="123" t="s">
        <v>1760</v>
      </c>
    </row>
    <row r="738" spans="1:15" ht="43.2">
      <c r="A738" s="118" t="s">
        <v>2958</v>
      </c>
      <c r="B738" s="118" t="s">
        <v>1743</v>
      </c>
      <c r="C738" s="118" t="s">
        <v>1755</v>
      </c>
      <c r="D738" s="119">
        <v>44433</v>
      </c>
      <c r="E738" s="118" t="s">
        <v>2959</v>
      </c>
      <c r="F738" s="118" t="s">
        <v>1807</v>
      </c>
      <c r="G738" s="118">
        <v>7</v>
      </c>
      <c r="H738" s="118">
        <v>2</v>
      </c>
      <c r="I738" s="118">
        <v>7.9</v>
      </c>
      <c r="J738" s="118">
        <v>71</v>
      </c>
      <c r="K738" s="118">
        <v>13</v>
      </c>
      <c r="L738" s="122">
        <v>-2.06</v>
      </c>
      <c r="M738" s="122">
        <v>-3.16</v>
      </c>
      <c r="N738" s="118">
        <v>-0.64</v>
      </c>
      <c r="O738" s="123" t="s">
        <v>1760</v>
      </c>
    </row>
    <row r="739" spans="1:15" ht="43.2">
      <c r="A739" s="118" t="s">
        <v>2960</v>
      </c>
      <c r="B739" s="118" t="s">
        <v>1743</v>
      </c>
      <c r="C739" s="118" t="s">
        <v>1744</v>
      </c>
      <c r="D739" s="119">
        <v>44265</v>
      </c>
      <c r="E739" s="118" t="s">
        <v>2961</v>
      </c>
      <c r="F739" s="118" t="s">
        <v>1807</v>
      </c>
      <c r="G739" s="118">
        <v>3</v>
      </c>
      <c r="H739" s="118">
        <v>2</v>
      </c>
      <c r="I739" s="118">
        <v>7.75</v>
      </c>
      <c r="J739" s="118">
        <v>78</v>
      </c>
      <c r="K739" s="118">
        <v>12</v>
      </c>
      <c r="L739" s="122">
        <v>-3.17</v>
      </c>
      <c r="M739" s="122">
        <v>-2.34</v>
      </c>
      <c r="N739" s="118">
        <v>-2.62</v>
      </c>
      <c r="O739" s="123" t="s">
        <v>1747</v>
      </c>
    </row>
    <row r="740" spans="1:15" ht="43.2">
      <c r="A740" s="118" t="s">
        <v>2962</v>
      </c>
      <c r="B740" s="118" t="s">
        <v>1743</v>
      </c>
      <c r="C740" s="118" t="s">
        <v>1749</v>
      </c>
      <c r="D740" s="119">
        <v>43593</v>
      </c>
      <c r="E740" s="118" t="s">
        <v>2963</v>
      </c>
      <c r="F740" s="118" t="s">
        <v>1807</v>
      </c>
      <c r="G740" s="118">
        <v>3</v>
      </c>
      <c r="H740" s="118">
        <v>2</v>
      </c>
      <c r="I740" s="118">
        <v>11.8</v>
      </c>
      <c r="J740" s="118">
        <v>89.5</v>
      </c>
      <c r="K740" s="118">
        <v>16</v>
      </c>
      <c r="L740" s="122">
        <v>-2.12</v>
      </c>
      <c r="M740" s="122">
        <v>-2.74</v>
      </c>
      <c r="N740" s="118">
        <v>-0.67</v>
      </c>
      <c r="O740" s="123" t="s">
        <v>1760</v>
      </c>
    </row>
    <row r="741" spans="1:15" ht="43.2">
      <c r="A741" s="118" t="s">
        <v>2964</v>
      </c>
      <c r="B741" s="118" t="s">
        <v>1752</v>
      </c>
      <c r="C741" s="118" t="s">
        <v>1755</v>
      </c>
      <c r="D741" s="119">
        <v>44494</v>
      </c>
      <c r="E741" s="118" t="s">
        <v>2735</v>
      </c>
      <c r="F741" s="118" t="s">
        <v>1807</v>
      </c>
      <c r="G741" s="118">
        <v>2</v>
      </c>
      <c r="H741" s="118">
        <v>3</v>
      </c>
      <c r="I741" s="118">
        <v>7.5</v>
      </c>
      <c r="J741" s="118">
        <v>72</v>
      </c>
      <c r="K741" s="118">
        <v>14</v>
      </c>
      <c r="L741" s="122">
        <v>-2.97</v>
      </c>
      <c r="M741" s="122">
        <v>-3.03</v>
      </c>
      <c r="N741" s="118">
        <v>-2.09</v>
      </c>
      <c r="O741" s="123" t="s">
        <v>1747</v>
      </c>
    </row>
    <row r="742" spans="1:15" ht="43.2">
      <c r="A742" s="118" t="s">
        <v>2965</v>
      </c>
      <c r="B742" s="118" t="s">
        <v>1752</v>
      </c>
      <c r="C742" s="118" t="s">
        <v>1744</v>
      </c>
      <c r="D742" s="119">
        <v>44252</v>
      </c>
      <c r="E742" s="118" t="s">
        <v>2966</v>
      </c>
      <c r="F742" s="118" t="s">
        <v>1807</v>
      </c>
      <c r="G742" s="118">
        <v>2</v>
      </c>
      <c r="H742" s="118">
        <v>3</v>
      </c>
      <c r="I742" s="118">
        <v>8.1999999999999993</v>
      </c>
      <c r="J742" s="118">
        <v>78.599999999999994</v>
      </c>
      <c r="K742" s="118">
        <v>13.3</v>
      </c>
      <c r="L742" s="122">
        <v>-3.37</v>
      </c>
      <c r="M742" s="122">
        <v>-2.94</v>
      </c>
      <c r="N742" s="118">
        <v>-2.72</v>
      </c>
      <c r="O742" s="123" t="s">
        <v>1747</v>
      </c>
    </row>
    <row r="743" spans="1:15" ht="43.2">
      <c r="A743" s="118" t="s">
        <v>2967</v>
      </c>
      <c r="B743" s="118" t="s">
        <v>1752</v>
      </c>
      <c r="C743" s="118" t="s">
        <v>1755</v>
      </c>
      <c r="D743" s="119">
        <v>44489</v>
      </c>
      <c r="E743" s="118" t="s">
        <v>2968</v>
      </c>
      <c r="F743" s="118" t="s">
        <v>1807</v>
      </c>
      <c r="G743" s="118">
        <v>3</v>
      </c>
      <c r="H743" s="118">
        <v>1</v>
      </c>
      <c r="I743" s="118">
        <v>10</v>
      </c>
      <c r="J743" s="118">
        <v>73</v>
      </c>
      <c r="K743" s="118">
        <v>17</v>
      </c>
      <c r="L743" s="122">
        <v>-0.37</v>
      </c>
      <c r="M743" s="122">
        <v>-2.62</v>
      </c>
      <c r="N743" s="118">
        <v>1.1399999999999999</v>
      </c>
      <c r="O743" s="123" t="s">
        <v>1757</v>
      </c>
    </row>
    <row r="744" spans="1:15" ht="72">
      <c r="A744" s="118" t="s">
        <v>2969</v>
      </c>
      <c r="B744" s="118" t="s">
        <v>1743</v>
      </c>
      <c r="C744" s="118" t="s">
        <v>1749</v>
      </c>
      <c r="D744" s="119">
        <v>43609</v>
      </c>
      <c r="E744" s="118" t="s">
        <v>2970</v>
      </c>
      <c r="F744" s="118" t="s">
        <v>1746</v>
      </c>
      <c r="G744" s="124">
        <v>5</v>
      </c>
      <c r="H744" s="124">
        <v>3</v>
      </c>
      <c r="I744" s="118">
        <v>13.5</v>
      </c>
      <c r="J744" s="118">
        <v>92</v>
      </c>
      <c r="K744" s="118">
        <v>15.5</v>
      </c>
      <c r="L744" s="122">
        <v>-1.02</v>
      </c>
      <c r="M744" s="122">
        <v>-2.09</v>
      </c>
      <c r="N744" s="118">
        <v>0.3</v>
      </c>
      <c r="O744" s="123" t="s">
        <v>1760</v>
      </c>
    </row>
    <row r="745" spans="1:15" ht="28.8">
      <c r="A745" s="118" t="s">
        <v>2971</v>
      </c>
      <c r="B745" s="118" t="s">
        <v>1743</v>
      </c>
      <c r="C745" s="118" t="s">
        <v>1744</v>
      </c>
      <c r="D745" s="119">
        <v>44272</v>
      </c>
      <c r="E745" s="118" t="s">
        <v>2972</v>
      </c>
      <c r="F745" s="118" t="s">
        <v>1746</v>
      </c>
      <c r="G745" s="124">
        <v>8</v>
      </c>
      <c r="H745" s="124">
        <v>3</v>
      </c>
      <c r="I745" s="118">
        <v>7.9</v>
      </c>
      <c r="J745" s="118">
        <v>75</v>
      </c>
      <c r="K745" s="118"/>
      <c r="L745" s="122">
        <v>-2.98</v>
      </c>
      <c r="M745" s="122">
        <v>-3.25</v>
      </c>
      <c r="N745" s="118">
        <v>-1.68</v>
      </c>
      <c r="O745" s="123" t="s">
        <v>1760</v>
      </c>
    </row>
    <row r="746" spans="1:15" ht="43.2">
      <c r="A746" s="118" t="s">
        <v>2973</v>
      </c>
      <c r="B746" s="118" t="s">
        <v>1752</v>
      </c>
      <c r="C746" s="118" t="s">
        <v>1786</v>
      </c>
      <c r="D746" s="119">
        <v>43487</v>
      </c>
      <c r="E746" s="118" t="s">
        <v>2279</v>
      </c>
      <c r="F746" s="118" t="s">
        <v>1746</v>
      </c>
      <c r="G746" s="124">
        <v>3</v>
      </c>
      <c r="H746" s="124">
        <v>11</v>
      </c>
      <c r="I746" s="118">
        <v>14</v>
      </c>
      <c r="J746" s="118">
        <v>93</v>
      </c>
      <c r="K746" s="118"/>
      <c r="L746" s="122">
        <v>-1.26</v>
      </c>
      <c r="M746" s="122">
        <v>-2.52</v>
      </c>
      <c r="N746" s="118">
        <v>0.37</v>
      </c>
      <c r="O746" s="123" t="s">
        <v>1760</v>
      </c>
    </row>
    <row r="747" spans="1:15" ht="28.8">
      <c r="A747" s="118" t="s">
        <v>2974</v>
      </c>
      <c r="B747" s="118" t="s">
        <v>1752</v>
      </c>
      <c r="C747" s="118" t="s">
        <v>1749</v>
      </c>
      <c r="D747" s="119">
        <v>43848</v>
      </c>
      <c r="E747" s="118" t="s">
        <v>2975</v>
      </c>
      <c r="F747" s="118" t="s">
        <v>1746</v>
      </c>
      <c r="G747" s="124">
        <v>6</v>
      </c>
      <c r="H747" s="124">
        <v>1</v>
      </c>
      <c r="I747" s="118">
        <v>10</v>
      </c>
      <c r="J747" s="118">
        <v>86.4</v>
      </c>
      <c r="K747" s="118">
        <v>14.2</v>
      </c>
      <c r="L747" s="122">
        <v>-3.08</v>
      </c>
      <c r="M747" s="122">
        <v>-2.73</v>
      </c>
      <c r="N747" s="118">
        <v>-2.34</v>
      </c>
      <c r="O747" s="123" t="s">
        <v>1747</v>
      </c>
    </row>
    <row r="748" spans="1:15" ht="72">
      <c r="A748" s="118" t="s">
        <v>2976</v>
      </c>
      <c r="B748" s="118" t="s">
        <v>1752</v>
      </c>
      <c r="C748" s="118" t="s">
        <v>1786</v>
      </c>
      <c r="D748" s="119">
        <v>43333</v>
      </c>
      <c r="E748" s="118" t="s">
        <v>2977</v>
      </c>
      <c r="F748" s="118" t="s">
        <v>1746</v>
      </c>
      <c r="G748" s="124">
        <v>2</v>
      </c>
      <c r="H748" s="124">
        <v>1</v>
      </c>
      <c r="I748" s="118">
        <v>12.15</v>
      </c>
      <c r="J748" s="118">
        <v>94.4</v>
      </c>
      <c r="K748" s="118">
        <v>14.5</v>
      </c>
      <c r="L748" s="122">
        <v>-2.76</v>
      </c>
      <c r="M748" s="122">
        <v>-2.75</v>
      </c>
      <c r="N748" s="118">
        <v>-1.73</v>
      </c>
      <c r="O748" s="123" t="s">
        <v>1760</v>
      </c>
    </row>
    <row r="749" spans="1:15" ht="43.2">
      <c r="A749" s="118" t="s">
        <v>2978</v>
      </c>
      <c r="B749" s="118" t="s">
        <v>1743</v>
      </c>
      <c r="C749" s="118" t="s">
        <v>1786</v>
      </c>
      <c r="D749" s="119">
        <v>43229</v>
      </c>
      <c r="E749" s="118" t="s">
        <v>2849</v>
      </c>
      <c r="F749" s="118" t="s">
        <v>1746</v>
      </c>
      <c r="G749" s="124">
        <v>3</v>
      </c>
      <c r="H749" s="124">
        <v>1</v>
      </c>
      <c r="I749" s="118">
        <v>13.95</v>
      </c>
      <c r="J749" s="118">
        <v>95.6</v>
      </c>
      <c r="K749" s="118">
        <v>14.2</v>
      </c>
      <c r="L749" s="122">
        <v>-1.71</v>
      </c>
      <c r="M749" s="122">
        <v>-2.64</v>
      </c>
      <c r="N749" s="118">
        <v>-7.0000000000000007E-2</v>
      </c>
      <c r="O749" s="123" t="s">
        <v>1760</v>
      </c>
    </row>
    <row r="750" spans="1:15" ht="28.8">
      <c r="A750" s="118" t="s">
        <v>2979</v>
      </c>
      <c r="B750" s="118" t="s">
        <v>1752</v>
      </c>
      <c r="C750" s="118" t="s">
        <v>1744</v>
      </c>
      <c r="D750" s="119">
        <v>44101</v>
      </c>
      <c r="E750" s="118" t="s">
        <v>1756</v>
      </c>
      <c r="F750" s="118" t="s">
        <v>1746</v>
      </c>
      <c r="G750" s="124">
        <v>7</v>
      </c>
      <c r="H750" s="124">
        <v>1</v>
      </c>
      <c r="I750" s="118">
        <v>8.8000000000000007</v>
      </c>
      <c r="J750" s="118">
        <v>82.6</v>
      </c>
      <c r="K750" s="118">
        <v>12.8</v>
      </c>
      <c r="L750" s="122">
        <v>-3.33</v>
      </c>
      <c r="M750" s="122">
        <v>-2.4300000000000002</v>
      </c>
      <c r="N750" s="118">
        <v>-2.95</v>
      </c>
      <c r="O750" s="123" t="s">
        <v>1747</v>
      </c>
    </row>
    <row r="751" spans="1:15" ht="28.8">
      <c r="A751" s="118" t="s">
        <v>2980</v>
      </c>
      <c r="B751" s="118" t="s">
        <v>1743</v>
      </c>
      <c r="C751" s="118" t="s">
        <v>1755</v>
      </c>
      <c r="D751" s="119">
        <v>44542</v>
      </c>
      <c r="E751" s="118" t="s">
        <v>2851</v>
      </c>
      <c r="F751" s="118" t="s">
        <v>1746</v>
      </c>
      <c r="G751" s="124">
        <v>7</v>
      </c>
      <c r="H751" s="124">
        <v>1</v>
      </c>
      <c r="I751" s="118">
        <v>7.5</v>
      </c>
      <c r="J751" s="118">
        <v>70.599999999999994</v>
      </c>
      <c r="K751" s="118"/>
      <c r="L751" s="122">
        <v>-1.85</v>
      </c>
      <c r="M751" s="122">
        <v>-2.11</v>
      </c>
      <c r="N751" s="118">
        <v>-1.1200000000000001</v>
      </c>
      <c r="O751" s="123" t="s">
        <v>1760</v>
      </c>
    </row>
    <row r="752" spans="1:15" ht="28.8">
      <c r="A752" s="118" t="s">
        <v>2981</v>
      </c>
      <c r="B752" s="118" t="s">
        <v>1743</v>
      </c>
      <c r="C752" s="118" t="s">
        <v>1744</v>
      </c>
      <c r="D752" s="119">
        <v>44130</v>
      </c>
      <c r="E752" s="118" t="s">
        <v>2982</v>
      </c>
      <c r="F752" s="118" t="s">
        <v>1746</v>
      </c>
      <c r="G752" s="124">
        <v>4</v>
      </c>
      <c r="H752" s="124">
        <v>1</v>
      </c>
      <c r="I752" s="118">
        <v>8.8000000000000007</v>
      </c>
      <c r="J752" s="118">
        <v>81.7</v>
      </c>
      <c r="K752" s="118"/>
      <c r="L752" s="122">
        <v>-2.73</v>
      </c>
      <c r="M752" s="122">
        <v>-2.02</v>
      </c>
      <c r="N752" s="118">
        <v>-2.17</v>
      </c>
      <c r="O752" s="123" t="s">
        <v>1747</v>
      </c>
    </row>
    <row r="753" spans="1:15" ht="28.8">
      <c r="A753" s="118" t="s">
        <v>2983</v>
      </c>
      <c r="B753" s="118" t="s">
        <v>1743</v>
      </c>
      <c r="C753" s="118" t="s">
        <v>1786</v>
      </c>
      <c r="D753" s="119">
        <v>43555</v>
      </c>
      <c r="E753" s="118" t="s">
        <v>2984</v>
      </c>
      <c r="F753" s="118" t="s">
        <v>1746</v>
      </c>
      <c r="G753" s="124">
        <v>1</v>
      </c>
      <c r="H753" s="124">
        <v>1</v>
      </c>
      <c r="I753" s="118">
        <v>13.4</v>
      </c>
      <c r="J753" s="118">
        <v>93</v>
      </c>
      <c r="K753" s="118">
        <v>15.4</v>
      </c>
      <c r="L753" s="122">
        <v>-1.21</v>
      </c>
      <c r="M753" s="122">
        <v>-2.0499999999999998</v>
      </c>
      <c r="N753" s="118">
        <v>0.01</v>
      </c>
      <c r="O753" s="123" t="s">
        <v>1760</v>
      </c>
    </row>
    <row r="754" spans="1:15" ht="28.8">
      <c r="A754" s="118" t="s">
        <v>2985</v>
      </c>
      <c r="B754" s="118" t="s">
        <v>1752</v>
      </c>
      <c r="C754" s="118" t="s">
        <v>1749</v>
      </c>
      <c r="D754" s="119">
        <v>43888</v>
      </c>
      <c r="E754" s="118" t="s">
        <v>2986</v>
      </c>
      <c r="F754" s="118" t="s">
        <v>1746</v>
      </c>
      <c r="G754" s="124">
        <v>2</v>
      </c>
      <c r="H754" s="124">
        <v>2</v>
      </c>
      <c r="I754" s="118">
        <v>10.25</v>
      </c>
      <c r="J754" s="118">
        <v>84.7</v>
      </c>
      <c r="K754" s="118">
        <v>13.5</v>
      </c>
      <c r="L754" s="122">
        <v>-2.74</v>
      </c>
      <c r="M754" s="122">
        <v>-2.97</v>
      </c>
      <c r="N754" s="118">
        <v>-1.55</v>
      </c>
      <c r="O754" s="123" t="s">
        <v>1760</v>
      </c>
    </row>
    <row r="755" spans="1:15" ht="28.8">
      <c r="A755" s="118" t="s">
        <v>2987</v>
      </c>
      <c r="B755" s="118" t="s">
        <v>1752</v>
      </c>
      <c r="C755" s="118" t="s">
        <v>1744</v>
      </c>
      <c r="D755" s="119">
        <v>44119</v>
      </c>
      <c r="E755" s="118" t="s">
        <v>2211</v>
      </c>
      <c r="F755" s="118" t="s">
        <v>1746</v>
      </c>
      <c r="G755" s="124">
        <v>1</v>
      </c>
      <c r="H755" s="124">
        <v>6</v>
      </c>
      <c r="I755" s="118">
        <v>9.4</v>
      </c>
      <c r="J755" s="118">
        <v>77</v>
      </c>
      <c r="K755" s="118">
        <v>15</v>
      </c>
      <c r="L755" s="122">
        <v>-2.71</v>
      </c>
      <c r="M755" s="122">
        <v>-4.0199999999999996</v>
      </c>
      <c r="N755" s="118">
        <v>-0.79</v>
      </c>
      <c r="O755" s="123" t="s">
        <v>1760</v>
      </c>
    </row>
    <row r="756" spans="1:15" ht="28.8">
      <c r="A756" s="118" t="s">
        <v>2988</v>
      </c>
      <c r="B756" s="118" t="s">
        <v>1743</v>
      </c>
      <c r="C756" s="118" t="s">
        <v>1749</v>
      </c>
      <c r="D756" s="119">
        <v>43821</v>
      </c>
      <c r="E756" s="118" t="s">
        <v>2354</v>
      </c>
      <c r="F756" s="118" t="s">
        <v>1746</v>
      </c>
      <c r="G756" s="124">
        <v>1</v>
      </c>
      <c r="H756" s="124">
        <v>7</v>
      </c>
      <c r="I756" s="118">
        <v>8.25</v>
      </c>
      <c r="J756" s="118">
        <v>81.5</v>
      </c>
      <c r="K756" s="118">
        <v>11.6</v>
      </c>
      <c r="L756" s="122">
        <v>-4.25</v>
      </c>
      <c r="M756" s="122">
        <v>-3.76</v>
      </c>
      <c r="N756" s="118">
        <v>-2.9</v>
      </c>
      <c r="O756" s="123" t="s">
        <v>1747</v>
      </c>
    </row>
    <row r="757" spans="1:15" ht="28.8">
      <c r="A757" s="118" t="s">
        <v>2989</v>
      </c>
      <c r="B757" s="118" t="s">
        <v>1752</v>
      </c>
      <c r="C757" s="118" t="s">
        <v>1749</v>
      </c>
      <c r="D757" s="119">
        <v>43727</v>
      </c>
      <c r="E757" s="118" t="s">
        <v>1764</v>
      </c>
      <c r="F757" s="118" t="s">
        <v>1746</v>
      </c>
      <c r="G757" s="124">
        <v>4</v>
      </c>
      <c r="H757" s="124">
        <v>7</v>
      </c>
      <c r="I757" s="118">
        <v>11.95</v>
      </c>
      <c r="J757" s="118">
        <v>90.9</v>
      </c>
      <c r="K757" s="118"/>
      <c r="L757" s="122">
        <v>-1.92</v>
      </c>
      <c r="M757" s="122">
        <v>-2.0699999999999998</v>
      </c>
      <c r="N757" s="118">
        <v>-1.1599999999999999</v>
      </c>
      <c r="O757" s="123" t="s">
        <v>1760</v>
      </c>
    </row>
    <row r="758" spans="1:15" ht="28.8">
      <c r="A758" s="118" t="s">
        <v>2990</v>
      </c>
      <c r="B758" s="118" t="s">
        <v>1743</v>
      </c>
      <c r="C758" s="118" t="s">
        <v>1749</v>
      </c>
      <c r="D758" s="119">
        <v>43646</v>
      </c>
      <c r="E758" s="118" t="s">
        <v>2991</v>
      </c>
      <c r="F758" s="118" t="s">
        <v>1746</v>
      </c>
      <c r="G758" s="124">
        <v>2</v>
      </c>
      <c r="H758" s="124">
        <v>2</v>
      </c>
      <c r="I758" s="118">
        <v>12.15</v>
      </c>
      <c r="J758" s="118">
        <v>88.5</v>
      </c>
      <c r="K758" s="118">
        <v>15.2</v>
      </c>
      <c r="L758" s="122">
        <v>-1.72</v>
      </c>
      <c r="M758" s="122">
        <v>-2.75</v>
      </c>
      <c r="N758" s="118">
        <v>-0.11</v>
      </c>
      <c r="O758" s="123" t="s">
        <v>1760</v>
      </c>
    </row>
    <row r="759" spans="1:15" ht="28.8">
      <c r="A759" s="118" t="s">
        <v>2992</v>
      </c>
      <c r="B759" s="118" t="s">
        <v>1743</v>
      </c>
      <c r="C759" s="118" t="s">
        <v>1749</v>
      </c>
      <c r="D759" s="119">
        <v>43637</v>
      </c>
      <c r="E759" s="118" t="s">
        <v>2993</v>
      </c>
      <c r="F759" s="118" t="s">
        <v>1746</v>
      </c>
      <c r="G759" s="124">
        <v>2</v>
      </c>
      <c r="H759" s="124">
        <v>7</v>
      </c>
      <c r="I759" s="118">
        <v>11.3</v>
      </c>
      <c r="J759" s="118">
        <v>87.6</v>
      </c>
      <c r="K759" s="118"/>
      <c r="L759" s="122">
        <v>-2.35</v>
      </c>
      <c r="M759" s="122">
        <v>-3.03</v>
      </c>
      <c r="N759" s="118">
        <v>-0.73</v>
      </c>
      <c r="O759" s="123" t="s">
        <v>1760</v>
      </c>
    </row>
    <row r="760" spans="1:15" ht="43.2">
      <c r="A760" s="118" t="s">
        <v>2994</v>
      </c>
      <c r="B760" s="118" t="s">
        <v>1743</v>
      </c>
      <c r="C760" s="118" t="s">
        <v>2055</v>
      </c>
      <c r="D760" s="119">
        <v>44889</v>
      </c>
      <c r="E760" s="118" t="s">
        <v>2995</v>
      </c>
      <c r="F760" s="118" t="s">
        <v>1769</v>
      </c>
      <c r="G760" s="124">
        <v>4</v>
      </c>
      <c r="H760" s="124">
        <v>10</v>
      </c>
      <c r="I760" s="118">
        <v>4.5199999999999996</v>
      </c>
      <c r="J760" s="118">
        <v>52.5</v>
      </c>
      <c r="K760" s="118">
        <v>11.5</v>
      </c>
      <c r="L760" s="122">
        <v>-1.39</v>
      </c>
      <c r="M760" s="122">
        <v>-2.73</v>
      </c>
      <c r="N760" s="118">
        <v>1.55</v>
      </c>
      <c r="O760" s="123" t="s">
        <v>1757</v>
      </c>
    </row>
    <row r="761" spans="1:15" ht="57.6">
      <c r="A761" s="118" t="s">
        <v>2996</v>
      </c>
      <c r="B761" s="118" t="s">
        <v>1752</v>
      </c>
      <c r="C761" s="118" t="s">
        <v>1755</v>
      </c>
      <c r="D761" s="119">
        <v>44522</v>
      </c>
      <c r="E761" s="118" t="s">
        <v>2645</v>
      </c>
      <c r="F761" s="118" t="s">
        <v>1769</v>
      </c>
      <c r="G761" s="124">
        <v>7</v>
      </c>
      <c r="H761" s="124">
        <v>5</v>
      </c>
      <c r="I761" s="118">
        <v>7.5</v>
      </c>
      <c r="J761" s="118">
        <v>70.5</v>
      </c>
      <c r="K761" s="118">
        <v>13.1</v>
      </c>
      <c r="L761" s="122">
        <v>-2.82</v>
      </c>
      <c r="M761" s="122">
        <v>-3.32</v>
      </c>
      <c r="N761" s="118">
        <v>-1.61</v>
      </c>
      <c r="O761" s="123" t="s">
        <v>1760</v>
      </c>
    </row>
    <row r="762" spans="1:15" ht="43.2">
      <c r="A762" s="118" t="s">
        <v>2997</v>
      </c>
      <c r="B762" s="118" t="s">
        <v>1743</v>
      </c>
      <c r="C762" s="118" t="s">
        <v>1755</v>
      </c>
      <c r="D762" s="119">
        <v>44502</v>
      </c>
      <c r="E762" s="118" t="s">
        <v>2099</v>
      </c>
      <c r="F762" s="118" t="s">
        <v>1769</v>
      </c>
      <c r="G762" s="124">
        <v>9</v>
      </c>
      <c r="H762" s="124">
        <v>5</v>
      </c>
      <c r="I762" s="118">
        <v>7.73</v>
      </c>
      <c r="J762" s="118">
        <v>72</v>
      </c>
      <c r="K762" s="118">
        <v>14</v>
      </c>
      <c r="L762" s="122">
        <v>-1.87</v>
      </c>
      <c r="M762" s="122">
        <v>-2.12</v>
      </c>
      <c r="N762" s="118">
        <v>-1.1599999999999999</v>
      </c>
      <c r="O762" s="123" t="s">
        <v>1760</v>
      </c>
    </row>
    <row r="763" spans="1:15" ht="43.2">
      <c r="A763" s="118" t="s">
        <v>2998</v>
      </c>
      <c r="B763" s="118" t="s">
        <v>1752</v>
      </c>
      <c r="C763" s="118" t="s">
        <v>1749</v>
      </c>
      <c r="D763" s="119">
        <v>43841</v>
      </c>
      <c r="E763" s="118" t="s">
        <v>2999</v>
      </c>
      <c r="F763" s="118" t="s">
        <v>1769</v>
      </c>
      <c r="G763" s="124">
        <v>8</v>
      </c>
      <c r="H763" s="124">
        <v>5</v>
      </c>
      <c r="I763" s="118">
        <v>10.95</v>
      </c>
      <c r="J763" s="118">
        <v>87.5</v>
      </c>
      <c r="K763" s="118">
        <v>14</v>
      </c>
      <c r="L763" s="122">
        <v>-2.34</v>
      </c>
      <c r="M763" s="122">
        <v>-2.46</v>
      </c>
      <c r="N763" s="118">
        <v>-1.46</v>
      </c>
      <c r="O763" s="123" t="s">
        <v>1760</v>
      </c>
    </row>
    <row r="764" spans="1:15" ht="43.2">
      <c r="A764" s="118" t="s">
        <v>3000</v>
      </c>
      <c r="B764" s="118" t="s">
        <v>1743</v>
      </c>
      <c r="C764" s="118" t="s">
        <v>1744</v>
      </c>
      <c r="D764" s="119">
        <v>43992</v>
      </c>
      <c r="E764" s="118" t="s">
        <v>3001</v>
      </c>
      <c r="F764" s="118" t="s">
        <v>1769</v>
      </c>
      <c r="G764" s="124">
        <v>8</v>
      </c>
      <c r="H764" s="124">
        <v>5</v>
      </c>
      <c r="I764" s="118">
        <v>10.55</v>
      </c>
      <c r="J764" s="118">
        <v>80.3</v>
      </c>
      <c r="K764" s="118">
        <v>15</v>
      </c>
      <c r="L764" s="122">
        <v>-1.77</v>
      </c>
      <c r="M764" s="122">
        <v>-3.29</v>
      </c>
      <c r="N764" s="118">
        <v>0.27</v>
      </c>
      <c r="O764" s="123" t="s">
        <v>1760</v>
      </c>
    </row>
    <row r="765" spans="1:15" ht="43.2">
      <c r="A765" s="118" t="s">
        <v>3002</v>
      </c>
      <c r="B765" s="118" t="s">
        <v>1743</v>
      </c>
      <c r="C765" s="118" t="s">
        <v>1744</v>
      </c>
      <c r="D765" s="119">
        <v>43992</v>
      </c>
      <c r="E765" s="118" t="s">
        <v>2499</v>
      </c>
      <c r="F765" s="118" t="s">
        <v>1769</v>
      </c>
      <c r="G765" s="124">
        <v>6</v>
      </c>
      <c r="H765" s="124">
        <v>5</v>
      </c>
      <c r="I765" s="118">
        <v>9.9</v>
      </c>
      <c r="J765" s="118">
        <v>79.2</v>
      </c>
      <c r="K765" s="118">
        <v>14.8</v>
      </c>
      <c r="L765" s="122">
        <v>-2.31</v>
      </c>
      <c r="M765" s="122">
        <v>-3.59</v>
      </c>
      <c r="N765" s="118">
        <v>-0.19</v>
      </c>
      <c r="O765" s="123" t="s">
        <v>1760</v>
      </c>
    </row>
    <row r="766" spans="1:15" ht="43.2">
      <c r="A766" s="118" t="s">
        <v>3003</v>
      </c>
      <c r="B766" s="118" t="s">
        <v>1752</v>
      </c>
      <c r="C766" s="118" t="s">
        <v>1749</v>
      </c>
      <c r="D766" s="119">
        <v>43703</v>
      </c>
      <c r="E766" s="118" t="s">
        <v>2867</v>
      </c>
      <c r="F766" s="118" t="s">
        <v>1769</v>
      </c>
      <c r="G766" s="124">
        <v>2</v>
      </c>
      <c r="H766" s="124">
        <v>5</v>
      </c>
      <c r="I766" s="118">
        <v>10.9</v>
      </c>
      <c r="J766" s="118">
        <v>90.1</v>
      </c>
      <c r="K766" s="118"/>
      <c r="L766" s="122">
        <v>-2.76</v>
      </c>
      <c r="M766" s="122">
        <v>-2.4</v>
      </c>
      <c r="N766" s="118">
        <v>-2.17</v>
      </c>
      <c r="O766" s="123" t="s">
        <v>1747</v>
      </c>
    </row>
    <row r="767" spans="1:15" ht="43.2">
      <c r="A767" s="118" t="s">
        <v>3004</v>
      </c>
      <c r="B767" s="118" t="s">
        <v>1752</v>
      </c>
      <c r="C767" s="118" t="s">
        <v>1749</v>
      </c>
      <c r="D767" s="119">
        <v>43659</v>
      </c>
      <c r="E767" s="118" t="s">
        <v>2495</v>
      </c>
      <c r="F767" s="118" t="s">
        <v>1769</v>
      </c>
      <c r="G767" s="124">
        <v>6</v>
      </c>
      <c r="H767" s="124">
        <v>5</v>
      </c>
      <c r="I767" s="118">
        <v>11.3</v>
      </c>
      <c r="J767" s="118">
        <v>90.7</v>
      </c>
      <c r="K767" s="118">
        <v>14</v>
      </c>
      <c r="L767" s="122">
        <v>-2.58</v>
      </c>
      <c r="M767" s="122">
        <v>-2.44</v>
      </c>
      <c r="N767" s="118">
        <v>-1.84</v>
      </c>
      <c r="O767" s="123" t="s">
        <v>1760</v>
      </c>
    </row>
    <row r="768" spans="1:15" ht="43.2">
      <c r="A768" s="118" t="s">
        <v>3005</v>
      </c>
      <c r="B768" s="118" t="s">
        <v>1752</v>
      </c>
      <c r="C768" s="118" t="s">
        <v>1786</v>
      </c>
      <c r="D768" s="119">
        <v>43298</v>
      </c>
      <c r="E768" s="118" t="s">
        <v>3006</v>
      </c>
      <c r="F768" s="118" t="s">
        <v>1769</v>
      </c>
      <c r="G768" s="124">
        <v>2</v>
      </c>
      <c r="H768" s="124">
        <v>7</v>
      </c>
      <c r="I768" s="118">
        <v>10.1</v>
      </c>
      <c r="J768" s="118">
        <v>89.6</v>
      </c>
      <c r="K768" s="118"/>
      <c r="L768" s="122">
        <v>-4.12</v>
      </c>
      <c r="M768" s="122">
        <v>-3.95</v>
      </c>
      <c r="N768" s="118">
        <v>-3.06</v>
      </c>
      <c r="O768" s="123" t="s">
        <v>1790</v>
      </c>
    </row>
    <row r="769" spans="1:15" ht="43.2">
      <c r="A769" s="118" t="s">
        <v>3007</v>
      </c>
      <c r="B769" s="118" t="s">
        <v>1752</v>
      </c>
      <c r="C769" s="118" t="s">
        <v>2055</v>
      </c>
      <c r="D769" s="119">
        <v>44967</v>
      </c>
      <c r="E769" s="118" t="s">
        <v>2412</v>
      </c>
      <c r="F769" s="118" t="s">
        <v>1769</v>
      </c>
      <c r="G769" s="124">
        <v>4</v>
      </c>
      <c r="H769" s="124">
        <v>8</v>
      </c>
      <c r="I769" s="118">
        <v>3.1</v>
      </c>
      <c r="J769" s="118">
        <v>47</v>
      </c>
      <c r="K769" s="118"/>
      <c r="L769" s="122">
        <v>-1.01</v>
      </c>
      <c r="M769" s="122">
        <v>-2.0699999999999998</v>
      </c>
      <c r="N769" s="118">
        <v>0.75</v>
      </c>
      <c r="O769" s="123" t="s">
        <v>1760</v>
      </c>
    </row>
    <row r="770" spans="1:15" ht="43.2">
      <c r="A770" s="118" t="s">
        <v>3008</v>
      </c>
      <c r="B770" s="118" t="s">
        <v>1752</v>
      </c>
      <c r="C770" s="118" t="s">
        <v>2055</v>
      </c>
      <c r="D770" s="119">
        <v>44976</v>
      </c>
      <c r="E770" s="118" t="s">
        <v>1924</v>
      </c>
      <c r="F770" s="118" t="s">
        <v>1769</v>
      </c>
      <c r="G770" s="124">
        <v>4</v>
      </c>
      <c r="H770" s="124">
        <v>8</v>
      </c>
      <c r="I770" s="118">
        <v>2.7</v>
      </c>
      <c r="J770" s="118">
        <v>48</v>
      </c>
      <c r="K770" s="118"/>
      <c r="L770" s="122">
        <v>-2.65</v>
      </c>
      <c r="M770" s="122">
        <v>-2.29</v>
      </c>
      <c r="N770" s="118">
        <v>-1.48</v>
      </c>
      <c r="O770" s="123" t="s">
        <v>1760</v>
      </c>
    </row>
    <row r="771" spans="1:15" ht="43.2">
      <c r="A771" s="118" t="s">
        <v>3009</v>
      </c>
      <c r="B771" s="118" t="s">
        <v>1743</v>
      </c>
      <c r="C771" s="118" t="s">
        <v>1755</v>
      </c>
      <c r="D771" s="119">
        <v>44443</v>
      </c>
      <c r="E771" s="118" t="s">
        <v>2148</v>
      </c>
      <c r="F771" s="118" t="s">
        <v>1769</v>
      </c>
      <c r="G771" s="124">
        <v>4</v>
      </c>
      <c r="H771" s="124">
        <v>8</v>
      </c>
      <c r="I771" s="118">
        <v>7.4</v>
      </c>
      <c r="J771" s="118">
        <v>73</v>
      </c>
      <c r="K771" s="118">
        <v>14</v>
      </c>
      <c r="L771" s="122">
        <v>-2.62</v>
      </c>
      <c r="M771" s="122">
        <v>-2.4300000000000002</v>
      </c>
      <c r="N771" s="118">
        <v>-1.94</v>
      </c>
      <c r="O771" s="123" t="s">
        <v>1760</v>
      </c>
    </row>
    <row r="772" spans="1:15" ht="43.2">
      <c r="A772" s="118" t="s">
        <v>3010</v>
      </c>
      <c r="B772" s="118" t="s">
        <v>1752</v>
      </c>
      <c r="C772" s="118" t="s">
        <v>1755</v>
      </c>
      <c r="D772" s="119">
        <v>44370</v>
      </c>
      <c r="E772" s="118" t="s">
        <v>2248</v>
      </c>
      <c r="F772" s="118" t="s">
        <v>1769</v>
      </c>
      <c r="G772" s="124">
        <v>4</v>
      </c>
      <c r="H772" s="124">
        <v>8</v>
      </c>
      <c r="I772" s="118">
        <v>8.5</v>
      </c>
      <c r="J772" s="118">
        <v>76.3</v>
      </c>
      <c r="K772" s="118">
        <v>14</v>
      </c>
      <c r="L772" s="122">
        <v>-2.5299999999999998</v>
      </c>
      <c r="M772" s="122">
        <v>-2.74</v>
      </c>
      <c r="N772" s="118">
        <v>-1.71</v>
      </c>
      <c r="O772" s="123" t="s">
        <v>1760</v>
      </c>
    </row>
    <row r="773" spans="1:15" ht="43.2">
      <c r="A773" s="118" t="s">
        <v>3011</v>
      </c>
      <c r="B773" s="118" t="s">
        <v>1752</v>
      </c>
      <c r="C773" s="118" t="s">
        <v>1744</v>
      </c>
      <c r="D773" s="119">
        <v>44296</v>
      </c>
      <c r="E773" s="118" t="s">
        <v>2870</v>
      </c>
      <c r="F773" s="118" t="s">
        <v>1769</v>
      </c>
      <c r="G773" s="124">
        <v>1</v>
      </c>
      <c r="H773" s="124">
        <v>10</v>
      </c>
      <c r="I773" s="118">
        <v>8.6999999999999993</v>
      </c>
      <c r="J773" s="118">
        <v>69.5</v>
      </c>
      <c r="K773" s="118"/>
      <c r="L773" s="122">
        <v>-2.67</v>
      </c>
      <c r="M773" s="122">
        <v>-5.65</v>
      </c>
      <c r="N773" s="118">
        <v>0.55000000000000004</v>
      </c>
      <c r="O773" s="123" t="s">
        <v>1760</v>
      </c>
    </row>
    <row r="774" spans="1:15" ht="43.2">
      <c r="A774" s="118" t="s">
        <v>3012</v>
      </c>
      <c r="B774" s="118" t="s">
        <v>1752</v>
      </c>
      <c r="C774" s="118" t="s">
        <v>1744</v>
      </c>
      <c r="D774" s="119">
        <v>44101</v>
      </c>
      <c r="E774" s="118" t="s">
        <v>2219</v>
      </c>
      <c r="F774" s="118" t="s">
        <v>1769</v>
      </c>
      <c r="G774" s="124">
        <v>1</v>
      </c>
      <c r="H774" s="124">
        <v>11</v>
      </c>
      <c r="I774" s="118">
        <v>10.5</v>
      </c>
      <c r="J774" s="118">
        <v>84</v>
      </c>
      <c r="K774" s="118">
        <v>15.5</v>
      </c>
      <c r="L774" s="122">
        <v>-1.86</v>
      </c>
      <c r="M774" s="122">
        <v>-2.06</v>
      </c>
      <c r="N774" s="118">
        <v>-1.05</v>
      </c>
      <c r="O774" s="123" t="s">
        <v>1760</v>
      </c>
    </row>
    <row r="775" spans="1:15" ht="43.2">
      <c r="A775" s="118" t="s">
        <v>3013</v>
      </c>
      <c r="B775" s="118" t="s">
        <v>1743</v>
      </c>
      <c r="C775" s="118" t="s">
        <v>1744</v>
      </c>
      <c r="D775" s="119">
        <v>44068</v>
      </c>
      <c r="E775" s="118" t="s">
        <v>3014</v>
      </c>
      <c r="F775" s="118" t="s">
        <v>1769</v>
      </c>
      <c r="G775" s="124">
        <v>5</v>
      </c>
      <c r="H775" s="124">
        <v>1</v>
      </c>
      <c r="I775" s="118">
        <v>10.5</v>
      </c>
      <c r="J775" s="118">
        <v>81.5</v>
      </c>
      <c r="K775" s="118"/>
      <c r="L775" s="122">
        <v>-1.48</v>
      </c>
      <c r="M775" s="122">
        <v>-2.48</v>
      </c>
      <c r="N775" s="118">
        <v>-0.06</v>
      </c>
      <c r="O775" s="123" t="s">
        <v>1760</v>
      </c>
    </row>
    <row r="776" spans="1:15" ht="43.2">
      <c r="A776" s="118" t="s">
        <v>3015</v>
      </c>
      <c r="B776" s="118" t="s">
        <v>1743</v>
      </c>
      <c r="C776" s="118" t="s">
        <v>1749</v>
      </c>
      <c r="D776" s="119">
        <v>43799</v>
      </c>
      <c r="E776" s="118" t="s">
        <v>3016</v>
      </c>
      <c r="F776" s="118" t="s">
        <v>1769</v>
      </c>
      <c r="G776" s="124">
        <v>6</v>
      </c>
      <c r="H776" s="124">
        <v>2</v>
      </c>
      <c r="I776" s="118">
        <v>11.7</v>
      </c>
      <c r="J776" s="118">
        <v>86.2</v>
      </c>
      <c r="K776" s="118">
        <v>14.5</v>
      </c>
      <c r="L776" s="122">
        <v>-1.6</v>
      </c>
      <c r="M776" s="122">
        <v>-2.69</v>
      </c>
      <c r="N776" s="118">
        <v>0</v>
      </c>
      <c r="O776" s="123" t="s">
        <v>1760</v>
      </c>
    </row>
    <row r="777" spans="1:15" ht="43.2">
      <c r="A777" s="118" t="s">
        <v>3017</v>
      </c>
      <c r="B777" s="118" t="s">
        <v>1752</v>
      </c>
      <c r="C777" s="118" t="s">
        <v>1749</v>
      </c>
      <c r="D777" s="119">
        <v>43694</v>
      </c>
      <c r="E777" s="118" t="s">
        <v>3018</v>
      </c>
      <c r="F777" s="118" t="s">
        <v>1769</v>
      </c>
      <c r="G777" s="124">
        <v>5</v>
      </c>
      <c r="H777" s="124">
        <v>2</v>
      </c>
      <c r="I777" s="118">
        <v>13.5</v>
      </c>
      <c r="J777" s="118">
        <v>91.5</v>
      </c>
      <c r="K777" s="118">
        <v>14</v>
      </c>
      <c r="L777" s="122">
        <v>-1.01</v>
      </c>
      <c r="M777" s="122">
        <v>-2.06</v>
      </c>
      <c r="N777" s="118">
        <v>0.24</v>
      </c>
      <c r="O777" s="123" t="s">
        <v>1760</v>
      </c>
    </row>
    <row r="778" spans="1:15" ht="57.6">
      <c r="A778" s="118" t="s">
        <v>3019</v>
      </c>
      <c r="B778" s="118" t="s">
        <v>1752</v>
      </c>
      <c r="C778" s="118" t="s">
        <v>2055</v>
      </c>
      <c r="D778" s="119">
        <v>44978</v>
      </c>
      <c r="E778" s="118" t="s">
        <v>2436</v>
      </c>
      <c r="F778" s="118" t="s">
        <v>1769</v>
      </c>
      <c r="G778" s="124">
        <v>8</v>
      </c>
      <c r="H778" s="124">
        <v>1</v>
      </c>
      <c r="I778" s="118">
        <v>2</v>
      </c>
      <c r="J778" s="118">
        <v>46</v>
      </c>
      <c r="K778" s="118"/>
      <c r="L778" s="122">
        <v>-4.46</v>
      </c>
      <c r="M778" s="122">
        <v>-3.47</v>
      </c>
      <c r="N778" s="118">
        <v>-3.55</v>
      </c>
      <c r="O778" s="123" t="s">
        <v>1790</v>
      </c>
    </row>
    <row r="779" spans="1:15" ht="43.2">
      <c r="A779" s="118" t="s">
        <v>3020</v>
      </c>
      <c r="B779" s="118" t="s">
        <v>1752</v>
      </c>
      <c r="C779" s="118" t="s">
        <v>1755</v>
      </c>
      <c r="D779" s="119">
        <v>44644</v>
      </c>
      <c r="E779" s="118" t="s">
        <v>2398</v>
      </c>
      <c r="F779" s="118" t="s">
        <v>1769</v>
      </c>
      <c r="G779" s="124">
        <v>4</v>
      </c>
      <c r="H779" s="124">
        <v>1</v>
      </c>
      <c r="I779" s="118">
        <v>3</v>
      </c>
      <c r="J779" s="118">
        <v>47</v>
      </c>
      <c r="K779" s="118"/>
      <c r="L779" s="122">
        <v>-2.35</v>
      </c>
      <c r="M779" s="122">
        <v>-3.17</v>
      </c>
      <c r="N779" s="118">
        <v>0.39</v>
      </c>
      <c r="O779" s="123" t="s">
        <v>1760</v>
      </c>
    </row>
    <row r="780" spans="1:15" ht="72">
      <c r="A780" s="118" t="s">
        <v>3021</v>
      </c>
      <c r="B780" s="118" t="s">
        <v>1752</v>
      </c>
      <c r="C780" s="118" t="s">
        <v>1755</v>
      </c>
      <c r="D780" s="119">
        <v>44647</v>
      </c>
      <c r="E780" s="118" t="s">
        <v>2656</v>
      </c>
      <c r="F780" s="118" t="s">
        <v>1769</v>
      </c>
      <c r="G780" s="124">
        <v>4</v>
      </c>
      <c r="H780" s="124">
        <v>1</v>
      </c>
      <c r="I780" s="118">
        <v>3.1</v>
      </c>
      <c r="J780" s="118">
        <v>49</v>
      </c>
      <c r="K780" s="118"/>
      <c r="L780" s="122">
        <v>-2.36</v>
      </c>
      <c r="M780" s="122">
        <v>-2.35</v>
      </c>
      <c r="N780" s="118">
        <v>-0.6</v>
      </c>
      <c r="O780" s="123" t="s">
        <v>1760</v>
      </c>
    </row>
    <row r="781" spans="1:15" ht="57.6">
      <c r="A781" s="118" t="s">
        <v>3022</v>
      </c>
      <c r="B781" s="118" t="s">
        <v>1743</v>
      </c>
      <c r="C781" s="118" t="s">
        <v>1786</v>
      </c>
      <c r="D781" s="119">
        <v>43461</v>
      </c>
      <c r="E781" s="118" t="s">
        <v>2636</v>
      </c>
      <c r="F781" s="118" t="s">
        <v>1769</v>
      </c>
      <c r="G781" s="124">
        <v>8</v>
      </c>
      <c r="H781" s="124">
        <v>1</v>
      </c>
      <c r="I781" s="118">
        <v>11</v>
      </c>
      <c r="J781" s="118">
        <v>87</v>
      </c>
      <c r="K781" s="118"/>
      <c r="L781" s="122">
        <v>-2.12</v>
      </c>
      <c r="M781" s="122">
        <v>-2.52</v>
      </c>
      <c r="N781" s="118">
        <v>-0.89</v>
      </c>
      <c r="O781" s="123" t="s">
        <v>1760</v>
      </c>
    </row>
    <row r="782" spans="1:15" ht="43.2">
      <c r="A782" s="118" t="s">
        <v>3023</v>
      </c>
      <c r="B782" s="118" t="s">
        <v>1752</v>
      </c>
      <c r="C782" s="118" t="s">
        <v>1744</v>
      </c>
      <c r="D782" s="119">
        <v>43950</v>
      </c>
      <c r="E782" s="118" t="s">
        <v>3024</v>
      </c>
      <c r="F782" s="118" t="s">
        <v>1769</v>
      </c>
      <c r="G782" s="124">
        <v>3</v>
      </c>
      <c r="H782" s="124">
        <v>2</v>
      </c>
      <c r="I782" s="118">
        <v>9.3000000000000007</v>
      </c>
      <c r="J782" s="118">
        <v>79.3</v>
      </c>
      <c r="K782" s="118"/>
      <c r="L782" s="122">
        <v>-2.12</v>
      </c>
      <c r="M782" s="122">
        <v>-2.39</v>
      </c>
      <c r="N782" s="118">
        <v>-1.27</v>
      </c>
      <c r="O782" s="123" t="s">
        <v>1760</v>
      </c>
    </row>
    <row r="783" spans="1:15" ht="43.2">
      <c r="A783" s="118" t="s">
        <v>3025</v>
      </c>
      <c r="B783" s="118" t="s">
        <v>1743</v>
      </c>
      <c r="C783" s="118" t="s">
        <v>1755</v>
      </c>
      <c r="D783" s="119">
        <v>44441</v>
      </c>
      <c r="E783" s="118" t="s">
        <v>2158</v>
      </c>
      <c r="F783" s="118" t="s">
        <v>1769</v>
      </c>
      <c r="G783" s="124">
        <v>1</v>
      </c>
      <c r="H783" s="124">
        <v>2</v>
      </c>
      <c r="I783" s="118">
        <v>5.9</v>
      </c>
      <c r="J783" s="118">
        <v>61</v>
      </c>
      <c r="K783" s="118"/>
      <c r="L783" s="122">
        <v>-1.84</v>
      </c>
      <c r="M783" s="122">
        <v>-2.23</v>
      </c>
      <c r="N783" s="118">
        <v>-0.42</v>
      </c>
      <c r="O783" s="123" t="s">
        <v>1760</v>
      </c>
    </row>
    <row r="784" spans="1:15" ht="43.2">
      <c r="A784" s="118" t="s">
        <v>3026</v>
      </c>
      <c r="B784" s="118" t="s">
        <v>1752</v>
      </c>
      <c r="C784" s="118" t="s">
        <v>1755</v>
      </c>
      <c r="D784" s="119">
        <v>44497</v>
      </c>
      <c r="E784" s="118" t="s">
        <v>1891</v>
      </c>
      <c r="F784" s="118" t="s">
        <v>1769</v>
      </c>
      <c r="G784" s="124">
        <v>3</v>
      </c>
      <c r="H784" s="124">
        <v>2</v>
      </c>
      <c r="I784" s="118">
        <v>6.5</v>
      </c>
      <c r="J784" s="118">
        <v>59</v>
      </c>
      <c r="K784" s="118"/>
      <c r="L784" s="122">
        <v>-0.91</v>
      </c>
      <c r="M784" s="122">
        <v>-2.71</v>
      </c>
      <c r="N784" s="118">
        <v>1.52</v>
      </c>
      <c r="O784" s="123" t="s">
        <v>1757</v>
      </c>
    </row>
    <row r="785" spans="1:15" ht="43.2">
      <c r="A785" s="118" t="s">
        <v>3027</v>
      </c>
      <c r="B785" s="118" t="s">
        <v>1752</v>
      </c>
      <c r="C785" s="118" t="s">
        <v>1755</v>
      </c>
      <c r="D785" s="119">
        <v>44649</v>
      </c>
      <c r="E785" s="118" t="s">
        <v>2632</v>
      </c>
      <c r="F785" s="118" t="s">
        <v>1769</v>
      </c>
      <c r="G785" s="124">
        <v>7</v>
      </c>
      <c r="H785" s="124">
        <v>2</v>
      </c>
      <c r="I785" s="118">
        <v>3</v>
      </c>
      <c r="J785" s="118">
        <v>49</v>
      </c>
      <c r="K785" s="118"/>
      <c r="L785" s="122">
        <v>-2.74</v>
      </c>
      <c r="M785" s="122">
        <v>-2.48</v>
      </c>
      <c r="N785" s="118">
        <v>-0.97</v>
      </c>
      <c r="O785" s="123" t="s">
        <v>1760</v>
      </c>
    </row>
    <row r="786" spans="1:15" ht="43.2">
      <c r="A786" s="118" t="s">
        <v>3028</v>
      </c>
      <c r="B786" s="118" t="s">
        <v>1743</v>
      </c>
      <c r="C786" s="118" t="s">
        <v>1786</v>
      </c>
      <c r="D786" s="119">
        <v>43237</v>
      </c>
      <c r="E786" s="118" t="s">
        <v>3029</v>
      </c>
      <c r="F786" s="118" t="s">
        <v>1769</v>
      </c>
      <c r="G786" s="124">
        <v>1</v>
      </c>
      <c r="H786" s="124">
        <v>7</v>
      </c>
      <c r="I786" s="118">
        <v>11</v>
      </c>
      <c r="J786" s="118">
        <v>84</v>
      </c>
      <c r="K786" s="118"/>
      <c r="L786" s="122">
        <v>-2.76</v>
      </c>
      <c r="M786" s="122">
        <v>-4.1500000000000004</v>
      </c>
      <c r="N786" s="118">
        <v>-0.15</v>
      </c>
      <c r="O786" s="123" t="s">
        <v>1760</v>
      </c>
    </row>
    <row r="787" spans="1:15" ht="43.2">
      <c r="A787" s="118" t="s">
        <v>3030</v>
      </c>
      <c r="B787" s="118" t="s">
        <v>1752</v>
      </c>
      <c r="C787" s="118" t="s">
        <v>1779</v>
      </c>
      <c r="D787" s="119">
        <v>43118</v>
      </c>
      <c r="E787" s="118" t="s">
        <v>3031</v>
      </c>
      <c r="F787" s="118" t="s">
        <v>1769</v>
      </c>
      <c r="G787" s="124">
        <v>3</v>
      </c>
      <c r="H787" s="124">
        <v>1</v>
      </c>
      <c r="I787" s="118">
        <v>14</v>
      </c>
      <c r="J787" s="118">
        <v>95</v>
      </c>
      <c r="K787" s="118"/>
      <c r="L787" s="122">
        <v>-1.37</v>
      </c>
      <c r="M787" s="122">
        <v>-2.21</v>
      </c>
      <c r="N787" s="118">
        <v>-0.05</v>
      </c>
      <c r="O787" s="123" t="s">
        <v>1760</v>
      </c>
    </row>
    <row r="788" spans="1:15" ht="43.2">
      <c r="A788" s="118" t="s">
        <v>3032</v>
      </c>
      <c r="B788" s="118" t="s">
        <v>1752</v>
      </c>
      <c r="C788" s="118" t="s">
        <v>1786</v>
      </c>
      <c r="D788" s="119">
        <v>43259</v>
      </c>
      <c r="E788" s="118" t="s">
        <v>3033</v>
      </c>
      <c r="F788" s="118" t="s">
        <v>1769</v>
      </c>
      <c r="G788" s="124">
        <v>6</v>
      </c>
      <c r="H788" s="124">
        <v>10</v>
      </c>
      <c r="I788" s="118">
        <v>11</v>
      </c>
      <c r="J788" s="118">
        <v>93</v>
      </c>
      <c r="K788" s="118"/>
      <c r="L788" s="122">
        <v>-2.98</v>
      </c>
      <c r="M788" s="122">
        <v>-2.15</v>
      </c>
      <c r="N788" s="118">
        <v>-2.73</v>
      </c>
      <c r="O788" s="123" t="s">
        <v>1747</v>
      </c>
    </row>
    <row r="789" spans="1:15" ht="43.2">
      <c r="A789" s="118" t="s">
        <v>3034</v>
      </c>
      <c r="B789" s="118" t="s">
        <v>1752</v>
      </c>
      <c r="C789" s="118" t="s">
        <v>1786</v>
      </c>
      <c r="D789" s="119">
        <v>43393</v>
      </c>
      <c r="E789" s="118" t="s">
        <v>3035</v>
      </c>
      <c r="F789" s="118" t="s">
        <v>1769</v>
      </c>
      <c r="G789" s="124">
        <v>6</v>
      </c>
      <c r="H789" s="124">
        <v>1</v>
      </c>
      <c r="I789" s="118">
        <v>12</v>
      </c>
      <c r="J789" s="118">
        <v>90</v>
      </c>
      <c r="K789" s="118">
        <v>16</v>
      </c>
      <c r="L789" s="122">
        <v>-1.92</v>
      </c>
      <c r="M789" s="122">
        <v>-2.35</v>
      </c>
      <c r="N789" s="118">
        <v>-0.9</v>
      </c>
      <c r="O789" s="123" t="s">
        <v>1760</v>
      </c>
    </row>
    <row r="790" spans="1:15" ht="72">
      <c r="A790" s="118" t="s">
        <v>3036</v>
      </c>
      <c r="B790" s="118" t="s">
        <v>1752</v>
      </c>
      <c r="C790" s="118" t="s">
        <v>1786</v>
      </c>
      <c r="D790" s="119">
        <v>43412</v>
      </c>
      <c r="E790" s="118" t="s">
        <v>2885</v>
      </c>
      <c r="F790" s="118" t="s">
        <v>1774</v>
      </c>
      <c r="G790" s="124">
        <v>4</v>
      </c>
      <c r="H790" s="124">
        <v>7</v>
      </c>
      <c r="I790" s="118">
        <v>12</v>
      </c>
      <c r="J790" s="118">
        <v>90</v>
      </c>
      <c r="K790" s="118">
        <v>16</v>
      </c>
      <c r="L790" s="122">
        <v>-1.86</v>
      </c>
      <c r="M790" s="122">
        <v>-2.27</v>
      </c>
      <c r="N790" s="118">
        <v>-0.9</v>
      </c>
      <c r="O790" s="123" t="s">
        <v>1760</v>
      </c>
    </row>
    <row r="791" spans="1:15" ht="43.2">
      <c r="A791" s="118" t="s">
        <v>3037</v>
      </c>
      <c r="B791" s="118" t="s">
        <v>1752</v>
      </c>
      <c r="C791" s="118" t="s">
        <v>1749</v>
      </c>
      <c r="D791" s="119">
        <v>43892</v>
      </c>
      <c r="E791" s="118" t="s">
        <v>2875</v>
      </c>
      <c r="F791" s="118" t="s">
        <v>1774</v>
      </c>
      <c r="G791" s="124">
        <v>6</v>
      </c>
      <c r="H791" s="124">
        <v>7</v>
      </c>
      <c r="I791" s="118">
        <v>9</v>
      </c>
      <c r="J791" s="118">
        <v>80</v>
      </c>
      <c r="K791" s="118"/>
      <c r="L791" s="122">
        <v>-2.7</v>
      </c>
      <c r="M791" s="122">
        <v>-2.46</v>
      </c>
      <c r="N791" s="125">
        <v>-2.0099999999999998</v>
      </c>
      <c r="O791" s="123" t="s">
        <v>1747</v>
      </c>
    </row>
    <row r="792" spans="1:15" ht="72">
      <c r="A792" s="118" t="s">
        <v>3038</v>
      </c>
      <c r="B792" s="118" t="s">
        <v>1752</v>
      </c>
      <c r="C792" s="118" t="s">
        <v>1749</v>
      </c>
      <c r="D792" s="119">
        <v>43720</v>
      </c>
      <c r="E792" s="118" t="s">
        <v>2667</v>
      </c>
      <c r="F792" s="118" t="s">
        <v>1774</v>
      </c>
      <c r="G792" s="124">
        <v>7</v>
      </c>
      <c r="H792" s="124">
        <v>3</v>
      </c>
      <c r="I792" s="118">
        <v>10</v>
      </c>
      <c r="J792" s="118">
        <v>84</v>
      </c>
      <c r="K792" s="118"/>
      <c r="L792" s="122">
        <v>-2.46</v>
      </c>
      <c r="M792" s="122">
        <v>-2.36</v>
      </c>
      <c r="N792" s="118">
        <v>-1.67</v>
      </c>
      <c r="O792" s="123" t="s">
        <v>1760</v>
      </c>
    </row>
    <row r="793" spans="1:15" ht="43.2">
      <c r="A793" s="118" t="s">
        <v>3039</v>
      </c>
      <c r="B793" s="118" t="s">
        <v>1752</v>
      </c>
      <c r="C793" s="118" t="s">
        <v>1749</v>
      </c>
      <c r="D793" s="119">
        <v>43854</v>
      </c>
      <c r="E793" s="118" t="s">
        <v>3040</v>
      </c>
      <c r="F793" s="118" t="s">
        <v>1774</v>
      </c>
      <c r="G793" s="124">
        <v>1</v>
      </c>
      <c r="H793" s="124">
        <v>8</v>
      </c>
      <c r="I793" s="118">
        <v>12</v>
      </c>
      <c r="J793" s="118">
        <v>82</v>
      </c>
      <c r="K793" s="118"/>
      <c r="L793" s="122">
        <v>-0.36</v>
      </c>
      <c r="M793" s="122">
        <v>-2.1</v>
      </c>
      <c r="N793" s="118">
        <v>1.06</v>
      </c>
      <c r="O793" s="123" t="s">
        <v>1757</v>
      </c>
    </row>
    <row r="794" spans="1:15" ht="43.2">
      <c r="A794" s="118" t="s">
        <v>3041</v>
      </c>
      <c r="B794" s="118" t="s">
        <v>1752</v>
      </c>
      <c r="C794" s="118" t="s">
        <v>1749</v>
      </c>
      <c r="D794" s="119">
        <v>43886</v>
      </c>
      <c r="E794" s="118" t="s">
        <v>2262</v>
      </c>
      <c r="F794" s="118" t="s">
        <v>1774</v>
      </c>
      <c r="G794" s="124">
        <v>1</v>
      </c>
      <c r="H794" s="124">
        <v>7</v>
      </c>
      <c r="I794" s="118">
        <v>9</v>
      </c>
      <c r="J794" s="118">
        <v>80</v>
      </c>
      <c r="K794" s="118"/>
      <c r="L794" s="122">
        <v>-2.73</v>
      </c>
      <c r="M794" s="122">
        <v>-2.5</v>
      </c>
      <c r="N794" s="125">
        <v>-2.0099999999999998</v>
      </c>
      <c r="O794" s="123" t="s">
        <v>1747</v>
      </c>
    </row>
    <row r="795" spans="1:15" ht="43.2">
      <c r="A795" s="118" t="s">
        <v>3042</v>
      </c>
      <c r="B795" s="118" t="s">
        <v>1752</v>
      </c>
      <c r="C795" s="118" t="s">
        <v>1749</v>
      </c>
      <c r="D795" s="119">
        <v>43926</v>
      </c>
      <c r="E795" s="118" t="s">
        <v>2881</v>
      </c>
      <c r="F795" s="118" t="s">
        <v>1774</v>
      </c>
      <c r="G795" s="124">
        <v>5</v>
      </c>
      <c r="H795" s="124">
        <v>1</v>
      </c>
      <c r="I795" s="118">
        <v>10</v>
      </c>
      <c r="J795" s="118">
        <v>81</v>
      </c>
      <c r="K795" s="118"/>
      <c r="L795" s="122">
        <v>-1.63</v>
      </c>
      <c r="M795" s="122">
        <v>-2.09</v>
      </c>
      <c r="N795" s="118">
        <v>-0.75</v>
      </c>
      <c r="O795" s="123" t="s">
        <v>1760</v>
      </c>
    </row>
    <row r="796" spans="1:15" ht="43.2">
      <c r="A796" s="118" t="s">
        <v>3043</v>
      </c>
      <c r="B796" s="118" t="s">
        <v>1743</v>
      </c>
      <c r="C796" s="118" t="s">
        <v>1755</v>
      </c>
      <c r="D796" s="119">
        <v>44430</v>
      </c>
      <c r="E796" s="118" t="s">
        <v>3044</v>
      </c>
      <c r="F796" s="118" t="s">
        <v>1774</v>
      </c>
      <c r="G796" s="124">
        <v>2</v>
      </c>
      <c r="H796" s="124">
        <v>8</v>
      </c>
      <c r="I796" s="118">
        <v>6</v>
      </c>
      <c r="J796" s="118">
        <v>60</v>
      </c>
      <c r="K796" s="118"/>
      <c r="L796" s="122">
        <v>-1.96</v>
      </c>
      <c r="M796" s="122">
        <v>-3.07</v>
      </c>
      <c r="N796" s="118">
        <v>0.23</v>
      </c>
      <c r="O796" s="123" t="s">
        <v>1760</v>
      </c>
    </row>
    <row r="797" spans="1:15" ht="43.2">
      <c r="A797" s="118" t="s">
        <v>3045</v>
      </c>
      <c r="B797" s="118" t="s">
        <v>1752</v>
      </c>
      <c r="C797" s="118" t="s">
        <v>1749</v>
      </c>
      <c r="D797" s="119">
        <v>43685</v>
      </c>
      <c r="E797" s="118" t="s">
        <v>3046</v>
      </c>
      <c r="F797" s="118" t="s">
        <v>1774</v>
      </c>
      <c r="G797" s="124">
        <v>1</v>
      </c>
      <c r="H797" s="124">
        <v>8</v>
      </c>
      <c r="I797" s="118">
        <v>9</v>
      </c>
      <c r="J797" s="118">
        <v>84</v>
      </c>
      <c r="K797" s="118"/>
      <c r="L797" s="122">
        <v>-3.44</v>
      </c>
      <c r="M797" s="122">
        <v>-2.56</v>
      </c>
      <c r="N797" s="118">
        <v>-3.04</v>
      </c>
      <c r="O797" s="123" t="s">
        <v>1790</v>
      </c>
    </row>
    <row r="798" spans="1:15" ht="43.2">
      <c r="A798" s="118" t="s">
        <v>3047</v>
      </c>
      <c r="B798" s="118" t="s">
        <v>1752</v>
      </c>
      <c r="C798" s="118" t="s">
        <v>1744</v>
      </c>
      <c r="D798" s="119">
        <v>43956</v>
      </c>
      <c r="E798" s="118" t="s">
        <v>3048</v>
      </c>
      <c r="F798" s="118" t="s">
        <v>1774</v>
      </c>
      <c r="G798" s="124">
        <v>5</v>
      </c>
      <c r="H798" s="124">
        <v>1</v>
      </c>
      <c r="I798" s="118">
        <v>10</v>
      </c>
      <c r="J798" s="118">
        <v>80</v>
      </c>
      <c r="K798" s="118"/>
      <c r="L798" s="122">
        <v>-1.45</v>
      </c>
      <c r="M798" s="122">
        <v>-2.11</v>
      </c>
      <c r="N798" s="118">
        <v>-0.53</v>
      </c>
      <c r="O798" s="123" t="s">
        <v>1760</v>
      </c>
    </row>
    <row r="799" spans="1:15" ht="43.2">
      <c r="A799" s="118" t="s">
        <v>3049</v>
      </c>
      <c r="B799" s="118" t="s">
        <v>1743</v>
      </c>
      <c r="C799" s="118" t="s">
        <v>1749</v>
      </c>
      <c r="D799" s="119">
        <v>43863</v>
      </c>
      <c r="E799" s="118" t="s">
        <v>2894</v>
      </c>
      <c r="F799" s="118" t="s">
        <v>1777</v>
      </c>
      <c r="G799" s="124">
        <v>2</v>
      </c>
      <c r="H799" s="124">
        <v>11</v>
      </c>
      <c r="I799" s="118">
        <v>10</v>
      </c>
      <c r="J799" s="118">
        <v>75</v>
      </c>
      <c r="K799" s="118"/>
      <c r="L799" s="122">
        <v>-1.32</v>
      </c>
      <c r="M799" s="122">
        <v>-3.8</v>
      </c>
      <c r="N799" s="118">
        <v>0.97</v>
      </c>
      <c r="O799" s="123" t="s">
        <v>1760</v>
      </c>
    </row>
    <row r="800" spans="1:15" ht="43.2">
      <c r="A800" s="118" t="s">
        <v>3050</v>
      </c>
      <c r="B800" s="118" t="s">
        <v>1743</v>
      </c>
      <c r="C800" s="118" t="s">
        <v>1779</v>
      </c>
      <c r="D800" s="119">
        <v>42928</v>
      </c>
      <c r="E800" s="118" t="s">
        <v>2509</v>
      </c>
      <c r="F800" s="118" t="s">
        <v>1777</v>
      </c>
      <c r="G800" s="124">
        <v>2</v>
      </c>
      <c r="H800" s="124">
        <v>10</v>
      </c>
      <c r="I800" s="118">
        <v>14</v>
      </c>
      <c r="J800" s="118">
        <v>80</v>
      </c>
      <c r="K800" s="118"/>
      <c r="L800" s="122">
        <v>-1.6</v>
      </c>
      <c r="M800" s="122">
        <v>-5.91</v>
      </c>
      <c r="N800" s="118">
        <v>3.33</v>
      </c>
      <c r="O800" s="123" t="s">
        <v>2170</v>
      </c>
    </row>
    <row r="801" spans="1:15" ht="43.2">
      <c r="A801" s="118" t="s">
        <v>3051</v>
      </c>
      <c r="B801" s="118" t="s">
        <v>1752</v>
      </c>
      <c r="C801" s="118" t="s">
        <v>1779</v>
      </c>
      <c r="D801" s="119">
        <v>43153</v>
      </c>
      <c r="E801" s="118" t="s">
        <v>2898</v>
      </c>
      <c r="F801" s="118" t="s">
        <v>1777</v>
      </c>
      <c r="G801" s="124">
        <v>5</v>
      </c>
      <c r="H801" s="124">
        <v>1</v>
      </c>
      <c r="I801" s="118">
        <v>10</v>
      </c>
      <c r="J801" s="118">
        <v>80</v>
      </c>
      <c r="K801" s="118"/>
      <c r="L801" s="122">
        <v>-3.87</v>
      </c>
      <c r="M801" s="122">
        <v>-5.61</v>
      </c>
      <c r="N801" s="118">
        <v>-0.68</v>
      </c>
      <c r="O801" s="123" t="s">
        <v>1760</v>
      </c>
    </row>
    <row r="802" spans="1:15" ht="43.2">
      <c r="A802" s="118" t="s">
        <v>3052</v>
      </c>
      <c r="B802" s="118" t="s">
        <v>1752</v>
      </c>
      <c r="C802" s="118" t="s">
        <v>1786</v>
      </c>
      <c r="D802" s="119">
        <v>43559</v>
      </c>
      <c r="E802" s="118" t="s">
        <v>2511</v>
      </c>
      <c r="F802" s="118" t="s">
        <v>1777</v>
      </c>
      <c r="G802" s="124">
        <v>8</v>
      </c>
      <c r="H802" s="124">
        <v>9</v>
      </c>
      <c r="I802" s="118">
        <v>11</v>
      </c>
      <c r="J802" s="118">
        <v>86</v>
      </c>
      <c r="K802" s="118"/>
      <c r="L802" s="122">
        <v>-2.14</v>
      </c>
      <c r="M802" s="122">
        <v>-2.8</v>
      </c>
      <c r="N802" s="118">
        <v>-0.81</v>
      </c>
      <c r="O802" s="123" t="s">
        <v>1760</v>
      </c>
    </row>
    <row r="803" spans="1:15" ht="43.2">
      <c r="A803" s="118" t="s">
        <v>3053</v>
      </c>
      <c r="B803" s="118" t="s">
        <v>1743</v>
      </c>
      <c r="C803" s="118" t="s">
        <v>1786</v>
      </c>
      <c r="D803" s="119">
        <v>43418</v>
      </c>
      <c r="E803" s="118" t="s">
        <v>2513</v>
      </c>
      <c r="F803" s="118" t="s">
        <v>1777</v>
      </c>
      <c r="G803" s="124">
        <v>3</v>
      </c>
      <c r="H803" s="124">
        <v>10</v>
      </c>
      <c r="I803" s="118">
        <v>10</v>
      </c>
      <c r="J803" s="118">
        <v>90</v>
      </c>
      <c r="K803" s="118"/>
      <c r="L803" s="122">
        <v>-3.03</v>
      </c>
      <c r="M803" s="122">
        <v>-2.1</v>
      </c>
      <c r="N803" s="118">
        <v>-2.59</v>
      </c>
      <c r="O803" s="123" t="s">
        <v>1747</v>
      </c>
    </row>
    <row r="804" spans="1:15" ht="43.2">
      <c r="A804" s="118" t="s">
        <v>3054</v>
      </c>
      <c r="B804" s="118" t="s">
        <v>1752</v>
      </c>
      <c r="C804" s="118" t="s">
        <v>1755</v>
      </c>
      <c r="D804" s="119">
        <v>44644</v>
      </c>
      <c r="E804" s="118" t="s">
        <v>2019</v>
      </c>
      <c r="F804" s="118" t="s">
        <v>1777</v>
      </c>
      <c r="G804" s="124">
        <v>1</v>
      </c>
      <c r="H804" s="124">
        <v>15</v>
      </c>
      <c r="I804" s="118">
        <v>3</v>
      </c>
      <c r="J804" s="118">
        <v>49</v>
      </c>
      <c r="K804" s="118"/>
      <c r="L804" s="122">
        <v>-2.35</v>
      </c>
      <c r="M804" s="122">
        <v>-2.13</v>
      </c>
      <c r="N804" s="118">
        <v>-0.97</v>
      </c>
      <c r="O804" s="123" t="s">
        <v>1760</v>
      </c>
    </row>
    <row r="805" spans="1:15" ht="43.2">
      <c r="A805" s="118" t="s">
        <v>3055</v>
      </c>
      <c r="B805" s="118" t="s">
        <v>1752</v>
      </c>
      <c r="C805" s="118" t="s">
        <v>1755</v>
      </c>
      <c r="D805" s="119">
        <v>44648</v>
      </c>
      <c r="E805" s="118" t="s">
        <v>2905</v>
      </c>
      <c r="F805" s="118" t="s">
        <v>1777</v>
      </c>
      <c r="G805" s="124">
        <v>1</v>
      </c>
      <c r="H805" s="124">
        <v>15</v>
      </c>
      <c r="I805" s="118">
        <v>2.9</v>
      </c>
      <c r="J805" s="118">
        <v>48</v>
      </c>
      <c r="K805" s="118"/>
      <c r="L805" s="122">
        <v>-2.89</v>
      </c>
      <c r="M805" s="122">
        <v>-2.93</v>
      </c>
      <c r="N805" s="118">
        <v>-0.66</v>
      </c>
      <c r="O805" s="123" t="s">
        <v>1760</v>
      </c>
    </row>
    <row r="806" spans="1:15" ht="72">
      <c r="A806" s="118" t="s">
        <v>3056</v>
      </c>
      <c r="B806" s="118" t="s">
        <v>1752</v>
      </c>
      <c r="C806" s="118" t="s">
        <v>1779</v>
      </c>
      <c r="D806" s="119">
        <v>43198</v>
      </c>
      <c r="E806" s="118" t="s">
        <v>2907</v>
      </c>
      <c r="F806" s="118" t="s">
        <v>1777</v>
      </c>
      <c r="G806" s="124">
        <v>1</v>
      </c>
      <c r="H806" s="124">
        <v>15</v>
      </c>
      <c r="I806" s="118">
        <v>12.8</v>
      </c>
      <c r="J806" s="118">
        <v>93.3</v>
      </c>
      <c r="K806" s="118"/>
      <c r="L806" s="122">
        <v>-1.88</v>
      </c>
      <c r="M806" s="122">
        <v>-2.29</v>
      </c>
      <c r="N806" s="118">
        <v>-0.82</v>
      </c>
      <c r="O806" s="123" t="s">
        <v>1760</v>
      </c>
    </row>
    <row r="807" spans="1:15" ht="43.2">
      <c r="A807" s="118" t="s">
        <v>3057</v>
      </c>
      <c r="B807" s="118" t="s">
        <v>1752</v>
      </c>
      <c r="C807" s="118" t="s">
        <v>1744</v>
      </c>
      <c r="D807" s="119">
        <v>44270</v>
      </c>
      <c r="E807" s="118" t="s">
        <v>2282</v>
      </c>
      <c r="F807" s="118" t="s">
        <v>2190</v>
      </c>
      <c r="G807" s="124">
        <v>2</v>
      </c>
      <c r="H807" s="124">
        <v>1</v>
      </c>
      <c r="I807" s="118">
        <v>9.8000000000000007</v>
      </c>
      <c r="J807" s="118">
        <v>70.2</v>
      </c>
      <c r="K807" s="118"/>
      <c r="L807" s="122">
        <v>0.17</v>
      </c>
      <c r="M807" s="122">
        <v>-2.27</v>
      </c>
      <c r="N807" s="118">
        <v>1.73</v>
      </c>
      <c r="O807" s="123" t="s">
        <v>1757</v>
      </c>
    </row>
    <row r="808" spans="1:15" ht="43.2">
      <c r="A808" s="118" t="s">
        <v>3058</v>
      </c>
      <c r="B808" s="118" t="s">
        <v>1752</v>
      </c>
      <c r="C808" s="118" t="s">
        <v>1755</v>
      </c>
      <c r="D808" s="119">
        <v>44646</v>
      </c>
      <c r="E808" s="118" t="s">
        <v>3059</v>
      </c>
      <c r="F808" s="118" t="s">
        <v>2190</v>
      </c>
      <c r="G808" s="124">
        <v>6</v>
      </c>
      <c r="H808" s="124">
        <v>1</v>
      </c>
      <c r="I808" s="118">
        <v>3</v>
      </c>
      <c r="J808" s="118">
        <v>48</v>
      </c>
      <c r="K808" s="118"/>
      <c r="L808" s="122">
        <v>-2.5099999999999998</v>
      </c>
      <c r="M808" s="122">
        <v>-2.79</v>
      </c>
      <c r="N808" s="118">
        <v>-0.27</v>
      </c>
      <c r="O808" s="123" t="s">
        <v>1760</v>
      </c>
    </row>
    <row r="809" spans="1:15" ht="43.2">
      <c r="A809" s="118" t="s">
        <v>3060</v>
      </c>
      <c r="B809" s="118" t="s">
        <v>1752</v>
      </c>
      <c r="C809" s="118" t="s">
        <v>1755</v>
      </c>
      <c r="D809" s="119">
        <v>44638</v>
      </c>
      <c r="E809" s="118" t="s">
        <v>2571</v>
      </c>
      <c r="F809" s="118" t="s">
        <v>2190</v>
      </c>
      <c r="G809" s="124">
        <v>7</v>
      </c>
      <c r="H809" s="124">
        <v>1</v>
      </c>
      <c r="I809" s="118">
        <v>2.8</v>
      </c>
      <c r="J809" s="118">
        <v>48</v>
      </c>
      <c r="K809" s="118"/>
      <c r="L809" s="122">
        <v>-2.33</v>
      </c>
      <c r="M809" s="122">
        <v>-2.21</v>
      </c>
      <c r="N809" s="118">
        <v>-1.06</v>
      </c>
      <c r="O809" s="123" t="s">
        <v>1760</v>
      </c>
    </row>
    <row r="810" spans="1:15" ht="57.6">
      <c r="A810" s="118" t="s">
        <v>3061</v>
      </c>
      <c r="B810" s="118" t="s">
        <v>1743</v>
      </c>
      <c r="C810" s="118" t="s">
        <v>1749</v>
      </c>
      <c r="D810" s="119">
        <v>43584</v>
      </c>
      <c r="E810" s="118" t="s">
        <v>3062</v>
      </c>
      <c r="F810" s="118" t="s">
        <v>2190</v>
      </c>
      <c r="G810" s="124">
        <v>7</v>
      </c>
      <c r="H810" s="124">
        <v>1</v>
      </c>
      <c r="I810" s="118">
        <v>7</v>
      </c>
      <c r="J810" s="118">
        <v>65.900000000000006</v>
      </c>
      <c r="K810" s="118">
        <v>13</v>
      </c>
      <c r="L810" s="122">
        <v>-1.66</v>
      </c>
      <c r="M810" s="122">
        <v>-2.4</v>
      </c>
      <c r="N810" s="118">
        <v>-0.44</v>
      </c>
      <c r="O810" s="123" t="s">
        <v>1760</v>
      </c>
    </row>
    <row r="811" spans="1:15" ht="43.2">
      <c r="A811" s="118" t="s">
        <v>3063</v>
      </c>
      <c r="B811" s="118" t="s">
        <v>1752</v>
      </c>
      <c r="C811" s="118" t="s">
        <v>1755</v>
      </c>
      <c r="D811" s="119">
        <v>44380</v>
      </c>
      <c r="E811" s="118" t="s">
        <v>2285</v>
      </c>
      <c r="F811" s="118" t="s">
        <v>2190</v>
      </c>
      <c r="G811" s="124">
        <v>5</v>
      </c>
      <c r="H811" s="124">
        <v>2</v>
      </c>
      <c r="I811" s="118">
        <v>7</v>
      </c>
      <c r="J811" s="118">
        <v>64.5</v>
      </c>
      <c r="K811" s="118">
        <v>13.5</v>
      </c>
      <c r="L811" s="122">
        <v>-1.93</v>
      </c>
      <c r="M811" s="122">
        <v>-2.85</v>
      </c>
      <c r="N811" s="118">
        <v>-0.25</v>
      </c>
      <c r="O811" s="123" t="s">
        <v>1760</v>
      </c>
    </row>
    <row r="812" spans="1:15" ht="43.2">
      <c r="A812" s="118" t="s">
        <v>3064</v>
      </c>
      <c r="B812" s="118" t="s">
        <v>1743</v>
      </c>
      <c r="C812" s="118" t="s">
        <v>1779</v>
      </c>
      <c r="D812" s="119">
        <v>43139</v>
      </c>
      <c r="E812" s="118" t="s">
        <v>2777</v>
      </c>
      <c r="F812" s="118" t="s">
        <v>2190</v>
      </c>
      <c r="G812" s="124">
        <v>1</v>
      </c>
      <c r="H812" s="124">
        <v>2</v>
      </c>
      <c r="I812" s="118">
        <v>13</v>
      </c>
      <c r="J812" s="118">
        <v>95</v>
      </c>
      <c r="K812" s="118"/>
      <c r="L812" s="122">
        <v>-1.66</v>
      </c>
      <c r="M812" s="122">
        <v>-2.08</v>
      </c>
      <c r="N812" s="118">
        <v>-0.6</v>
      </c>
      <c r="O812" s="123" t="s">
        <v>1760</v>
      </c>
    </row>
    <row r="813" spans="1:15" ht="43.2">
      <c r="A813" s="118" t="s">
        <v>3065</v>
      </c>
      <c r="B813" s="118" t="s">
        <v>1743</v>
      </c>
      <c r="C813" s="118" t="s">
        <v>1779</v>
      </c>
      <c r="D813" s="119">
        <v>42857</v>
      </c>
      <c r="E813" s="118" t="s">
        <v>3066</v>
      </c>
      <c r="F813" s="118" t="s">
        <v>2190</v>
      </c>
      <c r="G813" s="124">
        <v>5</v>
      </c>
      <c r="H813" s="124">
        <v>2</v>
      </c>
      <c r="I813" s="118">
        <v>14.2</v>
      </c>
      <c r="J813" s="118">
        <v>91</v>
      </c>
      <c r="K813" s="118"/>
      <c r="L813" s="122">
        <v>-1.65</v>
      </c>
      <c r="M813" s="122">
        <v>-3.73</v>
      </c>
      <c r="N813" s="118">
        <v>1.06</v>
      </c>
      <c r="O813" s="123" t="s">
        <v>1757</v>
      </c>
    </row>
    <row r="814" spans="1:15" ht="43.2">
      <c r="A814" s="118" t="s">
        <v>3067</v>
      </c>
      <c r="B814" s="118" t="s">
        <v>1752</v>
      </c>
      <c r="C814" s="118" t="s">
        <v>1749</v>
      </c>
      <c r="D814" s="119">
        <v>43669</v>
      </c>
      <c r="E814" s="118" t="s">
        <v>2287</v>
      </c>
      <c r="F814" s="118" t="s">
        <v>2190</v>
      </c>
      <c r="G814" s="124">
        <v>5</v>
      </c>
      <c r="H814" s="124">
        <v>2</v>
      </c>
      <c r="I814" s="118">
        <v>11</v>
      </c>
      <c r="J814" s="118">
        <v>88</v>
      </c>
      <c r="K814" s="118">
        <v>16</v>
      </c>
      <c r="L814" s="122">
        <v>-2.83</v>
      </c>
      <c r="M814" s="122">
        <v>-3.33</v>
      </c>
      <c r="N814" s="118">
        <v>-1.34</v>
      </c>
      <c r="O814" s="123" t="s">
        <v>1760</v>
      </c>
    </row>
    <row r="815" spans="1:15" ht="43.2">
      <c r="A815" s="118" t="s">
        <v>3068</v>
      </c>
      <c r="B815" s="118" t="s">
        <v>1743</v>
      </c>
      <c r="C815" s="118" t="s">
        <v>1744</v>
      </c>
      <c r="D815" s="119">
        <v>44312</v>
      </c>
      <c r="E815" s="118" t="s">
        <v>3069</v>
      </c>
      <c r="F815" s="118" t="s">
        <v>2190</v>
      </c>
      <c r="G815" s="124">
        <v>7</v>
      </c>
      <c r="H815" s="124">
        <v>2</v>
      </c>
      <c r="I815" s="118">
        <v>7.3</v>
      </c>
      <c r="J815" s="118">
        <v>76</v>
      </c>
      <c r="K815" s="118">
        <v>12.5</v>
      </c>
      <c r="L815" s="122">
        <v>-3.58</v>
      </c>
      <c r="M815" s="122">
        <v>-2.87</v>
      </c>
      <c r="N815" s="118">
        <v>-2.87</v>
      </c>
      <c r="O815" s="123" t="s">
        <v>1747</v>
      </c>
    </row>
    <row r="816" spans="1:15" ht="43.2">
      <c r="A816" s="118" t="s">
        <v>3070</v>
      </c>
      <c r="B816" s="118" t="s">
        <v>1752</v>
      </c>
      <c r="C816" s="118" t="s">
        <v>1744</v>
      </c>
      <c r="D816" s="119">
        <v>44112</v>
      </c>
      <c r="E816" s="118" t="s">
        <v>2816</v>
      </c>
      <c r="F816" s="118" t="s">
        <v>2190</v>
      </c>
      <c r="G816" s="124">
        <v>3</v>
      </c>
      <c r="H816" s="124">
        <v>4</v>
      </c>
      <c r="I816" s="118">
        <v>9.1999999999999993</v>
      </c>
      <c r="J816" s="118">
        <v>82</v>
      </c>
      <c r="K816" s="118">
        <v>12</v>
      </c>
      <c r="L816" s="122">
        <v>-3.05</v>
      </c>
      <c r="M816" s="122">
        <v>-2.96</v>
      </c>
      <c r="N816" s="118">
        <v>-2.0299999999999998</v>
      </c>
      <c r="O816" s="123" t="s">
        <v>1747</v>
      </c>
    </row>
    <row r="817" spans="1:15" ht="43.2">
      <c r="A817" s="118" t="s">
        <v>3071</v>
      </c>
      <c r="B817" s="118" t="s">
        <v>1743</v>
      </c>
      <c r="C817" s="118" t="s">
        <v>1786</v>
      </c>
      <c r="D817" s="119">
        <v>43293</v>
      </c>
      <c r="E817" s="118" t="s">
        <v>3072</v>
      </c>
      <c r="F817" s="118" t="s">
        <v>2190</v>
      </c>
      <c r="G817" s="124">
        <v>3</v>
      </c>
      <c r="H817" s="124">
        <v>5</v>
      </c>
      <c r="I817" s="118">
        <v>12</v>
      </c>
      <c r="J817" s="118">
        <v>91</v>
      </c>
      <c r="K817" s="118">
        <v>16</v>
      </c>
      <c r="L817" s="122">
        <v>-2.78</v>
      </c>
      <c r="M817" s="122">
        <v>-3.54</v>
      </c>
      <c r="N817" s="118">
        <v>-0.82</v>
      </c>
      <c r="O817" s="123" t="s">
        <v>1760</v>
      </c>
    </row>
    <row r="818" spans="1:15" ht="43.2">
      <c r="A818" s="118" t="s">
        <v>3073</v>
      </c>
      <c r="B818" s="118" t="s">
        <v>1743</v>
      </c>
      <c r="C818" s="118" t="s">
        <v>1744</v>
      </c>
      <c r="D818" s="119">
        <v>43956</v>
      </c>
      <c r="E818" s="118" t="s">
        <v>3074</v>
      </c>
      <c r="F818" s="118" t="s">
        <v>2190</v>
      </c>
      <c r="G818" s="124">
        <v>1</v>
      </c>
      <c r="H818" s="124">
        <v>6</v>
      </c>
      <c r="I818" s="118">
        <v>11</v>
      </c>
      <c r="J818" s="118">
        <v>82</v>
      </c>
      <c r="K818" s="118">
        <v>15</v>
      </c>
      <c r="L818" s="122">
        <v>-1.66</v>
      </c>
      <c r="M818" s="122">
        <v>-3.16</v>
      </c>
      <c r="N818" s="118">
        <v>0.34</v>
      </c>
      <c r="O818" s="123" t="s">
        <v>1760</v>
      </c>
    </row>
    <row r="819" spans="1:15" ht="43.2">
      <c r="A819" s="118" t="s">
        <v>3075</v>
      </c>
      <c r="B819" s="118" t="s">
        <v>1752</v>
      </c>
      <c r="C819" s="118" t="s">
        <v>1786</v>
      </c>
      <c r="D819" s="119">
        <v>43334</v>
      </c>
      <c r="E819" s="118" t="s">
        <v>3076</v>
      </c>
      <c r="F819" s="118" t="s">
        <v>2190</v>
      </c>
      <c r="G819" s="124">
        <v>8</v>
      </c>
      <c r="H819" s="124">
        <v>3</v>
      </c>
      <c r="I819" s="118">
        <v>12</v>
      </c>
      <c r="J819" s="118">
        <v>93.5</v>
      </c>
      <c r="K819" s="118">
        <v>14.5</v>
      </c>
      <c r="L819" s="122">
        <v>-2.91</v>
      </c>
      <c r="M819" s="122">
        <v>-3.04</v>
      </c>
      <c r="N819" s="118">
        <v>-1.69</v>
      </c>
      <c r="O819" s="123" t="s">
        <v>1760</v>
      </c>
    </row>
    <row r="820" spans="1:15" ht="43.2">
      <c r="A820" s="118" t="s">
        <v>3077</v>
      </c>
      <c r="B820" s="118" t="s">
        <v>1752</v>
      </c>
      <c r="C820" s="118" t="s">
        <v>1749</v>
      </c>
      <c r="D820" s="119">
        <v>43717</v>
      </c>
      <c r="E820" s="118" t="s">
        <v>3078</v>
      </c>
      <c r="F820" s="118" t="s">
        <v>2190</v>
      </c>
      <c r="G820" s="124">
        <v>2</v>
      </c>
      <c r="H820" s="124">
        <v>3</v>
      </c>
      <c r="I820" s="118">
        <v>10</v>
      </c>
      <c r="J820" s="118">
        <v>85</v>
      </c>
      <c r="K820" s="118">
        <v>15</v>
      </c>
      <c r="L820" s="122">
        <v>-3.47</v>
      </c>
      <c r="M820" s="122">
        <v>-3.76</v>
      </c>
      <c r="N820" s="118">
        <v>-1.95</v>
      </c>
      <c r="O820" s="123" t="s">
        <v>1760</v>
      </c>
    </row>
    <row r="821" spans="1:15" ht="57.6">
      <c r="A821" s="118" t="s">
        <v>3079</v>
      </c>
      <c r="B821" s="118" t="s">
        <v>1752</v>
      </c>
      <c r="C821" s="118" t="s">
        <v>1749</v>
      </c>
      <c r="D821" s="119">
        <v>43647</v>
      </c>
      <c r="E821" s="118" t="s">
        <v>3080</v>
      </c>
      <c r="F821" s="118" t="s">
        <v>2190</v>
      </c>
      <c r="G821" s="124">
        <v>1</v>
      </c>
      <c r="H821" s="124">
        <v>3</v>
      </c>
      <c r="I821" s="118">
        <v>10.5</v>
      </c>
      <c r="J821" s="118">
        <v>92</v>
      </c>
      <c r="K821" s="118">
        <v>16</v>
      </c>
      <c r="L821" s="122">
        <v>-3.27</v>
      </c>
      <c r="M821" s="122">
        <v>-2.27</v>
      </c>
      <c r="N821" s="118">
        <v>-3.12</v>
      </c>
      <c r="O821" s="123" t="s">
        <v>1790</v>
      </c>
    </row>
    <row r="822" spans="1:15" ht="43.2">
      <c r="A822" s="118" t="s">
        <v>3081</v>
      </c>
      <c r="B822" s="118" t="s">
        <v>1743</v>
      </c>
      <c r="C822" s="118" t="s">
        <v>1749</v>
      </c>
      <c r="D822" s="119">
        <v>43664</v>
      </c>
      <c r="E822" s="118" t="s">
        <v>2924</v>
      </c>
      <c r="F822" s="118" t="s">
        <v>1781</v>
      </c>
      <c r="G822" s="124"/>
      <c r="H822" s="124">
        <v>3</v>
      </c>
      <c r="I822" s="118">
        <v>10.6</v>
      </c>
      <c r="J822" s="118">
        <v>87</v>
      </c>
      <c r="K822" s="118">
        <v>14</v>
      </c>
      <c r="L822" s="122">
        <v>-2.88</v>
      </c>
      <c r="M822" s="122">
        <v>-3.18</v>
      </c>
      <c r="N822" s="118">
        <v>-1.33</v>
      </c>
      <c r="O822" s="123" t="s">
        <v>1760</v>
      </c>
    </row>
    <row r="823" spans="1:15" ht="43.2">
      <c r="A823" s="118" t="s">
        <v>3082</v>
      </c>
      <c r="B823" s="118" t="s">
        <v>1743</v>
      </c>
      <c r="C823" s="118" t="s">
        <v>1755</v>
      </c>
      <c r="D823" s="119">
        <v>44624</v>
      </c>
      <c r="E823" s="118" t="s">
        <v>2926</v>
      </c>
      <c r="F823" s="118" t="s">
        <v>1781</v>
      </c>
      <c r="G823" s="124"/>
      <c r="H823" s="124">
        <v>3</v>
      </c>
      <c r="I823" s="118">
        <v>5.8</v>
      </c>
      <c r="J823" s="118">
        <v>63</v>
      </c>
      <c r="K823" s="118">
        <v>14</v>
      </c>
      <c r="L823" s="122">
        <v>-3.62</v>
      </c>
      <c r="M823" s="122">
        <v>-4.2699999999999996</v>
      </c>
      <c r="N823" s="118">
        <v>-1.48</v>
      </c>
      <c r="O823" s="123" t="s">
        <v>1760</v>
      </c>
    </row>
    <row r="824" spans="1:15" ht="43.2">
      <c r="A824" s="118" t="s">
        <v>3083</v>
      </c>
      <c r="B824" s="118" t="s">
        <v>1743</v>
      </c>
      <c r="C824" s="118" t="s">
        <v>1744</v>
      </c>
      <c r="D824" s="119">
        <v>44104</v>
      </c>
      <c r="E824" s="118" t="s">
        <v>2196</v>
      </c>
      <c r="F824" s="118" t="s">
        <v>1781</v>
      </c>
      <c r="G824" s="124">
        <v>3</v>
      </c>
      <c r="H824" s="124">
        <v>2</v>
      </c>
      <c r="I824" s="118">
        <v>8.5</v>
      </c>
      <c r="J824" s="118">
        <v>76.5</v>
      </c>
      <c r="K824" s="118">
        <v>12.5</v>
      </c>
      <c r="L824" s="122">
        <v>-3.29</v>
      </c>
      <c r="M824" s="122">
        <v>-3.91</v>
      </c>
      <c r="N824" s="118">
        <v>-1.33</v>
      </c>
      <c r="O824" s="123" t="s">
        <v>1760</v>
      </c>
    </row>
    <row r="825" spans="1:15" ht="43.2">
      <c r="A825" s="118" t="s">
        <v>3084</v>
      </c>
      <c r="B825" s="118" t="s">
        <v>1752</v>
      </c>
      <c r="C825" s="118" t="s">
        <v>1749</v>
      </c>
      <c r="D825" s="119">
        <v>43892</v>
      </c>
      <c r="E825" s="118" t="s">
        <v>2822</v>
      </c>
      <c r="F825" s="118" t="s">
        <v>1781</v>
      </c>
      <c r="G825" s="124">
        <v>2</v>
      </c>
      <c r="H825" s="124">
        <v>12</v>
      </c>
      <c r="I825" s="118">
        <v>11.4</v>
      </c>
      <c r="J825" s="118">
        <v>87</v>
      </c>
      <c r="K825" s="118">
        <v>16</v>
      </c>
      <c r="L825" s="122">
        <v>-1.91</v>
      </c>
      <c r="M825" s="122">
        <v>-2.46</v>
      </c>
      <c r="N825" s="118">
        <v>-0.81</v>
      </c>
      <c r="O825" s="123" t="s">
        <v>1760</v>
      </c>
    </row>
    <row r="826" spans="1:15" ht="43.2">
      <c r="A826" s="118" t="s">
        <v>3085</v>
      </c>
      <c r="B826" s="118" t="s">
        <v>1752</v>
      </c>
      <c r="C826" s="118" t="s">
        <v>1749</v>
      </c>
      <c r="D826" s="119">
        <v>43790</v>
      </c>
      <c r="E826" s="118" t="s">
        <v>2320</v>
      </c>
      <c r="F826" s="118" t="s">
        <v>1781</v>
      </c>
      <c r="G826" s="124">
        <v>3</v>
      </c>
      <c r="H826" s="124">
        <v>11</v>
      </c>
      <c r="I826" s="118">
        <v>10</v>
      </c>
      <c r="J826" s="118">
        <v>88</v>
      </c>
      <c r="K826" s="118">
        <v>15</v>
      </c>
      <c r="L826" s="122">
        <v>-3.28</v>
      </c>
      <c r="M826" s="122">
        <v>-2.66</v>
      </c>
      <c r="N826" s="118">
        <v>-2.78</v>
      </c>
      <c r="O826" s="123" t="s">
        <v>1747</v>
      </c>
    </row>
    <row r="827" spans="1:15" ht="43.2">
      <c r="A827" s="118" t="s">
        <v>3086</v>
      </c>
      <c r="B827" s="118" t="s">
        <v>1752</v>
      </c>
      <c r="C827" s="118" t="s">
        <v>1744</v>
      </c>
      <c r="D827" s="119">
        <v>44169</v>
      </c>
      <c r="E827" s="118" t="s">
        <v>2824</v>
      </c>
      <c r="F827" s="118" t="s">
        <v>1781</v>
      </c>
      <c r="G827" s="124">
        <v>1</v>
      </c>
      <c r="H827" s="124">
        <v>3</v>
      </c>
      <c r="I827" s="118">
        <v>8.3000000000000007</v>
      </c>
      <c r="J827" s="118">
        <v>78</v>
      </c>
      <c r="K827" s="118">
        <v>14</v>
      </c>
      <c r="L827" s="122">
        <v>-3.67</v>
      </c>
      <c r="M827" s="122">
        <v>-3.63</v>
      </c>
      <c r="N827" s="118">
        <v>-2.58</v>
      </c>
      <c r="O827" s="123" t="s">
        <v>1747</v>
      </c>
    </row>
    <row r="828" spans="1:15" ht="43.2">
      <c r="A828" s="118" t="s">
        <v>3087</v>
      </c>
      <c r="B828" s="118" t="s">
        <v>1752</v>
      </c>
      <c r="C828" s="118" t="s">
        <v>1744</v>
      </c>
      <c r="D828" s="119">
        <v>44286</v>
      </c>
      <c r="E828" s="118" t="s">
        <v>2596</v>
      </c>
      <c r="F828" s="118" t="s">
        <v>1781</v>
      </c>
      <c r="G828" s="124">
        <v>2</v>
      </c>
      <c r="H828" s="124">
        <v>13</v>
      </c>
      <c r="I828" s="118">
        <v>9.4</v>
      </c>
      <c r="J828" s="118">
        <v>80.5</v>
      </c>
      <c r="K828" s="118"/>
      <c r="L828" s="122">
        <v>-2.19</v>
      </c>
      <c r="M828" s="122">
        <v>-2.29</v>
      </c>
      <c r="N828" s="118">
        <v>-1.41</v>
      </c>
      <c r="O828" s="123" t="s">
        <v>1760</v>
      </c>
    </row>
    <row r="829" spans="1:15" ht="43.2">
      <c r="A829" s="118" t="s">
        <v>3088</v>
      </c>
      <c r="B829" s="118" t="s">
        <v>1752</v>
      </c>
      <c r="C829" s="118" t="s">
        <v>1755</v>
      </c>
      <c r="D829" s="119">
        <v>44371</v>
      </c>
      <c r="E829" s="118" t="s">
        <v>2313</v>
      </c>
      <c r="F829" s="118" t="s">
        <v>1781</v>
      </c>
      <c r="G829" s="124">
        <v>2</v>
      </c>
      <c r="H829" s="124">
        <v>11</v>
      </c>
      <c r="I829" s="118">
        <v>9.3000000000000007</v>
      </c>
      <c r="J829" s="118">
        <v>79</v>
      </c>
      <c r="K829" s="118"/>
      <c r="L829" s="122">
        <v>-1.89</v>
      </c>
      <c r="M829" s="122">
        <v>-2.0699999999999998</v>
      </c>
      <c r="N829" s="118">
        <v>-1.21</v>
      </c>
      <c r="O829" s="123" t="s">
        <v>1760</v>
      </c>
    </row>
    <row r="830" spans="1:15" ht="43.2">
      <c r="A830" s="118" t="s">
        <v>3089</v>
      </c>
      <c r="B830" s="118" t="s">
        <v>1752</v>
      </c>
      <c r="C830" s="118" t="s">
        <v>1755</v>
      </c>
      <c r="D830" s="119">
        <v>44651</v>
      </c>
      <c r="E830" s="118" t="s">
        <v>3090</v>
      </c>
      <c r="F830" s="118" t="s">
        <v>1781</v>
      </c>
      <c r="G830" s="124">
        <v>1</v>
      </c>
      <c r="H830" s="124">
        <v>14</v>
      </c>
      <c r="I830" s="118">
        <v>6.8</v>
      </c>
      <c r="J830" s="118">
        <v>67.5</v>
      </c>
      <c r="K830" s="118"/>
      <c r="L830" s="122">
        <v>-3.07</v>
      </c>
      <c r="M830" s="122">
        <v>-3.28</v>
      </c>
      <c r="N830" s="118">
        <v>-1.8</v>
      </c>
      <c r="O830" s="123" t="s">
        <v>1760</v>
      </c>
    </row>
    <row r="831" spans="1:15" ht="43.2">
      <c r="A831" s="118" t="s">
        <v>3091</v>
      </c>
      <c r="B831" s="118" t="s">
        <v>1752</v>
      </c>
      <c r="C831" s="118" t="s">
        <v>1744</v>
      </c>
      <c r="D831" s="119">
        <v>44004</v>
      </c>
      <c r="E831" s="118" t="s">
        <v>2937</v>
      </c>
      <c r="F831" s="118" t="s">
        <v>1784</v>
      </c>
      <c r="G831" s="124">
        <v>3</v>
      </c>
      <c r="H831" s="124">
        <v>2</v>
      </c>
      <c r="I831" s="118">
        <v>9.9</v>
      </c>
      <c r="J831" s="118">
        <v>85.9</v>
      </c>
      <c r="K831" s="118"/>
      <c r="L831" s="122">
        <v>-2.78</v>
      </c>
      <c r="M831" s="122">
        <v>-2.23</v>
      </c>
      <c r="N831" s="118">
        <v>-2.33</v>
      </c>
      <c r="O831" s="123" t="s">
        <v>1747</v>
      </c>
    </row>
    <row r="832" spans="1:15" ht="28.8">
      <c r="A832" s="118" t="s">
        <v>3092</v>
      </c>
      <c r="B832" s="118" t="s">
        <v>1752</v>
      </c>
      <c r="C832" s="118" t="s">
        <v>1744</v>
      </c>
      <c r="D832" s="119">
        <v>44051</v>
      </c>
      <c r="E832" s="118" t="s">
        <v>2326</v>
      </c>
      <c r="F832" s="118" t="s">
        <v>1784</v>
      </c>
      <c r="G832" s="124">
        <v>7</v>
      </c>
      <c r="H832" s="124">
        <v>7</v>
      </c>
      <c r="I832" s="118">
        <v>10.4</v>
      </c>
      <c r="J832" s="118">
        <v>85.2</v>
      </c>
      <c r="K832" s="118"/>
      <c r="L832" s="122">
        <v>-2.21</v>
      </c>
      <c r="M832" s="122">
        <v>-2.17</v>
      </c>
      <c r="N832" s="118">
        <v>-1.5</v>
      </c>
      <c r="O832" s="123" t="s">
        <v>1760</v>
      </c>
    </row>
    <row r="833" spans="1:15" ht="28.8">
      <c r="A833" s="118" t="s">
        <v>3093</v>
      </c>
      <c r="B833" s="118" t="s">
        <v>1752</v>
      </c>
      <c r="C833" s="118" t="s">
        <v>1744</v>
      </c>
      <c r="D833" s="119">
        <v>44217</v>
      </c>
      <c r="E833" s="118" t="s">
        <v>1798</v>
      </c>
      <c r="F833" s="118" t="s">
        <v>1784</v>
      </c>
      <c r="G833" s="124">
        <v>4</v>
      </c>
      <c r="H833" s="124">
        <v>5</v>
      </c>
      <c r="I833" s="118">
        <v>13.5</v>
      </c>
      <c r="J833" s="118">
        <v>81.5</v>
      </c>
      <c r="K833" s="118"/>
      <c r="L833" s="122">
        <v>0.69</v>
      </c>
      <c r="M833" s="122">
        <v>-2.21</v>
      </c>
      <c r="N833" s="118">
        <v>2.52</v>
      </c>
      <c r="O833" s="123" t="s">
        <v>2078</v>
      </c>
    </row>
    <row r="834" spans="1:15" ht="28.8">
      <c r="A834" s="118" t="s">
        <v>3094</v>
      </c>
      <c r="B834" s="118" t="s">
        <v>1743</v>
      </c>
      <c r="C834" s="118" t="s">
        <v>1744</v>
      </c>
      <c r="D834" s="119">
        <v>44265</v>
      </c>
      <c r="E834" s="118" t="s">
        <v>2036</v>
      </c>
      <c r="F834" s="118" t="s">
        <v>1784</v>
      </c>
      <c r="G834" s="124">
        <v>2</v>
      </c>
      <c r="H834" s="124">
        <v>4</v>
      </c>
      <c r="I834" s="118">
        <v>7.95</v>
      </c>
      <c r="J834" s="118">
        <v>79</v>
      </c>
      <c r="K834" s="118"/>
      <c r="L834" s="122">
        <v>-3.09</v>
      </c>
      <c r="M834" s="122">
        <v>-2.25</v>
      </c>
      <c r="N834" s="118">
        <v>-2.5499999999999998</v>
      </c>
      <c r="O834" s="123" t="s">
        <v>1747</v>
      </c>
    </row>
    <row r="835" spans="1:15" ht="28.8">
      <c r="A835" s="118" t="s">
        <v>3095</v>
      </c>
      <c r="B835" s="118" t="s">
        <v>1743</v>
      </c>
      <c r="C835" s="118" t="s">
        <v>1755</v>
      </c>
      <c r="D835" s="119">
        <v>44433</v>
      </c>
      <c r="E835" s="118" t="s">
        <v>1802</v>
      </c>
      <c r="F835" s="118" t="s">
        <v>1784</v>
      </c>
      <c r="G835" s="124">
        <v>3</v>
      </c>
      <c r="H835" s="124">
        <v>7</v>
      </c>
      <c r="I835" s="118">
        <v>8.1</v>
      </c>
      <c r="J835" s="118">
        <v>71.5</v>
      </c>
      <c r="K835" s="118">
        <v>13</v>
      </c>
      <c r="L835" s="122">
        <v>-2.0099999999999998</v>
      </c>
      <c r="M835" s="122">
        <v>-3.26</v>
      </c>
      <c r="N835" s="118">
        <v>-0.49</v>
      </c>
      <c r="O835" s="123" t="s">
        <v>1760</v>
      </c>
    </row>
    <row r="836" spans="1:15" ht="28.8">
      <c r="A836" s="118" t="s">
        <v>3096</v>
      </c>
      <c r="B836" s="118" t="s">
        <v>1752</v>
      </c>
      <c r="C836" s="118" t="s">
        <v>1755</v>
      </c>
      <c r="D836" s="119">
        <v>44614</v>
      </c>
      <c r="E836" s="118" t="s">
        <v>3097</v>
      </c>
      <c r="F836" s="118" t="s">
        <v>1784</v>
      </c>
      <c r="G836" s="124">
        <v>5</v>
      </c>
      <c r="H836" s="124">
        <v>6</v>
      </c>
      <c r="I836" s="118">
        <v>7.2</v>
      </c>
      <c r="J836" s="118">
        <v>71</v>
      </c>
      <c r="K836" s="118"/>
      <c r="L836" s="122">
        <v>-2.72</v>
      </c>
      <c r="M836" s="122">
        <v>-2.14</v>
      </c>
      <c r="N836" s="118">
        <v>-2.2999999999999998</v>
      </c>
      <c r="O836" s="123" t="s">
        <v>1747</v>
      </c>
    </row>
    <row r="837" spans="1:15" ht="28.8">
      <c r="A837" s="118" t="s">
        <v>3098</v>
      </c>
      <c r="B837" s="118" t="s">
        <v>1752</v>
      </c>
      <c r="C837" s="118" t="s">
        <v>1779</v>
      </c>
      <c r="D837" s="119">
        <v>43187</v>
      </c>
      <c r="E837" s="118" t="s">
        <v>3099</v>
      </c>
      <c r="F837" s="118" t="s">
        <v>1784</v>
      </c>
      <c r="G837" s="124">
        <v>3</v>
      </c>
      <c r="H837" s="124">
        <v>4</v>
      </c>
      <c r="I837" s="118">
        <v>15</v>
      </c>
      <c r="J837" s="118">
        <v>100</v>
      </c>
      <c r="K837" s="118">
        <v>15.5</v>
      </c>
      <c r="L837" s="122">
        <v>-1.47</v>
      </c>
      <c r="M837" s="122">
        <v>-2.09</v>
      </c>
      <c r="N837" s="118">
        <v>-0.28999999999999998</v>
      </c>
      <c r="O837" s="123" t="s">
        <v>1760</v>
      </c>
    </row>
    <row r="838" spans="1:15" ht="28.8">
      <c r="A838" s="118" t="s">
        <v>3100</v>
      </c>
      <c r="B838" s="118" t="s">
        <v>1752</v>
      </c>
      <c r="C838" s="118" t="s">
        <v>1786</v>
      </c>
      <c r="D838" s="119">
        <v>43231</v>
      </c>
      <c r="E838" s="118" t="s">
        <v>3101</v>
      </c>
      <c r="F838" s="118" t="s">
        <v>1784</v>
      </c>
      <c r="G838" s="124">
        <v>3</v>
      </c>
      <c r="H838" s="124">
        <v>4</v>
      </c>
      <c r="I838" s="118">
        <v>13</v>
      </c>
      <c r="J838" s="118">
        <v>97.2</v>
      </c>
      <c r="K838" s="118"/>
      <c r="L838" s="122">
        <v>-2.4900000000000002</v>
      </c>
      <c r="M838" s="122">
        <v>-2.56</v>
      </c>
      <c r="N838" s="118">
        <v>-1.46</v>
      </c>
      <c r="O838" s="123" t="s">
        <v>1760</v>
      </c>
    </row>
    <row r="839" spans="1:15" ht="43.2">
      <c r="A839" s="118" t="s">
        <v>3102</v>
      </c>
      <c r="B839" s="118" t="s">
        <v>1743</v>
      </c>
      <c r="C839" s="118" t="s">
        <v>1786</v>
      </c>
      <c r="D839" s="119">
        <v>43378</v>
      </c>
      <c r="E839" s="118" t="s">
        <v>2945</v>
      </c>
      <c r="F839" s="118" t="s">
        <v>1807</v>
      </c>
      <c r="G839" s="124">
        <v>9</v>
      </c>
      <c r="H839" s="124">
        <v>2</v>
      </c>
      <c r="I839" s="118">
        <v>10.9</v>
      </c>
      <c r="J839" s="118">
        <v>93</v>
      </c>
      <c r="K839" s="118">
        <v>13</v>
      </c>
      <c r="L839" s="122">
        <v>-3.31</v>
      </c>
      <c r="M839" s="122">
        <v>-2.8</v>
      </c>
      <c r="N839" s="118">
        <v>-2.39</v>
      </c>
      <c r="O839" s="123" t="s">
        <v>1747</v>
      </c>
    </row>
    <row r="840" spans="1:15" ht="43.2">
      <c r="A840" s="118" t="s">
        <v>3103</v>
      </c>
      <c r="B840" s="118" t="s">
        <v>1743</v>
      </c>
      <c r="C840" s="118" t="s">
        <v>1786</v>
      </c>
      <c r="D840" s="119">
        <v>43466</v>
      </c>
      <c r="E840" s="118" t="s">
        <v>2345</v>
      </c>
      <c r="F840" s="118" t="s">
        <v>1807</v>
      </c>
      <c r="G840" s="124">
        <v>1</v>
      </c>
      <c r="H840" s="124">
        <v>3</v>
      </c>
      <c r="I840" s="118">
        <v>11.6</v>
      </c>
      <c r="J840" s="118">
        <v>90.7</v>
      </c>
      <c r="K840" s="118"/>
      <c r="L840" s="122">
        <v>-2.65</v>
      </c>
      <c r="M840" s="122">
        <v>-3.04</v>
      </c>
      <c r="N840" s="118">
        <v>-1.1399999999999999</v>
      </c>
      <c r="O840" s="123" t="s">
        <v>1760</v>
      </c>
    </row>
    <row r="841" spans="1:15" ht="43.2">
      <c r="A841" s="118" t="s">
        <v>3104</v>
      </c>
      <c r="B841" s="118" t="s">
        <v>1752</v>
      </c>
      <c r="C841" s="118" t="s">
        <v>1786</v>
      </c>
      <c r="D841" s="119">
        <v>43519</v>
      </c>
      <c r="E841" s="118" t="s">
        <v>2957</v>
      </c>
      <c r="F841" s="118" t="s">
        <v>1807</v>
      </c>
      <c r="G841" s="124">
        <v>5</v>
      </c>
      <c r="H841" s="124">
        <v>2</v>
      </c>
      <c r="I841" s="118">
        <v>12.3</v>
      </c>
      <c r="J841" s="118">
        <v>92.2</v>
      </c>
      <c r="K841" s="118"/>
      <c r="L841" s="122">
        <v>-2.2999999999999998</v>
      </c>
      <c r="M841" s="122">
        <v>-2.71</v>
      </c>
      <c r="N841" s="118">
        <v>-1.08</v>
      </c>
      <c r="O841" s="123" t="s">
        <v>1760</v>
      </c>
    </row>
    <row r="842" spans="1:15" ht="43.2">
      <c r="A842" s="118" t="s">
        <v>3105</v>
      </c>
      <c r="B842" s="118" t="s">
        <v>1752</v>
      </c>
      <c r="C842" s="118" t="s">
        <v>1749</v>
      </c>
      <c r="D842" s="119">
        <v>43759</v>
      </c>
      <c r="E842" s="118" t="s">
        <v>2843</v>
      </c>
      <c r="F842" s="118" t="s">
        <v>1807</v>
      </c>
      <c r="G842" s="124">
        <v>4</v>
      </c>
      <c r="H842" s="124">
        <v>4</v>
      </c>
      <c r="I842" s="118">
        <v>11.5</v>
      </c>
      <c r="J842" s="118">
        <v>89</v>
      </c>
      <c r="K842" s="118"/>
      <c r="L842" s="122">
        <v>-2.2400000000000002</v>
      </c>
      <c r="M842" s="122">
        <v>-2.56</v>
      </c>
      <c r="N842" s="118">
        <v>-1.2</v>
      </c>
      <c r="O842" s="123" t="s">
        <v>1760</v>
      </c>
    </row>
    <row r="843" spans="1:15" ht="43.2">
      <c r="A843" s="118" t="s">
        <v>3106</v>
      </c>
      <c r="B843" s="118" t="s">
        <v>1752</v>
      </c>
      <c r="C843" s="118" t="s">
        <v>1744</v>
      </c>
      <c r="D843" s="119">
        <v>43971</v>
      </c>
      <c r="E843" s="118" t="s">
        <v>2948</v>
      </c>
      <c r="F843" s="118" t="s">
        <v>1807</v>
      </c>
      <c r="G843" s="124">
        <v>8</v>
      </c>
      <c r="H843" s="124">
        <v>2</v>
      </c>
      <c r="I843" s="118">
        <v>10.6</v>
      </c>
      <c r="J843" s="118">
        <v>86.6</v>
      </c>
      <c r="K843" s="118">
        <v>14.8</v>
      </c>
      <c r="L843" s="122">
        <v>-2.29</v>
      </c>
      <c r="M843" s="122">
        <v>-2.17</v>
      </c>
      <c r="N843" s="118">
        <v>-1.64</v>
      </c>
      <c r="O843" s="123" t="s">
        <v>1760</v>
      </c>
    </row>
    <row r="844" spans="1:15" ht="43.2">
      <c r="A844" s="118" t="s">
        <v>3107</v>
      </c>
      <c r="B844" s="118" t="s">
        <v>1752</v>
      </c>
      <c r="C844" s="118" t="s">
        <v>1744</v>
      </c>
      <c r="D844" s="119">
        <v>43979</v>
      </c>
      <c r="E844" s="118" t="s">
        <v>2963</v>
      </c>
      <c r="F844" s="118" t="s">
        <v>1807</v>
      </c>
      <c r="G844" s="124">
        <v>3</v>
      </c>
      <c r="H844" s="124">
        <v>2</v>
      </c>
      <c r="I844" s="118">
        <v>10.199999999999999</v>
      </c>
      <c r="J844" s="118">
        <v>87</v>
      </c>
      <c r="K844" s="118"/>
      <c r="L844" s="122">
        <v>-2.61</v>
      </c>
      <c r="M844" s="122">
        <v>-2.0499999999999998</v>
      </c>
      <c r="N844" s="118">
        <v>-2.25</v>
      </c>
      <c r="O844" s="123" t="s">
        <v>1747</v>
      </c>
    </row>
    <row r="845" spans="1:15" ht="57.6">
      <c r="A845" s="118" t="s">
        <v>3108</v>
      </c>
      <c r="B845" s="118" t="s">
        <v>1743</v>
      </c>
      <c r="C845" s="118" t="s">
        <v>1744</v>
      </c>
      <c r="D845" s="119">
        <v>44145</v>
      </c>
      <c r="E845" s="118" t="s">
        <v>2611</v>
      </c>
      <c r="F845" s="118" t="s">
        <v>1807</v>
      </c>
      <c r="G845" s="124">
        <v>1</v>
      </c>
      <c r="H845" s="124">
        <v>4</v>
      </c>
      <c r="I845" s="118">
        <v>11</v>
      </c>
      <c r="J845" s="118">
        <v>79.8</v>
      </c>
      <c r="K845" s="118"/>
      <c r="L845" s="122">
        <v>-0.91</v>
      </c>
      <c r="M845" s="122">
        <v>-2.7</v>
      </c>
      <c r="N845" s="118">
        <v>0.84</v>
      </c>
      <c r="O845" s="123" t="s">
        <v>1760</v>
      </c>
    </row>
    <row r="846" spans="1:15" ht="43.2">
      <c r="A846" s="118" t="s">
        <v>3109</v>
      </c>
      <c r="B846" s="118" t="s">
        <v>1752</v>
      </c>
      <c r="C846" s="118" t="s">
        <v>1744</v>
      </c>
      <c r="D846" s="119">
        <v>44154</v>
      </c>
      <c r="E846" s="118" t="s">
        <v>2951</v>
      </c>
      <c r="F846" s="118" t="s">
        <v>1807</v>
      </c>
      <c r="G846" s="124">
        <v>2</v>
      </c>
      <c r="H846" s="124">
        <v>4</v>
      </c>
      <c r="I846" s="118">
        <v>9.1999999999999993</v>
      </c>
      <c r="J846" s="118">
        <v>81</v>
      </c>
      <c r="K846" s="118"/>
      <c r="L846" s="122">
        <v>-2.9</v>
      </c>
      <c r="M846" s="122">
        <v>-2.79</v>
      </c>
      <c r="N846" s="118">
        <v>-1.96</v>
      </c>
      <c r="O846" s="123" t="s">
        <v>1760</v>
      </c>
    </row>
    <row r="847" spans="1:15" ht="43.2">
      <c r="A847" s="118" t="s">
        <v>3110</v>
      </c>
      <c r="B847" s="118" t="s">
        <v>1752</v>
      </c>
      <c r="C847" s="118" t="s">
        <v>1786</v>
      </c>
      <c r="D847" s="119">
        <v>43487</v>
      </c>
      <c r="E847" s="118" t="s">
        <v>2968</v>
      </c>
      <c r="F847" s="118" t="s">
        <v>1807</v>
      </c>
      <c r="G847" s="124">
        <v>3</v>
      </c>
      <c r="H847" s="124">
        <v>1</v>
      </c>
      <c r="I847" s="118">
        <v>14</v>
      </c>
      <c r="J847" s="118">
        <v>94</v>
      </c>
      <c r="K847" s="118"/>
      <c r="L847" s="122">
        <v>-1.33</v>
      </c>
      <c r="M847" s="122">
        <v>-2.38</v>
      </c>
      <c r="N847" s="118">
        <v>0.16</v>
      </c>
      <c r="O847" s="123" t="s">
        <v>1760</v>
      </c>
    </row>
    <row r="848" spans="1:15" ht="72">
      <c r="A848" s="118" t="s">
        <v>3111</v>
      </c>
      <c r="B848" s="118" t="s">
        <v>1743</v>
      </c>
      <c r="C848" s="118" t="s">
        <v>1749</v>
      </c>
      <c r="D848" s="119">
        <v>43593</v>
      </c>
      <c r="E848" s="118" t="s">
        <v>2970</v>
      </c>
      <c r="F848" s="118" t="s">
        <v>1746</v>
      </c>
      <c r="G848" s="124">
        <v>5</v>
      </c>
      <c r="H848" s="124">
        <v>3</v>
      </c>
      <c r="I848" s="118">
        <v>12</v>
      </c>
      <c r="J848" s="118">
        <v>90</v>
      </c>
      <c r="K848" s="118">
        <v>16</v>
      </c>
      <c r="L848" s="122">
        <v>-2.06</v>
      </c>
      <c r="M848" s="122">
        <v>-2.74</v>
      </c>
      <c r="N848" s="118">
        <v>-0.59</v>
      </c>
      <c r="O848" s="123" t="s">
        <v>1760</v>
      </c>
    </row>
    <row r="849" spans="1:15" ht="43.2">
      <c r="A849" s="118" t="s">
        <v>3112</v>
      </c>
      <c r="B849" s="118" t="s">
        <v>1752</v>
      </c>
      <c r="C849" s="118" t="s">
        <v>1755</v>
      </c>
      <c r="D849" s="119">
        <v>44494</v>
      </c>
      <c r="E849" s="118" t="s">
        <v>2849</v>
      </c>
      <c r="F849" s="118" t="s">
        <v>1746</v>
      </c>
      <c r="G849" s="124">
        <v>3</v>
      </c>
      <c r="H849" s="124">
        <v>1</v>
      </c>
      <c r="I849" s="118">
        <v>8.5</v>
      </c>
      <c r="J849" s="118">
        <v>73</v>
      </c>
      <c r="K849" s="118">
        <v>16</v>
      </c>
      <c r="L849" s="122">
        <v>-2.0099999999999998</v>
      </c>
      <c r="M849" s="122">
        <v>-2.96</v>
      </c>
      <c r="N849" s="118">
        <v>-0.82</v>
      </c>
      <c r="O849" s="123" t="s">
        <v>1760</v>
      </c>
    </row>
    <row r="850" spans="1:15" ht="43.2">
      <c r="A850" s="118" t="s">
        <v>3113</v>
      </c>
      <c r="B850" s="118" t="s">
        <v>1752</v>
      </c>
      <c r="C850" s="118" t="s">
        <v>1744</v>
      </c>
      <c r="D850" s="119">
        <v>44252</v>
      </c>
      <c r="E850" s="118" t="s">
        <v>2376</v>
      </c>
      <c r="F850" s="118" t="s">
        <v>1746</v>
      </c>
      <c r="G850" s="124">
        <v>4</v>
      </c>
      <c r="H850" s="124">
        <v>1</v>
      </c>
      <c r="I850" s="118">
        <v>8.1999999999999993</v>
      </c>
      <c r="J850" s="118">
        <v>78.599999999999994</v>
      </c>
      <c r="K850" s="118">
        <v>13.5</v>
      </c>
      <c r="L850" s="122">
        <v>-3.49</v>
      </c>
      <c r="M850" s="122">
        <v>-3.16</v>
      </c>
      <c r="N850" s="118">
        <v>-2.72</v>
      </c>
      <c r="O850" s="123" t="s">
        <v>1747</v>
      </c>
    </row>
    <row r="851" spans="1:15" ht="28.8">
      <c r="A851" s="118" t="s">
        <v>3114</v>
      </c>
      <c r="B851" s="118" t="s">
        <v>1743</v>
      </c>
      <c r="C851" s="118" t="s">
        <v>1744</v>
      </c>
      <c r="D851" s="119">
        <v>44272</v>
      </c>
      <c r="E851" s="118" t="s">
        <v>2388</v>
      </c>
      <c r="F851" s="118" t="s">
        <v>1746</v>
      </c>
      <c r="G851" s="124">
        <v>1</v>
      </c>
      <c r="H851" s="124">
        <v>2</v>
      </c>
      <c r="I851" s="118">
        <v>8</v>
      </c>
      <c r="J851" s="118">
        <v>75</v>
      </c>
      <c r="K851" s="118">
        <v>13</v>
      </c>
      <c r="L851" s="122">
        <v>-3.01</v>
      </c>
      <c r="M851" s="122">
        <v>-3.46</v>
      </c>
      <c r="N851" s="118">
        <v>-1.53</v>
      </c>
      <c r="O851" s="123" t="s">
        <v>1760</v>
      </c>
    </row>
    <row r="852" spans="1:15" ht="28.8">
      <c r="A852" s="118" t="s">
        <v>3115</v>
      </c>
      <c r="B852" s="118" t="s">
        <v>1752</v>
      </c>
      <c r="C852" s="118" t="s">
        <v>1749</v>
      </c>
      <c r="D852" s="119">
        <v>43888</v>
      </c>
      <c r="E852" s="118" t="s">
        <v>2354</v>
      </c>
      <c r="F852" s="118" t="s">
        <v>1746</v>
      </c>
      <c r="G852" s="124">
        <v>1</v>
      </c>
      <c r="H852" s="124">
        <v>7</v>
      </c>
      <c r="I852" s="118">
        <v>10.45</v>
      </c>
      <c r="J852" s="118">
        <v>85.7</v>
      </c>
      <c r="K852" s="118">
        <v>13.5</v>
      </c>
      <c r="L852" s="122">
        <v>-2.66</v>
      </c>
      <c r="M852" s="122">
        <v>-2.83</v>
      </c>
      <c r="N852" s="118">
        <v>-1.57</v>
      </c>
      <c r="O852" s="123" t="s">
        <v>1760</v>
      </c>
    </row>
    <row r="853" spans="1:15" ht="28.8">
      <c r="A853" s="118" t="s">
        <v>3116</v>
      </c>
      <c r="B853" s="118" t="s">
        <v>1743</v>
      </c>
      <c r="C853" s="118" t="s">
        <v>1744</v>
      </c>
      <c r="D853" s="119">
        <v>44130</v>
      </c>
      <c r="E853" s="118" t="s">
        <v>2851</v>
      </c>
      <c r="F853" s="118" t="s">
        <v>1746</v>
      </c>
      <c r="G853" s="124">
        <v>7</v>
      </c>
      <c r="H853" s="124">
        <v>1</v>
      </c>
      <c r="I853" s="118">
        <v>9</v>
      </c>
      <c r="J853" s="118">
        <v>82.2</v>
      </c>
      <c r="K853" s="118"/>
      <c r="L853" s="122">
        <v>-2.66</v>
      </c>
      <c r="M853" s="122">
        <v>-2.06</v>
      </c>
      <c r="N853" s="118">
        <v>-2.0299999999999998</v>
      </c>
      <c r="O853" s="123" t="s">
        <v>1747</v>
      </c>
    </row>
    <row r="854" spans="1:15" ht="43.2">
      <c r="A854" s="118" t="s">
        <v>3117</v>
      </c>
      <c r="B854" s="118" t="s">
        <v>1752</v>
      </c>
      <c r="C854" s="118" t="s">
        <v>1744</v>
      </c>
      <c r="D854" s="119">
        <v>44119</v>
      </c>
      <c r="E854" s="118" t="s">
        <v>2279</v>
      </c>
      <c r="F854" s="118" t="s">
        <v>1746</v>
      </c>
      <c r="G854" s="124">
        <v>3</v>
      </c>
      <c r="H854" s="124">
        <v>11</v>
      </c>
      <c r="I854" s="118">
        <v>9.6</v>
      </c>
      <c r="J854" s="118">
        <v>78</v>
      </c>
      <c r="K854" s="118">
        <v>15</v>
      </c>
      <c r="L854" s="122">
        <v>-2.64</v>
      </c>
      <c r="M854" s="122">
        <v>-3.87</v>
      </c>
      <c r="N854" s="118">
        <v>-0.75</v>
      </c>
      <c r="O854" s="123" t="s">
        <v>1760</v>
      </c>
    </row>
    <row r="855" spans="1:15" ht="43.2">
      <c r="A855" s="118" t="s">
        <v>3118</v>
      </c>
      <c r="B855" s="118" t="s">
        <v>1752</v>
      </c>
      <c r="C855" s="118" t="s">
        <v>1744</v>
      </c>
      <c r="D855" s="119">
        <v>44101</v>
      </c>
      <c r="E855" s="118" t="s">
        <v>2742</v>
      </c>
      <c r="F855" s="118" t="s">
        <v>1769</v>
      </c>
      <c r="G855" s="124">
        <v>4</v>
      </c>
      <c r="H855" s="124">
        <v>1</v>
      </c>
      <c r="I855" s="118">
        <v>9</v>
      </c>
      <c r="J855" s="118">
        <v>83.6</v>
      </c>
      <c r="K855" s="118">
        <v>12.8</v>
      </c>
      <c r="L855" s="122">
        <v>-3.24</v>
      </c>
      <c r="M855" s="122">
        <v>-2.31</v>
      </c>
      <c r="N855" s="118">
        <v>-2.93</v>
      </c>
      <c r="O855" s="123" t="s">
        <v>1747</v>
      </c>
    </row>
    <row r="856" spans="1:15" ht="72">
      <c r="A856" s="118" t="s">
        <v>3119</v>
      </c>
      <c r="B856" s="118" t="s">
        <v>1752</v>
      </c>
      <c r="C856" s="118" t="s">
        <v>1749</v>
      </c>
      <c r="D856" s="119">
        <v>43848</v>
      </c>
      <c r="E856" s="118" t="s">
        <v>2656</v>
      </c>
      <c r="F856" s="118" t="s">
        <v>1769</v>
      </c>
      <c r="G856" s="124">
        <v>4</v>
      </c>
      <c r="H856" s="124">
        <v>1</v>
      </c>
      <c r="I856" s="118">
        <v>10.199999999999999</v>
      </c>
      <c r="J856" s="118">
        <v>86.5</v>
      </c>
      <c r="K856" s="118">
        <v>14.2</v>
      </c>
      <c r="L856" s="122">
        <v>-3</v>
      </c>
      <c r="M856" s="122">
        <v>-2.83</v>
      </c>
      <c r="N856" s="118">
        <v>-2.11</v>
      </c>
      <c r="O856" s="123" t="s">
        <v>1747</v>
      </c>
    </row>
    <row r="857" spans="1:15" ht="57.6">
      <c r="A857" s="118" t="s">
        <v>3120</v>
      </c>
      <c r="B857" s="118" t="s">
        <v>1743</v>
      </c>
      <c r="C857" s="118" t="s">
        <v>1749</v>
      </c>
      <c r="D857" s="119">
        <v>43821</v>
      </c>
      <c r="E857" s="118" t="s">
        <v>2636</v>
      </c>
      <c r="F857" s="118" t="s">
        <v>1769</v>
      </c>
      <c r="G857" s="124">
        <v>8</v>
      </c>
      <c r="H857" s="124">
        <v>1</v>
      </c>
      <c r="I857" s="118">
        <v>8.57</v>
      </c>
      <c r="J857" s="118">
        <v>82.5</v>
      </c>
      <c r="K857" s="118">
        <v>13</v>
      </c>
      <c r="L857" s="122">
        <v>-4.0599999999999996</v>
      </c>
      <c r="M857" s="122">
        <v>-3.63</v>
      </c>
      <c r="N857" s="118">
        <v>-2.7</v>
      </c>
      <c r="O857" s="123" t="s">
        <v>1747</v>
      </c>
    </row>
    <row r="858" spans="1:15" ht="43.2">
      <c r="A858" s="118" t="s">
        <v>3121</v>
      </c>
      <c r="B858" s="118" t="s">
        <v>1743</v>
      </c>
      <c r="C858" s="118" t="s">
        <v>1749</v>
      </c>
      <c r="D858" s="119">
        <v>43637</v>
      </c>
      <c r="E858" s="118" t="s">
        <v>1891</v>
      </c>
      <c r="F858" s="118" t="s">
        <v>1769</v>
      </c>
      <c r="G858" s="124">
        <v>3</v>
      </c>
      <c r="H858" s="124">
        <v>2</v>
      </c>
      <c r="I858" s="118">
        <v>11.5</v>
      </c>
      <c r="J858" s="118">
        <v>88.6</v>
      </c>
      <c r="K858" s="118"/>
      <c r="L858" s="122">
        <v>-2.2799999999999998</v>
      </c>
      <c r="M858" s="122">
        <v>-2.9</v>
      </c>
      <c r="N858" s="118">
        <v>-0.76</v>
      </c>
      <c r="O858" s="123" t="s">
        <v>1760</v>
      </c>
    </row>
    <row r="859" spans="1:15" ht="43.2">
      <c r="A859" s="118" t="s">
        <v>3122</v>
      </c>
      <c r="B859" s="118" t="s">
        <v>1743</v>
      </c>
      <c r="C859" s="118" t="s">
        <v>1749</v>
      </c>
      <c r="D859" s="119">
        <v>43646</v>
      </c>
      <c r="E859" s="118" t="s">
        <v>2158</v>
      </c>
      <c r="F859" s="118" t="s">
        <v>1769</v>
      </c>
      <c r="G859" s="124">
        <v>1</v>
      </c>
      <c r="H859" s="124">
        <v>2</v>
      </c>
      <c r="I859" s="118">
        <v>12.8</v>
      </c>
      <c r="J859" s="118">
        <v>89.5</v>
      </c>
      <c r="K859" s="118">
        <v>15.2</v>
      </c>
      <c r="L859" s="122">
        <v>-1.39</v>
      </c>
      <c r="M859" s="122">
        <v>-2.62</v>
      </c>
      <c r="N859" s="118">
        <v>0.25</v>
      </c>
      <c r="O859" s="123" t="s">
        <v>1760</v>
      </c>
    </row>
    <row r="860" spans="1:15" ht="43.2">
      <c r="A860" s="118" t="s">
        <v>3123</v>
      </c>
      <c r="B860" s="118" t="s">
        <v>1752</v>
      </c>
      <c r="C860" s="118" t="s">
        <v>1786</v>
      </c>
      <c r="D860" s="119">
        <v>43333</v>
      </c>
      <c r="E860" s="118" t="s">
        <v>2412</v>
      </c>
      <c r="F860" s="118" t="s">
        <v>1769</v>
      </c>
      <c r="G860" s="124">
        <v>4</v>
      </c>
      <c r="H860" s="124">
        <v>8</v>
      </c>
      <c r="I860" s="118">
        <v>12.35</v>
      </c>
      <c r="J860" s="118">
        <v>94.4</v>
      </c>
      <c r="K860" s="118">
        <v>14.5</v>
      </c>
      <c r="L860" s="122">
        <v>-2.69</v>
      </c>
      <c r="M860" s="122">
        <v>-2.84</v>
      </c>
      <c r="N860" s="118">
        <v>-1.52</v>
      </c>
      <c r="O860" s="123" t="s">
        <v>1760</v>
      </c>
    </row>
    <row r="861" spans="1:15" ht="43.2">
      <c r="A861" s="118" t="s">
        <v>3124</v>
      </c>
      <c r="B861" s="118" t="s">
        <v>1743</v>
      </c>
      <c r="C861" s="118" t="s">
        <v>1786</v>
      </c>
      <c r="D861" s="119">
        <v>43229</v>
      </c>
      <c r="E861" s="118" t="s">
        <v>1924</v>
      </c>
      <c r="F861" s="118" t="s">
        <v>1769</v>
      </c>
      <c r="G861" s="124">
        <v>4</v>
      </c>
      <c r="H861" s="124">
        <v>8</v>
      </c>
      <c r="I861" s="118">
        <v>13.5</v>
      </c>
      <c r="J861" s="118">
        <v>95.6</v>
      </c>
      <c r="K861" s="118">
        <v>16</v>
      </c>
      <c r="L861" s="122">
        <v>-2.0099999999999998</v>
      </c>
      <c r="M861" s="122">
        <v>-2.73</v>
      </c>
      <c r="N861" s="118">
        <v>-0.44</v>
      </c>
      <c r="O861" s="123" t="s">
        <v>1760</v>
      </c>
    </row>
    <row r="862" spans="1:15" ht="43.2">
      <c r="A862" s="118" t="s">
        <v>3125</v>
      </c>
      <c r="B862" s="118" t="s">
        <v>1752</v>
      </c>
      <c r="C862" s="118" t="s">
        <v>2055</v>
      </c>
      <c r="D862" s="119">
        <v>44967</v>
      </c>
      <c r="E862" s="118" t="s">
        <v>2248</v>
      </c>
      <c r="F862" s="118" t="s">
        <v>1769</v>
      </c>
      <c r="G862" s="124">
        <v>4</v>
      </c>
      <c r="H862" s="124">
        <v>8</v>
      </c>
      <c r="I862" s="118">
        <v>4.0999999999999996</v>
      </c>
      <c r="J862" s="118">
        <v>50</v>
      </c>
      <c r="K862" s="118"/>
      <c r="L862" s="122">
        <v>-0.46</v>
      </c>
      <c r="M862" s="122">
        <v>-2.2599999999999998</v>
      </c>
      <c r="N862" s="118">
        <v>2.2599999999999998</v>
      </c>
      <c r="O862" s="123" t="s">
        <v>2078</v>
      </c>
    </row>
    <row r="863" spans="1:15" ht="43.2">
      <c r="A863" s="118" t="s">
        <v>3126</v>
      </c>
      <c r="B863" s="118" t="s">
        <v>1743</v>
      </c>
      <c r="C863" s="118" t="s">
        <v>2055</v>
      </c>
      <c r="D863" s="119">
        <v>44889</v>
      </c>
      <c r="E863" s="118" t="s">
        <v>2870</v>
      </c>
      <c r="F863" s="118" t="s">
        <v>1769</v>
      </c>
      <c r="G863" s="124">
        <v>1</v>
      </c>
      <c r="H863" s="124">
        <v>10</v>
      </c>
      <c r="I863" s="118">
        <v>5.52</v>
      </c>
      <c r="J863" s="118">
        <v>55.5</v>
      </c>
      <c r="K863" s="118">
        <v>11.5</v>
      </c>
      <c r="L863" s="122">
        <v>-0.69</v>
      </c>
      <c r="M863" s="122">
        <v>-2.35</v>
      </c>
      <c r="N863" s="118">
        <v>1.75</v>
      </c>
      <c r="O863" s="123" t="s">
        <v>1757</v>
      </c>
    </row>
    <row r="864" spans="1:15" ht="43.2">
      <c r="A864" s="118" t="s">
        <v>3127</v>
      </c>
      <c r="B864" s="118" t="s">
        <v>1752</v>
      </c>
      <c r="C864" s="118" t="s">
        <v>1755</v>
      </c>
      <c r="D864" s="119">
        <v>44522</v>
      </c>
      <c r="E864" s="118" t="s">
        <v>2995</v>
      </c>
      <c r="F864" s="118" t="s">
        <v>1769</v>
      </c>
      <c r="G864" s="124">
        <v>4</v>
      </c>
      <c r="H864" s="124">
        <v>10</v>
      </c>
      <c r="I864" s="118">
        <v>6.93</v>
      </c>
      <c r="J864" s="118">
        <v>70.900000000000006</v>
      </c>
      <c r="K864" s="118">
        <v>12</v>
      </c>
      <c r="L864" s="122">
        <v>-3.63</v>
      </c>
      <c r="M864" s="122">
        <v>-3.48</v>
      </c>
      <c r="N864" s="118">
        <v>-2.76</v>
      </c>
      <c r="O864" s="123" t="s">
        <v>1747</v>
      </c>
    </row>
    <row r="865" spans="1:15" ht="43.2">
      <c r="A865" s="118" t="s">
        <v>3128</v>
      </c>
      <c r="B865" s="118" t="s">
        <v>1743</v>
      </c>
      <c r="C865" s="118" t="s">
        <v>1755</v>
      </c>
      <c r="D865" s="119">
        <v>44502</v>
      </c>
      <c r="E865" s="118" t="s">
        <v>2219</v>
      </c>
      <c r="F865" s="118" t="s">
        <v>1769</v>
      </c>
      <c r="G865" s="124">
        <v>1</v>
      </c>
      <c r="H865" s="124">
        <v>11</v>
      </c>
      <c r="I865" s="118">
        <v>7.78</v>
      </c>
      <c r="J865" s="118">
        <v>72.5</v>
      </c>
      <c r="K865" s="118">
        <v>13</v>
      </c>
      <c r="L865" s="122">
        <v>-1.98</v>
      </c>
      <c r="M865" s="122">
        <v>-2.2599999999999998</v>
      </c>
      <c r="N865" s="118">
        <v>-1.22</v>
      </c>
      <c r="O865" s="123" t="s">
        <v>1760</v>
      </c>
    </row>
    <row r="866" spans="1:15" ht="43.2">
      <c r="A866" s="118" t="s">
        <v>3129</v>
      </c>
      <c r="B866" s="118" t="s">
        <v>1743</v>
      </c>
      <c r="C866" s="118" t="s">
        <v>1744</v>
      </c>
      <c r="D866" s="119">
        <v>43992</v>
      </c>
      <c r="E866" s="118" t="s">
        <v>2408</v>
      </c>
      <c r="F866" s="118" t="s">
        <v>1769</v>
      </c>
      <c r="G866" s="124">
        <v>8</v>
      </c>
      <c r="H866" s="124">
        <v>1</v>
      </c>
      <c r="I866" s="118">
        <v>10.8</v>
      </c>
      <c r="J866" s="118">
        <v>82.5</v>
      </c>
      <c r="K866" s="118">
        <v>15.5</v>
      </c>
      <c r="L866" s="122">
        <v>-1.68</v>
      </c>
      <c r="M866" s="122">
        <v>-2.84</v>
      </c>
      <c r="N866" s="118">
        <v>0.01</v>
      </c>
      <c r="O866" s="123" t="s">
        <v>1760</v>
      </c>
    </row>
    <row r="867" spans="1:15" ht="43.2">
      <c r="A867" s="118" t="s">
        <v>3130</v>
      </c>
      <c r="B867" s="118" t="s">
        <v>1743</v>
      </c>
      <c r="C867" s="118" t="s">
        <v>1744</v>
      </c>
      <c r="D867" s="119">
        <v>43992</v>
      </c>
      <c r="E867" s="118" t="s">
        <v>3014</v>
      </c>
      <c r="F867" s="118" t="s">
        <v>1769</v>
      </c>
      <c r="G867" s="124">
        <v>5</v>
      </c>
      <c r="H867" s="124">
        <v>1</v>
      </c>
      <c r="I867" s="118">
        <v>10.1</v>
      </c>
      <c r="J867" s="118">
        <v>80.599999999999994</v>
      </c>
      <c r="K867" s="118">
        <v>14.8</v>
      </c>
      <c r="L867" s="122">
        <v>-2.25</v>
      </c>
      <c r="M867" s="122">
        <v>-3.35</v>
      </c>
      <c r="N867" s="118">
        <v>-0.28999999999999998</v>
      </c>
      <c r="O867" s="123" t="s">
        <v>1760</v>
      </c>
    </row>
    <row r="868" spans="1:15" ht="43.2">
      <c r="A868" s="118" t="s">
        <v>3131</v>
      </c>
      <c r="B868" s="118" t="s">
        <v>1752</v>
      </c>
      <c r="C868" s="118" t="s">
        <v>1749</v>
      </c>
      <c r="D868" s="119">
        <v>43841</v>
      </c>
      <c r="E868" s="118" t="s">
        <v>3016</v>
      </c>
      <c r="F868" s="118" t="s">
        <v>1769</v>
      </c>
      <c r="G868" s="124">
        <v>6</v>
      </c>
      <c r="H868" s="124">
        <v>2</v>
      </c>
      <c r="I868" s="118">
        <v>10.6</v>
      </c>
      <c r="J868" s="118">
        <v>87.2</v>
      </c>
      <c r="K868" s="118">
        <v>14.5</v>
      </c>
      <c r="L868" s="122">
        <v>-2.69</v>
      </c>
      <c r="M868" s="122">
        <v>-2.67</v>
      </c>
      <c r="N868" s="118">
        <v>-1.8</v>
      </c>
      <c r="O868" s="123" t="s">
        <v>1760</v>
      </c>
    </row>
    <row r="869" spans="1:15" ht="43.2">
      <c r="A869" s="118" t="s">
        <v>3132</v>
      </c>
      <c r="B869" s="118" t="s">
        <v>1752</v>
      </c>
      <c r="C869" s="118" t="s">
        <v>1749</v>
      </c>
      <c r="D869" s="119">
        <v>43703</v>
      </c>
      <c r="E869" s="118" t="s">
        <v>2999</v>
      </c>
      <c r="F869" s="118" t="s">
        <v>1769</v>
      </c>
      <c r="G869" s="124">
        <v>8</v>
      </c>
      <c r="H869" s="124">
        <v>5</v>
      </c>
      <c r="I869" s="118">
        <v>11.1</v>
      </c>
      <c r="J869" s="118">
        <v>90.3</v>
      </c>
      <c r="K869" s="118"/>
      <c r="L869" s="122">
        <v>-2.69</v>
      </c>
      <c r="M869" s="122">
        <v>-2.4700000000000002</v>
      </c>
      <c r="N869" s="118">
        <v>-1.98</v>
      </c>
      <c r="O869" s="123" t="s">
        <v>1760</v>
      </c>
    </row>
    <row r="870" spans="1:15" ht="43.2">
      <c r="A870" s="118" t="s">
        <v>3133</v>
      </c>
      <c r="B870" s="118" t="s">
        <v>1752</v>
      </c>
      <c r="C870" s="118" t="s">
        <v>1749</v>
      </c>
      <c r="D870" s="119">
        <v>43659</v>
      </c>
      <c r="E870" s="118" t="s">
        <v>2499</v>
      </c>
      <c r="F870" s="118" t="s">
        <v>1769</v>
      </c>
      <c r="G870" s="124">
        <v>6</v>
      </c>
      <c r="H870" s="124">
        <v>5</v>
      </c>
      <c r="I870" s="118">
        <v>11.75</v>
      </c>
      <c r="J870" s="118">
        <v>92.1</v>
      </c>
      <c r="K870" s="118">
        <v>15</v>
      </c>
      <c r="L870" s="122">
        <v>-2.33</v>
      </c>
      <c r="M870" s="122">
        <v>-2.2000000000000002</v>
      </c>
      <c r="N870" s="118">
        <v>-1.65</v>
      </c>
      <c r="O870" s="123" t="s">
        <v>1760</v>
      </c>
    </row>
    <row r="871" spans="1:15" ht="43.2">
      <c r="A871" s="118" t="s">
        <v>3134</v>
      </c>
      <c r="B871" s="118" t="s">
        <v>1743</v>
      </c>
      <c r="C871" s="118" t="s">
        <v>1749</v>
      </c>
      <c r="D871" s="119">
        <v>43645</v>
      </c>
      <c r="E871" s="118" t="s">
        <v>2867</v>
      </c>
      <c r="F871" s="118" t="s">
        <v>1769</v>
      </c>
      <c r="G871" s="124">
        <v>2</v>
      </c>
      <c r="H871" s="124">
        <v>5</v>
      </c>
      <c r="I871" s="118">
        <v>10.5</v>
      </c>
      <c r="J871" s="118">
        <v>91.4</v>
      </c>
      <c r="K871" s="118">
        <v>13.5</v>
      </c>
      <c r="L871" s="122">
        <v>-3.02</v>
      </c>
      <c r="M871" s="122">
        <v>-2.2000000000000002</v>
      </c>
      <c r="N871" s="118">
        <v>-2.4900000000000002</v>
      </c>
      <c r="O871" s="123" t="s">
        <v>1747</v>
      </c>
    </row>
    <row r="872" spans="1:15" ht="43.2">
      <c r="A872" s="118" t="s">
        <v>3135</v>
      </c>
      <c r="B872" s="118" t="s">
        <v>1743</v>
      </c>
      <c r="C872" s="118" t="s">
        <v>1779</v>
      </c>
      <c r="D872" s="119">
        <v>43191</v>
      </c>
      <c r="E872" s="118" t="s">
        <v>2495</v>
      </c>
      <c r="F872" s="118" t="s">
        <v>1769</v>
      </c>
      <c r="G872" s="124">
        <v>6</v>
      </c>
      <c r="H872" s="124">
        <v>5</v>
      </c>
      <c r="I872" s="118">
        <v>9.08</v>
      </c>
      <c r="J872" s="118">
        <v>92.6</v>
      </c>
      <c r="K872" s="118">
        <v>12.5</v>
      </c>
      <c r="L872" s="122">
        <v>-4.74</v>
      </c>
      <c r="M872" s="122">
        <v>-3.48</v>
      </c>
      <c r="N872" s="118">
        <v>-4.38</v>
      </c>
      <c r="O872" s="123" t="s">
        <v>1790</v>
      </c>
    </row>
    <row r="873" spans="1:15" ht="57.6">
      <c r="A873" s="118" t="s">
        <v>3136</v>
      </c>
      <c r="B873" s="118" t="s">
        <v>1752</v>
      </c>
      <c r="C873" s="118" t="s">
        <v>1786</v>
      </c>
      <c r="D873" s="119">
        <v>43364</v>
      </c>
      <c r="E873" s="118" t="s">
        <v>2858</v>
      </c>
      <c r="F873" s="118" t="s">
        <v>1769</v>
      </c>
      <c r="G873" s="124">
        <v>3</v>
      </c>
      <c r="H873" s="124">
        <v>1</v>
      </c>
      <c r="I873" s="118">
        <v>11.25</v>
      </c>
      <c r="J873" s="118">
        <v>86.6</v>
      </c>
      <c r="K873" s="118">
        <v>15</v>
      </c>
      <c r="L873" s="122">
        <v>-3.33</v>
      </c>
      <c r="M873" s="122">
        <v>-4.51</v>
      </c>
      <c r="N873" s="118">
        <v>-0.87</v>
      </c>
      <c r="O873" s="123" t="s">
        <v>1760</v>
      </c>
    </row>
    <row r="874" spans="1:15" ht="43.2">
      <c r="A874" s="118" t="s">
        <v>3137</v>
      </c>
      <c r="B874" s="118" t="s">
        <v>1752</v>
      </c>
      <c r="C874" s="118" t="s">
        <v>1786</v>
      </c>
      <c r="D874" s="119">
        <v>43298</v>
      </c>
      <c r="E874" s="118" t="s">
        <v>2099</v>
      </c>
      <c r="F874" s="118" t="s">
        <v>1769</v>
      </c>
      <c r="G874" s="124">
        <v>9</v>
      </c>
      <c r="H874" s="124">
        <v>5</v>
      </c>
      <c r="I874" s="118">
        <v>10.1</v>
      </c>
      <c r="J874" s="118">
        <v>89.6</v>
      </c>
      <c r="K874" s="118">
        <v>12.8</v>
      </c>
      <c r="L874" s="122">
        <v>-4.16</v>
      </c>
      <c r="M874" s="122">
        <v>-4.03</v>
      </c>
      <c r="N874" s="118">
        <v>-3.06</v>
      </c>
      <c r="O874" s="123" t="s">
        <v>1790</v>
      </c>
    </row>
    <row r="875" spans="1:15" ht="43.2">
      <c r="A875" s="118" t="s">
        <v>3138</v>
      </c>
      <c r="B875" s="118" t="s">
        <v>1752</v>
      </c>
      <c r="C875" s="118" t="s">
        <v>1749</v>
      </c>
      <c r="D875" s="119">
        <v>43694</v>
      </c>
      <c r="E875" s="118" t="s">
        <v>3139</v>
      </c>
      <c r="F875" s="118" t="s">
        <v>1769</v>
      </c>
      <c r="G875" s="124">
        <v>7</v>
      </c>
      <c r="H875" s="124">
        <v>2</v>
      </c>
      <c r="I875" s="118">
        <v>14.1</v>
      </c>
      <c r="J875" s="118">
        <v>91.5</v>
      </c>
      <c r="K875" s="118">
        <v>16.5</v>
      </c>
      <c r="L875" s="122">
        <v>-0.73</v>
      </c>
      <c r="M875" s="122">
        <v>-2.1800000000000002</v>
      </c>
      <c r="N875" s="118">
        <v>0.78</v>
      </c>
      <c r="O875" s="123" t="s">
        <v>1760</v>
      </c>
    </row>
    <row r="876" spans="1:15" ht="43.2">
      <c r="A876" s="118" t="s">
        <v>3140</v>
      </c>
      <c r="B876" s="118" t="s">
        <v>1743</v>
      </c>
      <c r="C876" s="118" t="s">
        <v>1749</v>
      </c>
      <c r="D876" s="119">
        <v>43799</v>
      </c>
      <c r="E876" s="118" t="s">
        <v>2262</v>
      </c>
      <c r="F876" s="118" t="s">
        <v>1774</v>
      </c>
      <c r="G876" s="124">
        <v>1</v>
      </c>
      <c r="H876" s="124">
        <v>7</v>
      </c>
      <c r="I876" s="118">
        <v>11.5</v>
      </c>
      <c r="J876" s="118">
        <v>86.5</v>
      </c>
      <c r="K876" s="118">
        <v>15.5</v>
      </c>
      <c r="L876" s="122">
        <v>-1.82</v>
      </c>
      <c r="M876" s="122">
        <v>-2.75</v>
      </c>
      <c r="N876" s="118">
        <v>-0.26</v>
      </c>
      <c r="O876" s="123" t="s">
        <v>1760</v>
      </c>
    </row>
    <row r="877" spans="1:15" ht="43.2">
      <c r="A877" s="118" t="s">
        <v>3141</v>
      </c>
      <c r="B877" s="118" t="s">
        <v>1752</v>
      </c>
      <c r="C877" s="118" t="s">
        <v>1749</v>
      </c>
      <c r="D877" s="119">
        <v>43909</v>
      </c>
      <c r="E877" s="118" t="s">
        <v>3040</v>
      </c>
      <c r="F877" s="118" t="s">
        <v>1774</v>
      </c>
      <c r="G877" s="124">
        <v>1</v>
      </c>
      <c r="H877" s="124">
        <v>8</v>
      </c>
      <c r="I877" s="118">
        <v>10.6</v>
      </c>
      <c r="J877" s="118">
        <v>86.5</v>
      </c>
      <c r="K877" s="118">
        <v>14.5</v>
      </c>
      <c r="L877" s="122">
        <v>-2.48</v>
      </c>
      <c r="M877" s="122">
        <v>-2.5099999999999998</v>
      </c>
      <c r="N877" s="118">
        <v>-1.61</v>
      </c>
      <c r="O877" s="123" t="s">
        <v>1760</v>
      </c>
    </row>
    <row r="878" spans="1:15" ht="43.2">
      <c r="A878" s="118" t="s">
        <v>3142</v>
      </c>
      <c r="B878" s="118" t="s">
        <v>1743</v>
      </c>
      <c r="C878" s="118" t="s">
        <v>1744</v>
      </c>
      <c r="D878" s="119">
        <v>44068</v>
      </c>
      <c r="E878" s="118" t="s">
        <v>3143</v>
      </c>
      <c r="F878" s="118" t="s">
        <v>1774</v>
      </c>
      <c r="G878" s="124">
        <v>2</v>
      </c>
      <c r="H878" s="124">
        <v>5</v>
      </c>
      <c r="I878" s="118">
        <v>10.8</v>
      </c>
      <c r="J878" s="118">
        <v>82.5</v>
      </c>
      <c r="K878" s="118"/>
      <c r="L878" s="122">
        <v>-1.36</v>
      </c>
      <c r="M878" s="122">
        <v>-2.37</v>
      </c>
      <c r="N878" s="118">
        <v>0.01</v>
      </c>
      <c r="O878" s="123" t="s">
        <v>1760</v>
      </c>
    </row>
    <row r="879" spans="1:15" ht="43.2">
      <c r="A879" s="118" t="s">
        <v>3144</v>
      </c>
      <c r="B879" s="118" t="s">
        <v>1752</v>
      </c>
      <c r="C879" s="118" t="s">
        <v>1744</v>
      </c>
      <c r="D879" s="119">
        <v>44144</v>
      </c>
      <c r="E879" s="118" t="s">
        <v>3145</v>
      </c>
      <c r="F879" s="118" t="s">
        <v>1774</v>
      </c>
      <c r="G879" s="124">
        <v>8</v>
      </c>
      <c r="H879" s="124">
        <v>1</v>
      </c>
      <c r="I879" s="118">
        <v>9.1</v>
      </c>
      <c r="J879" s="118">
        <v>78.400000000000006</v>
      </c>
      <c r="K879" s="118"/>
      <c r="L879" s="122">
        <v>-3.04</v>
      </c>
      <c r="M879" s="122">
        <v>-3.66</v>
      </c>
      <c r="N879" s="118">
        <v>-1.5</v>
      </c>
      <c r="O879" s="123" t="s">
        <v>1760</v>
      </c>
    </row>
    <row r="880" spans="1:15" ht="57.6">
      <c r="A880" s="118" t="s">
        <v>3146</v>
      </c>
      <c r="B880" s="118" t="s">
        <v>1752</v>
      </c>
      <c r="C880" s="118" t="s">
        <v>1744</v>
      </c>
      <c r="D880" s="119">
        <v>44296</v>
      </c>
      <c r="E880" s="118" t="s">
        <v>3147</v>
      </c>
      <c r="F880" s="118" t="s">
        <v>1777</v>
      </c>
      <c r="G880" s="124">
        <v>2</v>
      </c>
      <c r="H880" s="124">
        <v>15</v>
      </c>
      <c r="I880" s="118">
        <v>9</v>
      </c>
      <c r="J880" s="118">
        <v>69.099999999999994</v>
      </c>
      <c r="K880" s="118"/>
      <c r="L880" s="122">
        <v>-2.5</v>
      </c>
      <c r="M880" s="122">
        <v>-5.96</v>
      </c>
      <c r="N880" s="118">
        <v>1.0900000000000001</v>
      </c>
      <c r="O880" s="123" t="s">
        <v>1757</v>
      </c>
    </row>
    <row r="881" spans="1:15" ht="43.2">
      <c r="A881" s="118" t="s">
        <v>3148</v>
      </c>
      <c r="B881" s="118" t="s">
        <v>1752</v>
      </c>
      <c r="C881" s="118" t="s">
        <v>1755</v>
      </c>
      <c r="D881" s="119">
        <v>44370</v>
      </c>
      <c r="E881" s="118" t="s">
        <v>2894</v>
      </c>
      <c r="F881" s="118" t="s">
        <v>1777</v>
      </c>
      <c r="G881" s="124">
        <v>2</v>
      </c>
      <c r="H881" s="124">
        <v>11</v>
      </c>
      <c r="I881" s="118">
        <v>8.8000000000000007</v>
      </c>
      <c r="J881" s="118">
        <v>77.3</v>
      </c>
      <c r="K881" s="118"/>
      <c r="L881" s="122">
        <v>-2.36</v>
      </c>
      <c r="M881" s="122">
        <v>-2.64</v>
      </c>
      <c r="N881" s="118">
        <v>-1.51</v>
      </c>
      <c r="O881" s="123" t="s">
        <v>1760</v>
      </c>
    </row>
    <row r="882" spans="1:15" ht="43.2">
      <c r="A882" s="118" t="s">
        <v>3149</v>
      </c>
      <c r="B882" s="118" t="s">
        <v>1743</v>
      </c>
      <c r="C882" s="118" t="s">
        <v>1755</v>
      </c>
      <c r="D882" s="119">
        <v>44443</v>
      </c>
      <c r="E882" s="118" t="s">
        <v>2509</v>
      </c>
      <c r="F882" s="118" t="s">
        <v>1777</v>
      </c>
      <c r="G882" s="124">
        <v>2</v>
      </c>
      <c r="H882" s="124">
        <v>10</v>
      </c>
      <c r="I882" s="118">
        <v>7.7</v>
      </c>
      <c r="J882" s="118">
        <v>74</v>
      </c>
      <c r="K882" s="118"/>
      <c r="L882" s="122">
        <v>-2.42</v>
      </c>
      <c r="M882" s="122">
        <v>-2.35</v>
      </c>
      <c r="N882" s="118">
        <v>-1.73</v>
      </c>
      <c r="O882" s="123" t="s">
        <v>1760</v>
      </c>
    </row>
    <row r="883" spans="1:15" ht="43.2">
      <c r="A883" s="118" t="s">
        <v>3150</v>
      </c>
      <c r="B883" s="118" t="s">
        <v>1752</v>
      </c>
      <c r="C883" s="118" t="s">
        <v>1749</v>
      </c>
      <c r="D883" s="119">
        <v>43669</v>
      </c>
      <c r="E883" s="118" t="s">
        <v>2898</v>
      </c>
      <c r="F883" s="118" t="s">
        <v>1777</v>
      </c>
      <c r="G883" s="124">
        <v>5</v>
      </c>
      <c r="H883" s="124">
        <v>1</v>
      </c>
      <c r="I883" s="118">
        <v>10</v>
      </c>
      <c r="J883" s="118">
        <v>86</v>
      </c>
      <c r="K883" s="118">
        <v>15.5</v>
      </c>
      <c r="L883" s="122">
        <v>-2.71</v>
      </c>
      <c r="M883" s="122">
        <v>-2.41</v>
      </c>
      <c r="N883" s="118">
        <v>-2.0299999999999998</v>
      </c>
      <c r="O883" s="123" t="s">
        <v>1747</v>
      </c>
    </row>
    <row r="884" spans="1:15" ht="43.2">
      <c r="A884" s="118" t="s">
        <v>3151</v>
      </c>
      <c r="B884" s="118" t="s">
        <v>1743</v>
      </c>
      <c r="C884" s="118" t="s">
        <v>1749</v>
      </c>
      <c r="D884" s="119">
        <v>43664</v>
      </c>
      <c r="E884" s="118" t="s">
        <v>2513</v>
      </c>
      <c r="F884" s="118" t="s">
        <v>1777</v>
      </c>
      <c r="G884" s="124">
        <v>3</v>
      </c>
      <c r="H884" s="124">
        <v>10</v>
      </c>
      <c r="I884" s="118">
        <v>8.9</v>
      </c>
      <c r="J884" s="118">
        <v>81</v>
      </c>
      <c r="K884" s="118">
        <v>13.2</v>
      </c>
      <c r="L884" s="122">
        <v>-3.29</v>
      </c>
      <c r="M884" s="122">
        <v>-3.21</v>
      </c>
      <c r="N884" s="118">
        <v>-1.85</v>
      </c>
      <c r="O884" s="123" t="s">
        <v>1760</v>
      </c>
    </row>
    <row r="885" spans="1:15" ht="57.6">
      <c r="A885" s="118" t="s">
        <v>3152</v>
      </c>
      <c r="B885" s="118" t="s">
        <v>1752</v>
      </c>
      <c r="C885" s="118" t="s">
        <v>1755</v>
      </c>
      <c r="D885" s="119">
        <v>44365</v>
      </c>
      <c r="E885" s="118" t="s">
        <v>3153</v>
      </c>
      <c r="F885" s="118" t="s">
        <v>1777</v>
      </c>
      <c r="G885" s="124">
        <v>4</v>
      </c>
      <c r="H885" s="124">
        <v>2</v>
      </c>
      <c r="I885" s="118">
        <v>7.9</v>
      </c>
      <c r="J885" s="118">
        <v>68</v>
      </c>
      <c r="K885" s="118"/>
      <c r="L885" s="122">
        <v>-1.54</v>
      </c>
      <c r="M885" s="122">
        <v>-2.68</v>
      </c>
      <c r="N885" s="118">
        <v>-0.1</v>
      </c>
      <c r="O885" s="123" t="s">
        <v>1760</v>
      </c>
    </row>
    <row r="886" spans="1:15" ht="43.2">
      <c r="A886" s="118" t="s">
        <v>3154</v>
      </c>
      <c r="B886" s="118" t="s">
        <v>1743</v>
      </c>
      <c r="C886" s="118" t="s">
        <v>1749</v>
      </c>
      <c r="D886" s="119">
        <v>43782</v>
      </c>
      <c r="E886" s="118" t="s">
        <v>2019</v>
      </c>
      <c r="F886" s="118" t="s">
        <v>1777</v>
      </c>
      <c r="G886" s="124">
        <v>1</v>
      </c>
      <c r="H886" s="124">
        <v>15</v>
      </c>
      <c r="I886" s="118">
        <v>9.1</v>
      </c>
      <c r="J886" s="118">
        <v>82</v>
      </c>
      <c r="K886" s="118">
        <v>46</v>
      </c>
      <c r="L886" s="122">
        <v>-2.66</v>
      </c>
      <c r="M886" s="122">
        <v>-2.2599999999999998</v>
      </c>
      <c r="N886" s="118">
        <v>-1.84</v>
      </c>
      <c r="O886" s="123" t="s">
        <v>1760</v>
      </c>
    </row>
    <row r="887" spans="1:15" ht="43.2">
      <c r="A887" s="118" t="s">
        <v>3155</v>
      </c>
      <c r="B887" s="118" t="s">
        <v>1752</v>
      </c>
      <c r="C887" s="118" t="s">
        <v>1749</v>
      </c>
      <c r="D887" s="119">
        <v>43892</v>
      </c>
      <c r="E887" s="118" t="s">
        <v>2905</v>
      </c>
      <c r="F887" s="118" t="s">
        <v>1777</v>
      </c>
      <c r="G887" s="124">
        <v>1</v>
      </c>
      <c r="H887" s="124">
        <v>15</v>
      </c>
      <c r="I887" s="118">
        <v>10.199999999999999</v>
      </c>
      <c r="J887" s="118">
        <v>80</v>
      </c>
      <c r="K887" s="118"/>
      <c r="L887" s="122">
        <v>-1.7</v>
      </c>
      <c r="M887" s="122">
        <v>-2.84</v>
      </c>
      <c r="N887" s="118">
        <v>-0.28999999999999998</v>
      </c>
      <c r="O887" s="123" t="s">
        <v>1760</v>
      </c>
    </row>
    <row r="888" spans="1:15" ht="43.2">
      <c r="A888" s="118" t="s">
        <v>3156</v>
      </c>
      <c r="B888" s="118" t="s">
        <v>1752</v>
      </c>
      <c r="C888" s="118" t="s">
        <v>1749</v>
      </c>
      <c r="D888" s="119">
        <v>43846</v>
      </c>
      <c r="E888" s="118" t="s">
        <v>3157</v>
      </c>
      <c r="F888" s="118" t="s">
        <v>1777</v>
      </c>
      <c r="G888" s="124">
        <v>1</v>
      </c>
      <c r="H888" s="124">
        <v>13</v>
      </c>
      <c r="I888" s="118">
        <v>11.7</v>
      </c>
      <c r="J888" s="118">
        <v>82</v>
      </c>
      <c r="K888" s="118"/>
      <c r="L888" s="122">
        <v>-0.77</v>
      </c>
      <c r="M888" s="122">
        <v>-2.41</v>
      </c>
      <c r="N888" s="118">
        <v>0.76</v>
      </c>
      <c r="O888" s="123" t="s">
        <v>1760</v>
      </c>
    </row>
    <row r="889" spans="1:15" ht="43.2">
      <c r="A889" s="118" t="s">
        <v>3158</v>
      </c>
      <c r="B889" s="118" t="s">
        <v>1743</v>
      </c>
      <c r="C889" s="118" t="s">
        <v>1749</v>
      </c>
      <c r="D889" s="119">
        <v>43721</v>
      </c>
      <c r="E889" s="118" t="s">
        <v>3159</v>
      </c>
      <c r="F889" s="118" t="s">
        <v>1777</v>
      </c>
      <c r="G889" s="124">
        <v>7</v>
      </c>
      <c r="H889" s="124">
        <v>13</v>
      </c>
      <c r="I889" s="118">
        <v>12</v>
      </c>
      <c r="J889" s="118">
        <v>83</v>
      </c>
      <c r="K889" s="118"/>
      <c r="L889" s="122">
        <v>-0.62</v>
      </c>
      <c r="M889" s="122">
        <v>-2.4300000000000002</v>
      </c>
      <c r="N889" s="118">
        <v>1.05</v>
      </c>
      <c r="O889" s="123" t="s">
        <v>1757</v>
      </c>
    </row>
    <row r="890" spans="1:15" ht="43.2">
      <c r="A890" s="118" t="s">
        <v>3160</v>
      </c>
      <c r="B890" s="118" t="s">
        <v>1752</v>
      </c>
      <c r="C890" s="118" t="s">
        <v>1749</v>
      </c>
      <c r="D890" s="119">
        <v>43818</v>
      </c>
      <c r="E890" s="118" t="s">
        <v>3161</v>
      </c>
      <c r="F890" s="118" t="s">
        <v>1777</v>
      </c>
      <c r="G890" s="124">
        <v>4</v>
      </c>
      <c r="H890" s="124">
        <v>13</v>
      </c>
      <c r="I890" s="118">
        <v>12.4</v>
      </c>
      <c r="J890" s="118">
        <v>82</v>
      </c>
      <c r="K890" s="118"/>
      <c r="L890" s="122">
        <v>-0.38</v>
      </c>
      <c r="M890" s="122">
        <v>-2.59</v>
      </c>
      <c r="N890" s="118">
        <v>1.45</v>
      </c>
      <c r="O890" s="123" t="s">
        <v>1757</v>
      </c>
    </row>
    <row r="891" spans="1:15" ht="43.2">
      <c r="A891" s="118" t="s">
        <v>3162</v>
      </c>
      <c r="B891" s="118" t="s">
        <v>1752</v>
      </c>
      <c r="C891" s="118" t="s">
        <v>1749</v>
      </c>
      <c r="D891" s="119">
        <v>43731</v>
      </c>
      <c r="E891" s="118" t="s">
        <v>3074</v>
      </c>
      <c r="F891" s="118" t="s">
        <v>2190</v>
      </c>
      <c r="G891" s="124">
        <v>1</v>
      </c>
      <c r="H891" s="124">
        <v>6</v>
      </c>
      <c r="I891" s="118">
        <v>12.7</v>
      </c>
      <c r="J891" s="118">
        <v>83</v>
      </c>
      <c r="K891" s="118"/>
      <c r="L891" s="122">
        <v>-0.51</v>
      </c>
      <c r="M891" s="122">
        <v>-2.8</v>
      </c>
      <c r="N891" s="118">
        <v>1.5</v>
      </c>
      <c r="O891" s="123" t="s">
        <v>1757</v>
      </c>
    </row>
    <row r="892" spans="1:15" ht="43.2">
      <c r="A892" s="118" t="s">
        <v>3163</v>
      </c>
      <c r="B892" s="118" t="s">
        <v>1743</v>
      </c>
      <c r="C892" s="118" t="s">
        <v>1749</v>
      </c>
      <c r="D892" s="119">
        <v>43652</v>
      </c>
      <c r="E892" s="118" t="s">
        <v>3164</v>
      </c>
      <c r="F892" s="118" t="s">
        <v>2190</v>
      </c>
      <c r="G892" s="124">
        <v>4</v>
      </c>
      <c r="H892" s="124">
        <v>6</v>
      </c>
      <c r="I892" s="118">
        <v>12.4</v>
      </c>
      <c r="J892" s="118">
        <v>84</v>
      </c>
      <c r="K892" s="118"/>
      <c r="L892" s="122">
        <v>-0.62</v>
      </c>
      <c r="M892" s="122">
        <v>-2.54</v>
      </c>
      <c r="N892" s="118">
        <v>1.17</v>
      </c>
      <c r="O892" s="123" t="s">
        <v>1757</v>
      </c>
    </row>
    <row r="893" spans="1:15" ht="43.2">
      <c r="A893" s="118" t="s">
        <v>3165</v>
      </c>
      <c r="B893" s="118" t="s">
        <v>1743</v>
      </c>
      <c r="C893" s="118" t="s">
        <v>1786</v>
      </c>
      <c r="D893" s="119">
        <v>43483</v>
      </c>
      <c r="E893" s="118" t="s">
        <v>3166</v>
      </c>
      <c r="F893" s="118" t="s">
        <v>2190</v>
      </c>
      <c r="G893" s="124">
        <v>3</v>
      </c>
      <c r="H893" s="124">
        <v>2</v>
      </c>
      <c r="I893" s="118">
        <v>12.3</v>
      </c>
      <c r="J893" s="118">
        <v>83</v>
      </c>
      <c r="K893" s="118"/>
      <c r="L893" s="122">
        <v>-1.26</v>
      </c>
      <c r="M893" s="122">
        <v>-3.6</v>
      </c>
      <c r="N893" s="118">
        <v>1.32</v>
      </c>
      <c r="O893" s="123" t="s">
        <v>1757</v>
      </c>
    </row>
    <row r="894" spans="1:15" ht="43.2">
      <c r="A894" s="118" t="s">
        <v>3167</v>
      </c>
      <c r="B894" s="118" t="s">
        <v>1743</v>
      </c>
      <c r="C894" s="118" t="s">
        <v>1749</v>
      </c>
      <c r="D894" s="119">
        <v>43748</v>
      </c>
      <c r="E894" s="118" t="s">
        <v>2285</v>
      </c>
      <c r="F894" s="118" t="s">
        <v>2190</v>
      </c>
      <c r="G894" s="124">
        <v>5</v>
      </c>
      <c r="H894" s="124">
        <v>2</v>
      </c>
      <c r="I894" s="118">
        <v>12.6</v>
      </c>
      <c r="J894" s="118">
        <v>83</v>
      </c>
      <c r="K894" s="118"/>
      <c r="L894" s="122">
        <v>-0.13</v>
      </c>
      <c r="M894" s="122">
        <v>-2.27</v>
      </c>
      <c r="N894" s="118">
        <v>1.58</v>
      </c>
      <c r="O894" s="123" t="s">
        <v>1757</v>
      </c>
    </row>
    <row r="895" spans="1:15" ht="43.2">
      <c r="A895" s="118" t="s">
        <v>3168</v>
      </c>
      <c r="B895" s="118" t="s">
        <v>1743</v>
      </c>
      <c r="C895" s="118" t="s">
        <v>1744</v>
      </c>
      <c r="D895" s="119">
        <v>44231</v>
      </c>
      <c r="E895" s="118" t="s">
        <v>2777</v>
      </c>
      <c r="F895" s="118" t="s">
        <v>2190</v>
      </c>
      <c r="G895" s="124">
        <v>1</v>
      </c>
      <c r="H895" s="124">
        <v>2</v>
      </c>
      <c r="I895" s="118">
        <v>9.4</v>
      </c>
      <c r="J895" s="118">
        <v>68</v>
      </c>
      <c r="K895" s="118"/>
      <c r="L895" s="122">
        <v>-0.1</v>
      </c>
      <c r="M895" s="122">
        <v>-3.34</v>
      </c>
      <c r="N895" s="118">
        <v>2.0499999999999998</v>
      </c>
      <c r="O895" s="123" t="s">
        <v>2078</v>
      </c>
    </row>
    <row r="896" spans="1:15" ht="43.2">
      <c r="A896" s="118" t="s">
        <v>3169</v>
      </c>
      <c r="B896" s="118" t="s">
        <v>1752</v>
      </c>
      <c r="C896" s="118" t="s">
        <v>1744</v>
      </c>
      <c r="D896" s="119">
        <v>43971</v>
      </c>
      <c r="E896" s="118" t="s">
        <v>2287</v>
      </c>
      <c r="F896" s="118" t="s">
        <v>2190</v>
      </c>
      <c r="G896" s="124">
        <v>5</v>
      </c>
      <c r="H896" s="124">
        <v>2</v>
      </c>
      <c r="I896" s="118">
        <v>11.6</v>
      </c>
      <c r="J896" s="118">
        <v>74</v>
      </c>
      <c r="K896" s="118"/>
      <c r="L896" s="122">
        <v>-0.28999999999999998</v>
      </c>
      <c r="M896" s="122">
        <v>-4.12</v>
      </c>
      <c r="N896" s="118">
        <v>2.39</v>
      </c>
      <c r="O896" s="123" t="s">
        <v>2078</v>
      </c>
    </row>
    <row r="897" spans="1:15" ht="57.6">
      <c r="A897" s="118" t="s">
        <v>3170</v>
      </c>
      <c r="B897" s="118" t="s">
        <v>1743</v>
      </c>
      <c r="C897" s="118" t="s">
        <v>1744</v>
      </c>
      <c r="D897" s="119">
        <v>44007</v>
      </c>
      <c r="E897" s="118" t="s">
        <v>2569</v>
      </c>
      <c r="F897" s="118" t="s">
        <v>2190</v>
      </c>
      <c r="G897" s="124">
        <v>3</v>
      </c>
      <c r="H897" s="124">
        <v>1</v>
      </c>
      <c r="I897" s="118">
        <v>11</v>
      </c>
      <c r="J897" s="118">
        <v>73</v>
      </c>
      <c r="K897" s="118"/>
      <c r="L897" s="122">
        <v>-0.04</v>
      </c>
      <c r="M897" s="122">
        <v>-3.49</v>
      </c>
      <c r="N897" s="118">
        <v>2.25</v>
      </c>
      <c r="O897" s="123" t="s">
        <v>2078</v>
      </c>
    </row>
    <row r="898" spans="1:15" ht="43.2">
      <c r="A898" s="118" t="s">
        <v>3171</v>
      </c>
      <c r="B898" s="118" t="s">
        <v>1752</v>
      </c>
      <c r="C898" s="118" t="s">
        <v>1749</v>
      </c>
      <c r="D898" s="119">
        <v>43840</v>
      </c>
      <c r="E898" s="118" t="s">
        <v>3059</v>
      </c>
      <c r="F898" s="118" t="s">
        <v>2190</v>
      </c>
      <c r="G898" s="124">
        <v>6</v>
      </c>
      <c r="H898" s="124">
        <v>1</v>
      </c>
      <c r="I898" s="118">
        <v>11.4</v>
      </c>
      <c r="J898" s="118">
        <v>74.099999999999994</v>
      </c>
      <c r="K898" s="118"/>
      <c r="L898" s="122">
        <v>-1.01</v>
      </c>
      <c r="M898" s="122">
        <v>-5.08</v>
      </c>
      <c r="N898" s="118">
        <v>2.35</v>
      </c>
      <c r="O898" s="123" t="s">
        <v>2078</v>
      </c>
    </row>
    <row r="899" spans="1:15" ht="57.6">
      <c r="A899" s="118" t="s">
        <v>3172</v>
      </c>
      <c r="B899" s="118" t="s">
        <v>1743</v>
      </c>
      <c r="C899" s="118" t="s">
        <v>1749</v>
      </c>
      <c r="D899" s="119">
        <v>43845</v>
      </c>
      <c r="E899" s="118" t="s">
        <v>3062</v>
      </c>
      <c r="F899" s="118" t="s">
        <v>2190</v>
      </c>
      <c r="G899" s="124">
        <v>7</v>
      </c>
      <c r="H899" s="124">
        <v>1</v>
      </c>
      <c r="I899" s="118">
        <v>11.7</v>
      </c>
      <c r="J899" s="118">
        <v>73.900000000000006</v>
      </c>
      <c r="K899" s="118"/>
      <c r="L899" s="122">
        <v>-0.31</v>
      </c>
      <c r="M899" s="122">
        <v>-4.51</v>
      </c>
      <c r="N899" s="118">
        <v>2.83</v>
      </c>
      <c r="O899" s="123" t="s">
        <v>2078</v>
      </c>
    </row>
    <row r="900" spans="1:15" ht="43.2">
      <c r="A900" s="118" t="s">
        <v>3173</v>
      </c>
      <c r="B900" s="118" t="s">
        <v>1743</v>
      </c>
      <c r="C900" s="118" t="s">
        <v>1749</v>
      </c>
      <c r="D900" s="119">
        <v>43885</v>
      </c>
      <c r="E900" s="118" t="s">
        <v>3069</v>
      </c>
      <c r="F900" s="118" t="s">
        <v>2190</v>
      </c>
      <c r="G900" s="124">
        <v>7</v>
      </c>
      <c r="H900" s="124">
        <v>2</v>
      </c>
      <c r="I900" s="118">
        <v>11.5</v>
      </c>
      <c r="J900" s="118">
        <v>73</v>
      </c>
      <c r="K900" s="118"/>
      <c r="L900" s="122">
        <v>-0.27</v>
      </c>
      <c r="M900" s="122">
        <v>-4.54</v>
      </c>
      <c r="N900" s="118">
        <v>2.85</v>
      </c>
      <c r="O900" s="123" t="s">
        <v>2078</v>
      </c>
    </row>
    <row r="901" spans="1:15" ht="43.2">
      <c r="A901" s="118" t="s">
        <v>3174</v>
      </c>
      <c r="B901" s="118" t="s">
        <v>1743</v>
      </c>
      <c r="C901" s="118" t="s">
        <v>1749</v>
      </c>
      <c r="D901" s="119">
        <v>43908</v>
      </c>
      <c r="E901" s="118" t="s">
        <v>3072</v>
      </c>
      <c r="F901" s="118" t="s">
        <v>2190</v>
      </c>
      <c r="G901" s="124">
        <v>3</v>
      </c>
      <c r="H901" s="124">
        <v>5</v>
      </c>
      <c r="I901" s="118">
        <v>11.4</v>
      </c>
      <c r="J901" s="118">
        <v>73</v>
      </c>
      <c r="K901" s="118"/>
      <c r="L901" s="122">
        <v>-0.23</v>
      </c>
      <c r="M901" s="122">
        <v>-4.4000000000000004</v>
      </c>
      <c r="N901" s="118">
        <v>2.77</v>
      </c>
      <c r="O901" s="123" t="s">
        <v>2078</v>
      </c>
    </row>
    <row r="902" spans="1:15" ht="43.2">
      <c r="A902" s="118" t="s">
        <v>3175</v>
      </c>
      <c r="B902" s="118" t="s">
        <v>1752</v>
      </c>
      <c r="C902" s="118" t="s">
        <v>1749</v>
      </c>
      <c r="D902" s="119">
        <v>43917</v>
      </c>
      <c r="E902" s="118" t="s">
        <v>3076</v>
      </c>
      <c r="F902" s="118" t="s">
        <v>2190</v>
      </c>
      <c r="G902" s="124">
        <v>8</v>
      </c>
      <c r="H902" s="124">
        <v>3</v>
      </c>
      <c r="I902" s="118">
        <v>11.9</v>
      </c>
      <c r="J902" s="118">
        <v>74.099999999999994</v>
      </c>
      <c r="K902" s="118"/>
      <c r="L902" s="122">
        <v>-0.31</v>
      </c>
      <c r="M902" s="122">
        <v>-4.66</v>
      </c>
      <c r="N902" s="118">
        <v>2.83</v>
      </c>
      <c r="O902" s="123" t="s">
        <v>2078</v>
      </c>
    </row>
    <row r="903" spans="1:15" ht="43.2">
      <c r="A903" s="118" t="s">
        <v>3176</v>
      </c>
      <c r="B903" s="118" t="s">
        <v>1752</v>
      </c>
      <c r="C903" s="118" t="s">
        <v>1744</v>
      </c>
      <c r="D903" s="119">
        <v>43952</v>
      </c>
      <c r="E903" s="118" t="s">
        <v>2816</v>
      </c>
      <c r="F903" s="118" t="s">
        <v>2190</v>
      </c>
      <c r="G903" s="124">
        <v>3</v>
      </c>
      <c r="H903" s="124">
        <v>4</v>
      </c>
      <c r="I903" s="118">
        <v>11.7</v>
      </c>
      <c r="J903" s="118">
        <v>73.599999999999994</v>
      </c>
      <c r="K903" s="118"/>
      <c r="L903" s="122">
        <v>-0.3</v>
      </c>
      <c r="M903" s="122">
        <v>-4.5999999999999996</v>
      </c>
      <c r="N903" s="118">
        <v>2.77</v>
      </c>
      <c r="O903" s="123" t="s">
        <v>2078</v>
      </c>
    </row>
    <row r="904" spans="1:15" ht="43.2">
      <c r="A904" s="118" t="s">
        <v>3177</v>
      </c>
      <c r="B904" s="118" t="s">
        <v>1752</v>
      </c>
      <c r="C904" s="118" t="s">
        <v>1744</v>
      </c>
      <c r="D904" s="119">
        <v>43952</v>
      </c>
      <c r="E904" s="118" t="s">
        <v>3078</v>
      </c>
      <c r="F904" s="118" t="s">
        <v>2190</v>
      </c>
      <c r="G904" s="124">
        <v>2</v>
      </c>
      <c r="H904" s="124">
        <v>3</v>
      </c>
      <c r="I904" s="118">
        <v>11.4</v>
      </c>
      <c r="J904" s="118">
        <v>73.2</v>
      </c>
      <c r="K904" s="118"/>
      <c r="L904" s="122">
        <v>-0.52</v>
      </c>
      <c r="M904" s="122">
        <v>-4.74</v>
      </c>
      <c r="N904" s="118">
        <v>2.58</v>
      </c>
      <c r="O904" s="123" t="s">
        <v>2078</v>
      </c>
    </row>
    <row r="905" spans="1:15" ht="57.6">
      <c r="A905" s="118" t="s">
        <v>3178</v>
      </c>
      <c r="B905" s="118" t="s">
        <v>1752</v>
      </c>
      <c r="C905" s="118" t="s">
        <v>1744</v>
      </c>
      <c r="D905" s="119">
        <v>44027</v>
      </c>
      <c r="E905" s="118" t="s">
        <v>3080</v>
      </c>
      <c r="F905" s="118" t="s">
        <v>2190</v>
      </c>
      <c r="G905" s="124">
        <v>1</v>
      </c>
      <c r="H905" s="124">
        <v>3</v>
      </c>
      <c r="I905" s="118">
        <v>12</v>
      </c>
      <c r="J905" s="118">
        <v>73.2</v>
      </c>
      <c r="K905" s="118"/>
      <c r="L905" s="122">
        <v>0.3</v>
      </c>
      <c r="M905" s="122">
        <v>-4.22</v>
      </c>
      <c r="N905" s="118">
        <v>3.16</v>
      </c>
      <c r="O905" s="123" t="s">
        <v>2170</v>
      </c>
    </row>
    <row r="906" spans="1:15" ht="43.2">
      <c r="A906" s="118" t="s">
        <v>3179</v>
      </c>
      <c r="B906" s="118" t="s">
        <v>1752</v>
      </c>
      <c r="C906" s="118" t="s">
        <v>1744</v>
      </c>
      <c r="D906" s="119">
        <v>44035</v>
      </c>
      <c r="E906" s="118" t="s">
        <v>2119</v>
      </c>
      <c r="F906" s="118" t="s">
        <v>1781</v>
      </c>
      <c r="G906" s="124">
        <v>2</v>
      </c>
      <c r="H906" s="124">
        <v>2</v>
      </c>
      <c r="I906" s="118">
        <v>11.9</v>
      </c>
      <c r="J906" s="118">
        <v>73.099999999999994</v>
      </c>
      <c r="K906" s="118"/>
      <c r="L906" s="122">
        <v>0.26</v>
      </c>
      <c r="M906" s="122">
        <v>-4.1900000000000004</v>
      </c>
      <c r="N906" s="118">
        <v>3.09</v>
      </c>
      <c r="O906" s="123" t="s">
        <v>2170</v>
      </c>
    </row>
    <row r="907" spans="1:15" ht="43.2">
      <c r="A907" s="118" t="s">
        <v>3180</v>
      </c>
      <c r="B907" s="118" t="s">
        <v>1752</v>
      </c>
      <c r="C907" s="118" t="s">
        <v>1744</v>
      </c>
      <c r="D907" s="119">
        <v>44048</v>
      </c>
      <c r="E907" s="118" t="s">
        <v>2926</v>
      </c>
      <c r="F907" s="118" t="s">
        <v>1781</v>
      </c>
      <c r="G907" s="124"/>
      <c r="H907" s="124">
        <v>3</v>
      </c>
      <c r="I907" s="118">
        <v>11</v>
      </c>
      <c r="J907" s="118">
        <v>74.2</v>
      </c>
      <c r="K907" s="118"/>
      <c r="L907" s="122">
        <v>-0.37</v>
      </c>
      <c r="M907" s="122">
        <v>-3.71</v>
      </c>
      <c r="N907" s="118">
        <v>1.92</v>
      </c>
      <c r="O907" s="123" t="s">
        <v>1757</v>
      </c>
    </row>
    <row r="908" spans="1:15" ht="43.2">
      <c r="A908" s="118" t="s">
        <v>3181</v>
      </c>
      <c r="B908" s="118" t="s">
        <v>1752</v>
      </c>
      <c r="C908" s="118" t="s">
        <v>1744</v>
      </c>
      <c r="D908" s="119">
        <v>44068</v>
      </c>
      <c r="E908" s="118" t="s">
        <v>2824</v>
      </c>
      <c r="F908" s="118" t="s">
        <v>1781</v>
      </c>
      <c r="G908" s="124">
        <v>1</v>
      </c>
      <c r="H908" s="124">
        <v>3</v>
      </c>
      <c r="I908" s="118">
        <v>11.6</v>
      </c>
      <c r="J908" s="118">
        <v>72.900000000000006</v>
      </c>
      <c r="K908" s="118"/>
      <c r="L908" s="122">
        <v>0.21</v>
      </c>
      <c r="M908" s="122">
        <v>-4</v>
      </c>
      <c r="N908" s="118">
        <v>2.86</v>
      </c>
      <c r="O908" s="123" t="s">
        <v>2078</v>
      </c>
    </row>
    <row r="909" spans="1:15" ht="43.2">
      <c r="A909" s="118" t="s">
        <v>3182</v>
      </c>
      <c r="B909" s="118" t="s">
        <v>1743</v>
      </c>
      <c r="C909" s="118" t="s">
        <v>1744</v>
      </c>
      <c r="D909" s="119">
        <v>44104</v>
      </c>
      <c r="E909" s="118" t="s">
        <v>2822</v>
      </c>
      <c r="F909" s="118" t="s">
        <v>1781</v>
      </c>
      <c r="G909" s="124">
        <v>2</v>
      </c>
      <c r="H909" s="124">
        <v>12</v>
      </c>
      <c r="I909" s="118">
        <v>12.7</v>
      </c>
      <c r="J909" s="118">
        <v>73.400000000000006</v>
      </c>
      <c r="K909" s="118"/>
      <c r="L909" s="122">
        <v>1.59</v>
      </c>
      <c r="M909" s="122">
        <v>-2.74</v>
      </c>
      <c r="N909" s="118">
        <v>3.84</v>
      </c>
      <c r="O909" s="123" t="s">
        <v>2170</v>
      </c>
    </row>
    <row r="910" spans="1:15" ht="43.2">
      <c r="A910" s="118" t="s">
        <v>3183</v>
      </c>
      <c r="B910" s="118" t="s">
        <v>1743</v>
      </c>
      <c r="C910" s="118" t="s">
        <v>1744</v>
      </c>
      <c r="D910" s="119">
        <v>44111</v>
      </c>
      <c r="E910" s="118" t="s">
        <v>2320</v>
      </c>
      <c r="F910" s="118" t="s">
        <v>1781</v>
      </c>
      <c r="G910" s="124">
        <v>3</v>
      </c>
      <c r="H910" s="124">
        <v>11</v>
      </c>
      <c r="I910" s="118">
        <v>12</v>
      </c>
      <c r="J910" s="118">
        <v>73.2</v>
      </c>
      <c r="K910" s="118"/>
      <c r="L910" s="122">
        <v>1.18</v>
      </c>
      <c r="M910" s="122">
        <v>-2.74</v>
      </c>
      <c r="N910" s="118">
        <v>3.25</v>
      </c>
      <c r="O910" s="123" t="s">
        <v>2170</v>
      </c>
    </row>
    <row r="911" spans="1:15" ht="43.2">
      <c r="A911" s="118" t="s">
        <v>3184</v>
      </c>
      <c r="B911" s="118" t="s">
        <v>1743</v>
      </c>
      <c r="C911" s="118" t="s">
        <v>1744</v>
      </c>
      <c r="D911" s="119">
        <v>44131</v>
      </c>
      <c r="E911" s="118" t="s">
        <v>2596</v>
      </c>
      <c r="F911" s="118" t="s">
        <v>1781</v>
      </c>
      <c r="G911" s="124">
        <v>2</v>
      </c>
      <c r="H911" s="124">
        <v>13</v>
      </c>
      <c r="I911" s="118">
        <v>11.8</v>
      </c>
      <c r="J911" s="118">
        <v>73.7</v>
      </c>
      <c r="K911" s="118"/>
      <c r="L911" s="122">
        <v>1.1599999999999999</v>
      </c>
      <c r="M911" s="122">
        <v>-2.37</v>
      </c>
      <c r="N911" s="118">
        <v>2.96</v>
      </c>
      <c r="O911" s="123" t="s">
        <v>2078</v>
      </c>
    </row>
    <row r="912" spans="1:15" ht="43.2">
      <c r="A912" s="118" t="s">
        <v>3185</v>
      </c>
      <c r="B912" s="118" t="s">
        <v>1752</v>
      </c>
      <c r="C912" s="118" t="s">
        <v>1744</v>
      </c>
      <c r="D912" s="119">
        <v>44180</v>
      </c>
      <c r="E912" s="118" t="s">
        <v>3186</v>
      </c>
      <c r="F912" s="118" t="s">
        <v>1781</v>
      </c>
      <c r="G912" s="124">
        <v>3</v>
      </c>
      <c r="H912" s="124">
        <v>12</v>
      </c>
      <c r="I912" s="118">
        <v>11.2</v>
      </c>
      <c r="J912" s="118">
        <v>73.599999999999994</v>
      </c>
      <c r="K912" s="118"/>
      <c r="L912" s="122">
        <v>0.52</v>
      </c>
      <c r="M912" s="122">
        <v>-2.65</v>
      </c>
      <c r="N912" s="118">
        <v>2.2799999999999998</v>
      </c>
      <c r="O912" s="123" t="s">
        <v>2078</v>
      </c>
    </row>
    <row r="913" spans="1:15" ht="28.8">
      <c r="A913" s="118" t="s">
        <v>3187</v>
      </c>
      <c r="B913" s="118" t="s">
        <v>1752</v>
      </c>
      <c r="C913" s="118" t="s">
        <v>1744</v>
      </c>
      <c r="D913" s="119">
        <v>44197</v>
      </c>
      <c r="E913" s="118" t="s">
        <v>3188</v>
      </c>
      <c r="F913" s="118" t="s">
        <v>1784</v>
      </c>
      <c r="G913" s="124">
        <v>5</v>
      </c>
      <c r="H913" s="124">
        <v>6</v>
      </c>
      <c r="I913" s="118">
        <v>10.199999999999999</v>
      </c>
      <c r="J913" s="118">
        <v>71.3</v>
      </c>
      <c r="K913" s="118"/>
      <c r="L913" s="122">
        <v>-0.23</v>
      </c>
      <c r="M913" s="122">
        <v>-3.35</v>
      </c>
      <c r="N913" s="118">
        <v>1.86</v>
      </c>
      <c r="O913" s="123" t="s">
        <v>1757</v>
      </c>
    </row>
    <row r="914" spans="1:15" ht="28.8">
      <c r="A914" s="118" t="s">
        <v>3189</v>
      </c>
      <c r="B914" s="118" t="s">
        <v>1743</v>
      </c>
      <c r="C914" s="118" t="s">
        <v>1744</v>
      </c>
      <c r="D914" s="119">
        <v>44259</v>
      </c>
      <c r="E914" s="118" t="s">
        <v>2326</v>
      </c>
      <c r="F914" s="118" t="s">
        <v>1784</v>
      </c>
      <c r="G914" s="124">
        <v>7</v>
      </c>
      <c r="H914" s="124">
        <v>7</v>
      </c>
      <c r="I914" s="118">
        <v>10.199999999999999</v>
      </c>
      <c r="J914" s="118">
        <v>68.7</v>
      </c>
      <c r="K914" s="118"/>
      <c r="L914" s="122">
        <v>0.73</v>
      </c>
      <c r="M914" s="122">
        <v>-2.74</v>
      </c>
      <c r="N914" s="118">
        <v>2.69</v>
      </c>
      <c r="O914" s="123" t="s">
        <v>2078</v>
      </c>
    </row>
    <row r="915" spans="1:15" ht="28.8">
      <c r="A915" s="118" t="s">
        <v>3190</v>
      </c>
      <c r="B915" s="118" t="s">
        <v>1743</v>
      </c>
      <c r="C915" s="118" t="s">
        <v>1744</v>
      </c>
      <c r="D915" s="119">
        <v>44285</v>
      </c>
      <c r="E915" s="118" t="s">
        <v>1798</v>
      </c>
      <c r="F915" s="118" t="s">
        <v>1784</v>
      </c>
      <c r="G915" s="124">
        <v>4</v>
      </c>
      <c r="H915" s="124">
        <v>5</v>
      </c>
      <c r="I915" s="118">
        <v>9.5</v>
      </c>
      <c r="J915" s="118">
        <v>68</v>
      </c>
      <c r="K915" s="118"/>
      <c r="L915" s="122">
        <v>0.32</v>
      </c>
      <c r="M915" s="122">
        <v>-2.67</v>
      </c>
      <c r="N915" s="118">
        <v>2.16</v>
      </c>
      <c r="O915" s="123" t="s">
        <v>2078</v>
      </c>
    </row>
    <row r="916" spans="1:15" ht="28.8">
      <c r="A916" s="118" t="s">
        <v>3191</v>
      </c>
      <c r="B916" s="118" t="s">
        <v>1752</v>
      </c>
      <c r="C916" s="118" t="s">
        <v>1755</v>
      </c>
      <c r="D916" s="119">
        <v>44314</v>
      </c>
      <c r="E916" s="118" t="s">
        <v>2036</v>
      </c>
      <c r="F916" s="118" t="s">
        <v>1784</v>
      </c>
      <c r="G916" s="124">
        <v>2</v>
      </c>
      <c r="H916" s="124">
        <v>4</v>
      </c>
      <c r="I916" s="118">
        <v>9.1</v>
      </c>
      <c r="J916" s="118">
        <v>65.3</v>
      </c>
      <c r="K916" s="118"/>
      <c r="L916" s="122">
        <v>-0.5</v>
      </c>
      <c r="M916" s="122">
        <v>-4.34</v>
      </c>
      <c r="N916" s="118">
        <v>2.52</v>
      </c>
      <c r="O916" s="123" t="s">
        <v>2078</v>
      </c>
    </row>
    <row r="917" spans="1:15" ht="28.8">
      <c r="A917" s="118" t="s">
        <v>3192</v>
      </c>
      <c r="B917" s="118" t="s">
        <v>1743</v>
      </c>
      <c r="C917" s="118" t="s">
        <v>1755</v>
      </c>
      <c r="D917" s="119">
        <v>44319</v>
      </c>
      <c r="E917" s="118" t="s">
        <v>1802</v>
      </c>
      <c r="F917" s="118" t="s">
        <v>1784</v>
      </c>
      <c r="G917" s="124">
        <v>3</v>
      </c>
      <c r="H917" s="124">
        <v>7</v>
      </c>
      <c r="I917" s="118">
        <v>9.4</v>
      </c>
      <c r="J917" s="118">
        <v>64.2</v>
      </c>
      <c r="K917" s="118"/>
      <c r="L917" s="122">
        <v>0.46</v>
      </c>
      <c r="M917" s="122">
        <v>-3.69</v>
      </c>
      <c r="N917" s="118">
        <v>3.22</v>
      </c>
      <c r="O917" s="123" t="s">
        <v>2170</v>
      </c>
    </row>
    <row r="918" spans="1:15" ht="43.2">
      <c r="A918" s="118" t="s">
        <v>3193</v>
      </c>
      <c r="B918" s="118" t="s">
        <v>1743</v>
      </c>
      <c r="C918" s="118" t="s">
        <v>1755</v>
      </c>
      <c r="D918" s="119">
        <v>44322</v>
      </c>
      <c r="E918" s="118" t="s">
        <v>2957</v>
      </c>
      <c r="F918" s="118" t="s">
        <v>1807</v>
      </c>
      <c r="G918" s="124">
        <v>5</v>
      </c>
      <c r="H918" s="124">
        <v>2</v>
      </c>
      <c r="I918" s="118">
        <v>9.5</v>
      </c>
      <c r="J918" s="118">
        <v>64.3</v>
      </c>
      <c r="K918" s="118"/>
      <c r="L918" s="122">
        <v>0.56999999999999995</v>
      </c>
      <c r="M918" s="122">
        <v>-3.61</v>
      </c>
      <c r="N918" s="118">
        <v>3.3</v>
      </c>
      <c r="O918" s="123" t="s">
        <v>2170</v>
      </c>
    </row>
    <row r="919" spans="1:15" ht="43.2">
      <c r="A919" s="118" t="s">
        <v>3194</v>
      </c>
      <c r="B919" s="118" t="s">
        <v>1743</v>
      </c>
      <c r="C919" s="118" t="s">
        <v>1755</v>
      </c>
      <c r="D919" s="119">
        <v>44664</v>
      </c>
      <c r="E919" s="118" t="s">
        <v>2843</v>
      </c>
      <c r="F919" s="118" t="s">
        <v>1807</v>
      </c>
      <c r="G919" s="124">
        <v>4</v>
      </c>
      <c r="H919" s="124">
        <v>4</v>
      </c>
      <c r="I919" s="118">
        <v>2.6</v>
      </c>
      <c r="J919" s="118">
        <v>45</v>
      </c>
      <c r="K919" s="118"/>
      <c r="L919" s="122">
        <v>-1.47</v>
      </c>
      <c r="M919" s="122">
        <v>-2.23</v>
      </c>
      <c r="N919" s="118">
        <v>0.6</v>
      </c>
      <c r="O919" s="123" t="s">
        <v>1760</v>
      </c>
    </row>
    <row r="920" spans="1:15" ht="43.2">
      <c r="A920" s="118" t="s">
        <v>3195</v>
      </c>
      <c r="B920" s="118" t="s">
        <v>1743</v>
      </c>
      <c r="C920" s="118" t="s">
        <v>1786</v>
      </c>
      <c r="D920" s="119">
        <v>43240</v>
      </c>
      <c r="E920" s="118" t="s">
        <v>2948</v>
      </c>
      <c r="F920" s="118" t="s">
        <v>1807</v>
      </c>
      <c r="G920" s="124">
        <v>8</v>
      </c>
      <c r="H920" s="124">
        <v>2</v>
      </c>
      <c r="I920" s="118">
        <v>15</v>
      </c>
      <c r="J920" s="118">
        <v>91</v>
      </c>
      <c r="K920" s="118"/>
      <c r="L920" s="122">
        <v>-0.4</v>
      </c>
      <c r="M920" s="122">
        <v>-2.57</v>
      </c>
      <c r="N920" s="118">
        <v>1.65</v>
      </c>
      <c r="O920" s="123" t="s">
        <v>1757</v>
      </c>
    </row>
    <row r="921" spans="1:15" ht="43.2">
      <c r="A921" s="118" t="s">
        <v>3196</v>
      </c>
      <c r="B921" s="118" t="s">
        <v>1752</v>
      </c>
      <c r="C921" s="118" t="s">
        <v>1744</v>
      </c>
      <c r="D921" s="119">
        <v>44148</v>
      </c>
      <c r="E921" s="118" t="s">
        <v>2963</v>
      </c>
      <c r="F921" s="118" t="s">
        <v>1807</v>
      </c>
      <c r="G921" s="124">
        <v>3</v>
      </c>
      <c r="H921" s="124">
        <v>2</v>
      </c>
      <c r="I921" s="118">
        <v>8.5</v>
      </c>
      <c r="J921" s="118">
        <v>75</v>
      </c>
      <c r="K921" s="118"/>
      <c r="L921" s="122">
        <v>-2.0699999999999998</v>
      </c>
      <c r="M921" s="122">
        <v>-2.3199999999999998</v>
      </c>
      <c r="N921" s="118">
        <v>-1.37</v>
      </c>
      <c r="O921" s="123" t="s">
        <v>1760</v>
      </c>
    </row>
    <row r="922" spans="1:15" ht="57.6">
      <c r="A922" s="118" t="s">
        <v>3197</v>
      </c>
      <c r="B922" s="118" t="s">
        <v>1752</v>
      </c>
      <c r="C922" s="118" t="s">
        <v>1744</v>
      </c>
      <c r="D922" s="119">
        <v>44217</v>
      </c>
      <c r="E922" s="118" t="s">
        <v>2611</v>
      </c>
      <c r="F922" s="118" t="s">
        <v>1807</v>
      </c>
      <c r="G922" s="124">
        <v>1</v>
      </c>
      <c r="H922" s="124">
        <v>4</v>
      </c>
      <c r="I922" s="118">
        <v>8.1999999999999993</v>
      </c>
      <c r="J922" s="118">
        <v>72</v>
      </c>
      <c r="K922" s="118"/>
      <c r="L922" s="122">
        <v>-2</v>
      </c>
      <c r="M922" s="122">
        <v>-2.67</v>
      </c>
      <c r="N922" s="118">
        <v>-0.96</v>
      </c>
      <c r="O922" s="123" t="s">
        <v>1760</v>
      </c>
    </row>
    <row r="923" spans="1:15" ht="43.2">
      <c r="A923" s="118" t="s">
        <v>3198</v>
      </c>
      <c r="B923" s="118" t="s">
        <v>1752</v>
      </c>
      <c r="C923" s="118" t="s">
        <v>1786</v>
      </c>
      <c r="D923" s="119">
        <v>43383</v>
      </c>
      <c r="E923" s="118" t="s">
        <v>2951</v>
      </c>
      <c r="F923" s="118" t="s">
        <v>1807</v>
      </c>
      <c r="G923" s="124">
        <v>2</v>
      </c>
      <c r="H923" s="124">
        <v>4</v>
      </c>
      <c r="I923" s="118">
        <v>12.1</v>
      </c>
      <c r="J923" s="118">
        <v>90</v>
      </c>
      <c r="K923" s="118"/>
      <c r="L923" s="122">
        <v>-1.93</v>
      </c>
      <c r="M923" s="122">
        <v>-2.66</v>
      </c>
      <c r="N923" s="118">
        <v>-0.63</v>
      </c>
      <c r="O923" s="123" t="s">
        <v>1760</v>
      </c>
    </row>
    <row r="924" spans="1:15" ht="43.2">
      <c r="A924" s="118" t="s">
        <v>3199</v>
      </c>
      <c r="B924" s="118" t="s">
        <v>1752</v>
      </c>
      <c r="C924" s="118" t="s">
        <v>1744</v>
      </c>
      <c r="D924" s="119">
        <v>44028</v>
      </c>
      <c r="E924" s="118" t="s">
        <v>2968</v>
      </c>
      <c r="F924" s="118" t="s">
        <v>1807</v>
      </c>
      <c r="G924" s="124">
        <v>3</v>
      </c>
      <c r="H924" s="124">
        <v>1</v>
      </c>
      <c r="I924" s="118">
        <v>11.5</v>
      </c>
      <c r="J924" s="118">
        <v>78</v>
      </c>
      <c r="K924" s="118"/>
      <c r="L924" s="122">
        <v>-0.01</v>
      </c>
      <c r="M924" s="122">
        <v>-2.4300000000000002</v>
      </c>
      <c r="N924" s="118">
        <v>1.55</v>
      </c>
      <c r="O924" s="123" t="s">
        <v>1757</v>
      </c>
    </row>
    <row r="925" spans="1:15" ht="43.2">
      <c r="A925" s="118" t="s">
        <v>3200</v>
      </c>
      <c r="B925" s="118" t="s">
        <v>1752</v>
      </c>
      <c r="C925" s="118" t="s">
        <v>1749</v>
      </c>
      <c r="D925" s="119">
        <v>43686</v>
      </c>
      <c r="E925" s="118" t="s">
        <v>3201</v>
      </c>
      <c r="F925" s="118" t="s">
        <v>1807</v>
      </c>
      <c r="G925" s="124">
        <v>6</v>
      </c>
      <c r="H925" s="124">
        <v>4</v>
      </c>
      <c r="I925" s="118">
        <v>12</v>
      </c>
      <c r="J925" s="118">
        <v>84</v>
      </c>
      <c r="K925" s="118"/>
      <c r="L925" s="122">
        <v>-1.1399999999999999</v>
      </c>
      <c r="M925" s="122">
        <v>-2.75</v>
      </c>
      <c r="N925" s="118">
        <v>0.59</v>
      </c>
      <c r="O925" s="123" t="s">
        <v>1760</v>
      </c>
    </row>
    <row r="926" spans="1:15" ht="43.2">
      <c r="A926" s="118" t="s">
        <v>3202</v>
      </c>
      <c r="B926" s="118" t="s">
        <v>1743</v>
      </c>
      <c r="C926" s="118" t="s">
        <v>1786</v>
      </c>
      <c r="D926" s="119">
        <v>43512</v>
      </c>
      <c r="E926" s="118" t="s">
        <v>3203</v>
      </c>
      <c r="F926" s="118" t="s">
        <v>1746</v>
      </c>
      <c r="G926" s="124">
        <v>2</v>
      </c>
      <c r="H926" s="124">
        <v>4</v>
      </c>
      <c r="I926" s="118">
        <v>12</v>
      </c>
      <c r="J926" s="118">
        <v>83</v>
      </c>
      <c r="K926" s="118"/>
      <c r="L926" s="122">
        <v>-1.36</v>
      </c>
      <c r="M926" s="122">
        <v>-3.48</v>
      </c>
      <c r="N926" s="118">
        <v>1.05</v>
      </c>
      <c r="O926" s="123" t="s">
        <v>1757</v>
      </c>
    </row>
    <row r="927" spans="1:15" ht="72">
      <c r="A927" s="118" t="s">
        <v>3204</v>
      </c>
      <c r="B927" s="118" t="s">
        <v>1752</v>
      </c>
      <c r="C927" s="118" t="s">
        <v>1749</v>
      </c>
      <c r="D927" s="119">
        <v>43695</v>
      </c>
      <c r="E927" s="118" t="s">
        <v>2970</v>
      </c>
      <c r="F927" s="118" t="s">
        <v>1746</v>
      </c>
      <c r="G927" s="124">
        <v>5</v>
      </c>
      <c r="H927" s="124">
        <v>3</v>
      </c>
      <c r="I927" s="118">
        <v>11.9</v>
      </c>
      <c r="J927" s="118">
        <v>84</v>
      </c>
      <c r="K927" s="118"/>
      <c r="L927" s="122">
        <v>-1.19</v>
      </c>
      <c r="M927" s="122">
        <v>-2.71</v>
      </c>
      <c r="N927" s="118">
        <v>0.49</v>
      </c>
      <c r="O927" s="123" t="s">
        <v>1760</v>
      </c>
    </row>
    <row r="928" spans="1:15" ht="43.2">
      <c r="A928" s="118" t="s">
        <v>3205</v>
      </c>
      <c r="B928" s="118" t="s">
        <v>1743</v>
      </c>
      <c r="C928" s="118" t="s">
        <v>1744</v>
      </c>
      <c r="D928" s="119">
        <v>44111</v>
      </c>
      <c r="E928" s="118" t="s">
        <v>2376</v>
      </c>
      <c r="F928" s="118" t="s">
        <v>1746</v>
      </c>
      <c r="G928" s="124">
        <v>4</v>
      </c>
      <c r="H928" s="124">
        <v>1</v>
      </c>
      <c r="I928" s="118">
        <v>11</v>
      </c>
      <c r="J928" s="118">
        <v>73.7</v>
      </c>
      <c r="K928" s="118"/>
      <c r="L928" s="122">
        <v>0.5</v>
      </c>
      <c r="M928" s="122">
        <v>-2.57</v>
      </c>
      <c r="N928" s="118">
        <v>2.25</v>
      </c>
      <c r="O928" s="123" t="s">
        <v>2078</v>
      </c>
    </row>
    <row r="929" spans="1:15" ht="28.8">
      <c r="A929" s="118" t="s">
        <v>3206</v>
      </c>
      <c r="B929" s="118" t="s">
        <v>1752</v>
      </c>
      <c r="C929" s="118" t="s">
        <v>1744</v>
      </c>
      <c r="D929" s="119">
        <v>44179</v>
      </c>
      <c r="E929" s="118" t="s">
        <v>2388</v>
      </c>
      <c r="F929" s="118" t="s">
        <v>1746</v>
      </c>
      <c r="G929" s="124">
        <v>1</v>
      </c>
      <c r="H929" s="124">
        <v>2</v>
      </c>
      <c r="I929" s="118">
        <v>11</v>
      </c>
      <c r="J929" s="118">
        <v>74.2</v>
      </c>
      <c r="K929" s="118"/>
      <c r="L929" s="122">
        <v>0.35</v>
      </c>
      <c r="M929" s="122">
        <v>-2.4300000000000002</v>
      </c>
      <c r="N929" s="118">
        <v>1.92</v>
      </c>
      <c r="O929" s="123" t="s">
        <v>1757</v>
      </c>
    </row>
    <row r="930" spans="1:15" ht="28.8">
      <c r="A930" s="118" t="s">
        <v>3207</v>
      </c>
      <c r="B930" s="118" t="s">
        <v>1752</v>
      </c>
      <c r="C930" s="118" t="s">
        <v>1755</v>
      </c>
      <c r="D930" s="119">
        <v>44358</v>
      </c>
      <c r="E930" s="118" t="s">
        <v>2354</v>
      </c>
      <c r="F930" s="118" t="s">
        <v>1746</v>
      </c>
      <c r="G930" s="124">
        <v>1</v>
      </c>
      <c r="H930" s="124">
        <v>7</v>
      </c>
      <c r="I930" s="118">
        <v>8.5</v>
      </c>
      <c r="J930" s="118">
        <v>61</v>
      </c>
      <c r="K930" s="118"/>
      <c r="L930" s="122">
        <v>-0.79</v>
      </c>
      <c r="M930" s="122">
        <v>-5.56</v>
      </c>
      <c r="N930" s="118">
        <v>3.53</v>
      </c>
      <c r="O930" s="123" t="s">
        <v>2170</v>
      </c>
    </row>
    <row r="931" spans="1:15" ht="28.8">
      <c r="A931" s="118" t="s">
        <v>3208</v>
      </c>
      <c r="B931" s="118" t="s">
        <v>1752</v>
      </c>
      <c r="C931" s="118" t="s">
        <v>1786</v>
      </c>
      <c r="D931" s="119">
        <v>43417</v>
      </c>
      <c r="E931" s="118" t="s">
        <v>3209</v>
      </c>
      <c r="F931" s="118" t="s">
        <v>1746</v>
      </c>
      <c r="G931" s="124">
        <v>7</v>
      </c>
      <c r="H931" s="124">
        <v>1</v>
      </c>
      <c r="I931" s="118">
        <v>12.7</v>
      </c>
      <c r="J931" s="118">
        <v>92</v>
      </c>
      <c r="K931" s="118"/>
      <c r="L931" s="122">
        <v>-1.44</v>
      </c>
      <c r="M931" s="122">
        <v>-2.0099999999999998</v>
      </c>
      <c r="N931" s="118">
        <v>-0.48</v>
      </c>
      <c r="O931" s="123" t="s">
        <v>1760</v>
      </c>
    </row>
    <row r="932" spans="1:15" ht="43.2">
      <c r="A932" s="118" t="s">
        <v>3210</v>
      </c>
      <c r="B932" s="118" t="s">
        <v>1743</v>
      </c>
      <c r="C932" s="118" t="s">
        <v>1749</v>
      </c>
      <c r="D932" s="119">
        <v>43923</v>
      </c>
      <c r="E932" s="118" t="s">
        <v>2279</v>
      </c>
      <c r="F932" s="118" t="s">
        <v>1746</v>
      </c>
      <c r="G932" s="124">
        <v>3</v>
      </c>
      <c r="H932" s="124">
        <v>11</v>
      </c>
      <c r="I932" s="118">
        <v>10</v>
      </c>
      <c r="J932" s="118">
        <v>80</v>
      </c>
      <c r="K932" s="118"/>
      <c r="L932" s="122">
        <v>-1.17</v>
      </c>
      <c r="M932" s="122">
        <v>-2.0499999999999998</v>
      </c>
      <c r="N932" s="118">
        <v>-0.1</v>
      </c>
      <c r="O932" s="123" t="s">
        <v>1760</v>
      </c>
    </row>
    <row r="933" spans="1:15" ht="28.8">
      <c r="A933" s="118" t="s">
        <v>3211</v>
      </c>
      <c r="B933" s="118" t="s">
        <v>1752</v>
      </c>
      <c r="C933" s="118" t="s">
        <v>1755</v>
      </c>
      <c r="D933" s="119">
        <v>44533</v>
      </c>
      <c r="E933" s="118" t="s">
        <v>3212</v>
      </c>
      <c r="F933" s="118" t="s">
        <v>1746</v>
      </c>
      <c r="G933" s="124">
        <v>1</v>
      </c>
      <c r="H933" s="124">
        <v>10</v>
      </c>
      <c r="I933" s="118">
        <v>6</v>
      </c>
      <c r="J933" s="118">
        <v>59</v>
      </c>
      <c r="K933" s="118"/>
      <c r="L933" s="122">
        <v>-1.69</v>
      </c>
      <c r="M933" s="122">
        <v>-2.83</v>
      </c>
      <c r="N933" s="118">
        <v>0.59</v>
      </c>
      <c r="O933" s="123" t="s">
        <v>1760</v>
      </c>
    </row>
    <row r="934" spans="1:15" ht="43.2">
      <c r="A934" s="118" t="s">
        <v>3213</v>
      </c>
      <c r="B934" s="118" t="s">
        <v>1752</v>
      </c>
      <c r="C934" s="118" t="s">
        <v>1755</v>
      </c>
      <c r="D934" s="119">
        <v>44541</v>
      </c>
      <c r="E934" s="118" t="s">
        <v>2495</v>
      </c>
      <c r="F934" s="118" t="s">
        <v>1769</v>
      </c>
      <c r="G934" s="124">
        <v>6</v>
      </c>
      <c r="H934" s="124">
        <v>5</v>
      </c>
      <c r="I934" s="118">
        <v>6</v>
      </c>
      <c r="J934" s="118">
        <v>59</v>
      </c>
      <c r="K934" s="118"/>
      <c r="L934" s="122">
        <v>-1.52</v>
      </c>
      <c r="M934" s="122">
        <v>-2.59</v>
      </c>
      <c r="N934" s="118">
        <v>0.59</v>
      </c>
      <c r="O934" s="123" t="s">
        <v>1760</v>
      </c>
    </row>
    <row r="935" spans="1:15" ht="72">
      <c r="A935" s="118" t="s">
        <v>3214</v>
      </c>
      <c r="B935" s="118" t="s">
        <v>1752</v>
      </c>
      <c r="C935" s="118" t="s">
        <v>1755</v>
      </c>
      <c r="D935" s="119">
        <v>44425</v>
      </c>
      <c r="E935" s="118" t="s">
        <v>2656</v>
      </c>
      <c r="F935" s="118" t="s">
        <v>1769</v>
      </c>
      <c r="G935" s="124">
        <v>4</v>
      </c>
      <c r="H935" s="124">
        <v>1</v>
      </c>
      <c r="I935" s="118">
        <v>7</v>
      </c>
      <c r="J935" s="118">
        <v>64</v>
      </c>
      <c r="K935" s="118"/>
      <c r="L935" s="122">
        <v>-1.81</v>
      </c>
      <c r="M935" s="122">
        <v>-2.85</v>
      </c>
      <c r="N935" s="118">
        <v>-0.04</v>
      </c>
      <c r="O935" s="123" t="s">
        <v>1760</v>
      </c>
    </row>
    <row r="936" spans="1:15" ht="57.6">
      <c r="A936" s="118" t="s">
        <v>3215</v>
      </c>
      <c r="B936" s="118" t="s">
        <v>1752</v>
      </c>
      <c r="C936" s="118" t="s">
        <v>1744</v>
      </c>
      <c r="D936" s="119">
        <v>44176</v>
      </c>
      <c r="E936" s="118" t="s">
        <v>2636</v>
      </c>
      <c r="F936" s="118" t="s">
        <v>1769</v>
      </c>
      <c r="G936" s="124">
        <v>8</v>
      </c>
      <c r="H936" s="124">
        <v>1</v>
      </c>
      <c r="I936" s="118">
        <v>11.6</v>
      </c>
      <c r="J936" s="118">
        <v>74</v>
      </c>
      <c r="K936" s="118"/>
      <c r="L936" s="122">
        <v>0.81</v>
      </c>
      <c r="M936" s="122">
        <v>-2.2799999999999998</v>
      </c>
      <c r="N936" s="118">
        <v>2.39</v>
      </c>
      <c r="O936" s="123" t="s">
        <v>2078</v>
      </c>
    </row>
    <row r="937" spans="1:15" ht="43.2">
      <c r="A937" s="118" t="s">
        <v>3216</v>
      </c>
      <c r="B937" s="118" t="s">
        <v>1743</v>
      </c>
      <c r="C937" s="118" t="s">
        <v>1786</v>
      </c>
      <c r="D937" s="119">
        <v>43535</v>
      </c>
      <c r="E937" s="118" t="s">
        <v>2158</v>
      </c>
      <c r="F937" s="118" t="s">
        <v>1769</v>
      </c>
      <c r="G937" s="124">
        <v>1</v>
      </c>
      <c r="H937" s="124">
        <v>2</v>
      </c>
      <c r="I937" s="118">
        <v>12.3</v>
      </c>
      <c r="J937" s="118">
        <v>84</v>
      </c>
      <c r="K937" s="118"/>
      <c r="L937" s="122">
        <v>-1.0900000000000001</v>
      </c>
      <c r="M937" s="122">
        <v>-3.12</v>
      </c>
      <c r="N937" s="118">
        <v>1.0900000000000001</v>
      </c>
      <c r="O937" s="123" t="s">
        <v>1757</v>
      </c>
    </row>
    <row r="938" spans="1:15" ht="43.2">
      <c r="A938" s="118" t="s">
        <v>3217</v>
      </c>
      <c r="B938" s="118" t="s">
        <v>1752</v>
      </c>
      <c r="C938" s="118" t="s">
        <v>1755</v>
      </c>
      <c r="D938" s="119">
        <v>44352</v>
      </c>
      <c r="E938" s="118" t="s">
        <v>1924</v>
      </c>
      <c r="F938" s="118" t="s">
        <v>1769</v>
      </c>
      <c r="G938" s="124">
        <v>4</v>
      </c>
      <c r="H938" s="124">
        <v>8</v>
      </c>
      <c r="I938" s="118">
        <v>9.4</v>
      </c>
      <c r="J938" s="118">
        <v>66</v>
      </c>
      <c r="K938" s="118"/>
      <c r="L938" s="122">
        <v>7.0000000000000007E-2</v>
      </c>
      <c r="M938" s="122">
        <v>-3.5</v>
      </c>
      <c r="N938" s="118">
        <v>2.64</v>
      </c>
      <c r="O938" s="123" t="s">
        <v>2078</v>
      </c>
    </row>
    <row r="939" spans="1:15" ht="43.2">
      <c r="A939" s="118" t="s">
        <v>3218</v>
      </c>
      <c r="B939" s="118" t="s">
        <v>1743</v>
      </c>
      <c r="C939" s="118" t="s">
        <v>1749</v>
      </c>
      <c r="D939" s="119">
        <v>43944</v>
      </c>
      <c r="E939" s="118" t="s">
        <v>2870</v>
      </c>
      <c r="F939" s="118" t="s">
        <v>1769</v>
      </c>
      <c r="G939" s="124">
        <v>1</v>
      </c>
      <c r="H939" s="124">
        <v>10</v>
      </c>
      <c r="I939" s="118">
        <v>11.5</v>
      </c>
      <c r="J939" s="118">
        <v>73</v>
      </c>
      <c r="K939" s="118"/>
      <c r="L939" s="122">
        <v>0.01</v>
      </c>
      <c r="M939" s="122">
        <v>-4.16</v>
      </c>
      <c r="N939" s="118">
        <v>2.85</v>
      </c>
      <c r="O939" s="123" t="s">
        <v>2078</v>
      </c>
    </row>
    <row r="940" spans="1:15" ht="43.2">
      <c r="A940" s="118" t="s">
        <v>3219</v>
      </c>
      <c r="B940" s="118" t="s">
        <v>1743</v>
      </c>
      <c r="C940" s="118" t="s">
        <v>1744</v>
      </c>
      <c r="D940" s="119">
        <v>44117</v>
      </c>
      <c r="E940" s="118" t="s">
        <v>2219</v>
      </c>
      <c r="F940" s="118" t="s">
        <v>1769</v>
      </c>
      <c r="G940" s="124">
        <v>1</v>
      </c>
      <c r="H940" s="124">
        <v>11</v>
      </c>
      <c r="I940" s="118">
        <v>11.7</v>
      </c>
      <c r="J940" s="118">
        <v>73.2</v>
      </c>
      <c r="K940" s="118"/>
      <c r="L940" s="122">
        <v>1.02</v>
      </c>
      <c r="M940" s="122">
        <v>-2.69</v>
      </c>
      <c r="N940" s="118">
        <v>2.98</v>
      </c>
      <c r="O940" s="123" t="s">
        <v>2078</v>
      </c>
    </row>
    <row r="941" spans="1:15" ht="43.2">
      <c r="A941" s="118" t="s">
        <v>3220</v>
      </c>
      <c r="B941" s="118" t="s">
        <v>1743</v>
      </c>
      <c r="C941" s="118" t="s">
        <v>1744</v>
      </c>
      <c r="D941" s="119">
        <v>44117</v>
      </c>
      <c r="E941" s="118" t="s">
        <v>2408</v>
      </c>
      <c r="F941" s="118" t="s">
        <v>1769</v>
      </c>
      <c r="G941" s="124">
        <v>8</v>
      </c>
      <c r="H941" s="124">
        <v>1</v>
      </c>
      <c r="I941" s="118">
        <v>11.4</v>
      </c>
      <c r="J941" s="118">
        <v>73.400000000000006</v>
      </c>
      <c r="K941" s="118"/>
      <c r="L941" s="122">
        <v>0.81</v>
      </c>
      <c r="M941" s="122">
        <v>-2.62</v>
      </c>
      <c r="N941" s="118">
        <v>2.68</v>
      </c>
      <c r="O941" s="123" t="s">
        <v>2078</v>
      </c>
    </row>
    <row r="942" spans="1:15" ht="43.2">
      <c r="A942" s="118" t="s">
        <v>3221</v>
      </c>
      <c r="B942" s="118" t="s">
        <v>1743</v>
      </c>
      <c r="C942" s="118" t="s">
        <v>1744</v>
      </c>
      <c r="D942" s="119">
        <v>44145</v>
      </c>
      <c r="E942" s="118" t="s">
        <v>2999</v>
      </c>
      <c r="F942" s="118" t="s">
        <v>1769</v>
      </c>
      <c r="G942" s="124">
        <v>8</v>
      </c>
      <c r="H942" s="124">
        <v>5</v>
      </c>
      <c r="I942" s="118">
        <v>12</v>
      </c>
      <c r="J942" s="118">
        <v>73.599999999999994</v>
      </c>
      <c r="K942" s="118"/>
      <c r="L942" s="122">
        <v>1.36</v>
      </c>
      <c r="M942" s="122">
        <v>-2.2599999999999998</v>
      </c>
      <c r="N942" s="118">
        <v>3.16</v>
      </c>
      <c r="O942" s="123" t="s">
        <v>2170</v>
      </c>
    </row>
    <row r="943" spans="1:15" ht="43.2">
      <c r="A943" s="118" t="s">
        <v>3222</v>
      </c>
      <c r="B943" s="118" t="s">
        <v>1752</v>
      </c>
      <c r="C943" s="118" t="s">
        <v>1744</v>
      </c>
      <c r="D943" s="119">
        <v>44182</v>
      </c>
      <c r="E943" s="118" t="s">
        <v>2499</v>
      </c>
      <c r="F943" s="118" t="s">
        <v>1769</v>
      </c>
      <c r="G943" s="124">
        <v>6</v>
      </c>
      <c r="H943" s="124">
        <v>5</v>
      </c>
      <c r="I943" s="118">
        <v>11.1</v>
      </c>
      <c r="J943" s="118">
        <v>74.3</v>
      </c>
      <c r="K943" s="118"/>
      <c r="L943" s="122">
        <v>0.45</v>
      </c>
      <c r="M943" s="122">
        <v>-2.36</v>
      </c>
      <c r="N943" s="118">
        <v>2</v>
      </c>
      <c r="O943" s="123" t="s">
        <v>1757</v>
      </c>
    </row>
    <row r="944" spans="1:15" ht="43.2">
      <c r="A944" s="118" t="s">
        <v>3223</v>
      </c>
      <c r="B944" s="118" t="s">
        <v>1752</v>
      </c>
      <c r="C944" s="118" t="s">
        <v>1755</v>
      </c>
      <c r="D944" s="119">
        <v>44343</v>
      </c>
      <c r="E944" s="118" t="s">
        <v>2099</v>
      </c>
      <c r="F944" s="118" t="s">
        <v>1769</v>
      </c>
      <c r="G944" s="124">
        <v>9</v>
      </c>
      <c r="H944" s="124">
        <v>5</v>
      </c>
      <c r="I944" s="118">
        <v>9.3000000000000007</v>
      </c>
      <c r="J944" s="118">
        <v>63.4</v>
      </c>
      <c r="K944" s="118"/>
      <c r="L944" s="122">
        <v>-0.09</v>
      </c>
      <c r="M944" s="122">
        <v>-4.74</v>
      </c>
      <c r="N944" s="118">
        <v>3.51</v>
      </c>
      <c r="O944" s="123" t="s">
        <v>2170</v>
      </c>
    </row>
    <row r="945" spans="1:15" ht="43.2">
      <c r="A945" s="118" t="s">
        <v>3224</v>
      </c>
      <c r="B945" s="118" t="s">
        <v>1743</v>
      </c>
      <c r="C945" s="118" t="s">
        <v>1755</v>
      </c>
      <c r="D945" s="119">
        <v>44364</v>
      </c>
      <c r="E945" s="118" t="s">
        <v>3225</v>
      </c>
      <c r="F945" s="118" t="s">
        <v>1769</v>
      </c>
      <c r="G945" s="124">
        <v>4</v>
      </c>
      <c r="H945" s="124">
        <v>8</v>
      </c>
      <c r="I945" s="118">
        <v>8.6</v>
      </c>
      <c r="J945" s="118">
        <v>61.6</v>
      </c>
      <c r="K945" s="118"/>
      <c r="L945" s="122">
        <v>0.06</v>
      </c>
      <c r="M945" s="122">
        <v>-4.0999999999999996</v>
      </c>
      <c r="N945" s="118">
        <v>3.27</v>
      </c>
      <c r="O945" s="123" t="s">
        <v>2170</v>
      </c>
    </row>
    <row r="946" spans="1:15" ht="43.2">
      <c r="A946" s="118" t="s">
        <v>3226</v>
      </c>
      <c r="B946" s="118" t="s">
        <v>1743</v>
      </c>
      <c r="C946" s="118" t="s">
        <v>1755</v>
      </c>
      <c r="D946" s="119">
        <v>44443</v>
      </c>
      <c r="E946" s="118" t="s">
        <v>3143</v>
      </c>
      <c r="F946" s="118" t="s">
        <v>1774</v>
      </c>
      <c r="G946" s="124">
        <v>2</v>
      </c>
      <c r="H946" s="124">
        <v>5</v>
      </c>
      <c r="I946" s="118">
        <v>8</v>
      </c>
      <c r="J946" s="118">
        <v>61.5</v>
      </c>
      <c r="K946" s="118"/>
      <c r="L946" s="122">
        <v>0.17</v>
      </c>
      <c r="M946" s="122">
        <v>-2.86</v>
      </c>
      <c r="N946" s="118">
        <v>2.58</v>
      </c>
      <c r="O946" s="123" t="s">
        <v>2078</v>
      </c>
    </row>
    <row r="947" spans="1:15" ht="43.2">
      <c r="A947" s="118" t="s">
        <v>3227</v>
      </c>
      <c r="B947" s="118" t="s">
        <v>1752</v>
      </c>
      <c r="C947" s="118" t="s">
        <v>1755</v>
      </c>
      <c r="D947" s="119">
        <v>44678</v>
      </c>
      <c r="E947" s="118" t="s">
        <v>3040</v>
      </c>
      <c r="F947" s="118" t="s">
        <v>1774</v>
      </c>
      <c r="G947" s="124">
        <v>1</v>
      </c>
      <c r="H947" s="124">
        <v>8</v>
      </c>
      <c r="I947" s="118">
        <v>3</v>
      </c>
      <c r="J947" s="118">
        <v>49</v>
      </c>
      <c r="K947" s="118"/>
      <c r="L947" s="122">
        <v>-2.59</v>
      </c>
      <c r="M947" s="122">
        <v>-2.35</v>
      </c>
      <c r="N947" s="118">
        <v>-0.97</v>
      </c>
      <c r="O947" s="123" t="s">
        <v>1760</v>
      </c>
    </row>
    <row r="948" spans="1:15" ht="43.2">
      <c r="A948" s="118" t="s">
        <v>3228</v>
      </c>
      <c r="B948" s="118" t="s">
        <v>1752</v>
      </c>
      <c r="C948" s="118" t="s">
        <v>1755</v>
      </c>
      <c r="D948" s="119">
        <v>44677</v>
      </c>
      <c r="E948" s="118" t="s">
        <v>2262</v>
      </c>
      <c r="F948" s="118" t="s">
        <v>1774</v>
      </c>
      <c r="G948" s="124">
        <v>1</v>
      </c>
      <c r="H948" s="124">
        <v>7</v>
      </c>
      <c r="I948" s="118">
        <v>3</v>
      </c>
      <c r="J948" s="118">
        <v>49</v>
      </c>
      <c r="K948" s="118"/>
      <c r="L948" s="122">
        <v>-2.5099999999999998</v>
      </c>
      <c r="M948" s="122">
        <v>-2.27</v>
      </c>
      <c r="N948" s="118">
        <v>-0.97</v>
      </c>
      <c r="O948" s="123" t="s">
        <v>1760</v>
      </c>
    </row>
    <row r="949" spans="1:15" ht="43.2">
      <c r="A949" s="118" t="s">
        <v>3229</v>
      </c>
      <c r="B949" s="118" t="s">
        <v>1752</v>
      </c>
      <c r="C949" s="118" t="s">
        <v>1779</v>
      </c>
      <c r="D949" s="119">
        <v>43198</v>
      </c>
      <c r="E949" s="118" t="s">
        <v>3161</v>
      </c>
      <c r="F949" s="118" t="s">
        <v>1777</v>
      </c>
      <c r="G949" s="124">
        <v>4</v>
      </c>
      <c r="H949" s="124">
        <v>13</v>
      </c>
      <c r="I949" s="118">
        <v>13</v>
      </c>
      <c r="J949" s="118">
        <v>95</v>
      </c>
      <c r="K949" s="118"/>
      <c r="L949" s="122">
        <v>-1.82</v>
      </c>
      <c r="M949" s="122">
        <v>-2.16</v>
      </c>
      <c r="N949" s="118">
        <v>-0.84</v>
      </c>
      <c r="O949" s="123" t="s">
        <v>1760</v>
      </c>
    </row>
    <row r="950" spans="1:15" ht="57.6">
      <c r="A950" s="118" t="s">
        <v>3230</v>
      </c>
      <c r="B950" s="118" t="s">
        <v>1752</v>
      </c>
      <c r="C950" s="118" t="s">
        <v>1744</v>
      </c>
      <c r="D950" s="119">
        <v>44270</v>
      </c>
      <c r="E950" s="118" t="s">
        <v>3147</v>
      </c>
      <c r="F950" s="118" t="s">
        <v>1777</v>
      </c>
      <c r="G950" s="124">
        <v>2</v>
      </c>
      <c r="H950" s="124">
        <v>15</v>
      </c>
      <c r="I950" s="118">
        <v>10</v>
      </c>
      <c r="J950" s="118">
        <v>71.5</v>
      </c>
      <c r="K950" s="118"/>
      <c r="L950" s="122">
        <v>0.15</v>
      </c>
      <c r="M950" s="122">
        <v>-2.17</v>
      </c>
      <c r="N950" s="118">
        <v>1.57</v>
      </c>
      <c r="O950" s="123" t="s">
        <v>1757</v>
      </c>
    </row>
    <row r="951" spans="1:15" ht="43.2">
      <c r="A951" s="118" t="s">
        <v>3231</v>
      </c>
      <c r="B951" s="118" t="s">
        <v>1752</v>
      </c>
      <c r="C951" s="118" t="s">
        <v>1755</v>
      </c>
      <c r="D951" s="119">
        <v>44676</v>
      </c>
      <c r="E951" s="118" t="s">
        <v>2509</v>
      </c>
      <c r="F951" s="118" t="s">
        <v>1777</v>
      </c>
      <c r="G951" s="124">
        <v>2</v>
      </c>
      <c r="H951" s="124">
        <v>10</v>
      </c>
      <c r="I951" s="118">
        <v>3</v>
      </c>
      <c r="J951" s="118">
        <v>49</v>
      </c>
      <c r="K951" s="118"/>
      <c r="L951" s="122">
        <v>-2.4300000000000002</v>
      </c>
      <c r="M951" s="122">
        <v>-2.2000000000000002</v>
      </c>
      <c r="N951" s="118">
        <v>-0.97</v>
      </c>
      <c r="O951" s="123" t="s">
        <v>1760</v>
      </c>
    </row>
    <row r="952" spans="1:15" ht="43.2">
      <c r="A952" s="118" t="s">
        <v>3232</v>
      </c>
      <c r="B952" s="118" t="s">
        <v>1752</v>
      </c>
      <c r="C952" s="118" t="s">
        <v>1755</v>
      </c>
      <c r="D952" s="119">
        <v>44553</v>
      </c>
      <c r="E952" s="118" t="s">
        <v>3157</v>
      </c>
      <c r="F952" s="118" t="s">
        <v>1777</v>
      </c>
      <c r="G952" s="124">
        <v>1</v>
      </c>
      <c r="H952" s="124">
        <v>13</v>
      </c>
      <c r="I952" s="118">
        <v>6</v>
      </c>
      <c r="J952" s="118">
        <v>59</v>
      </c>
      <c r="K952" s="118"/>
      <c r="L952" s="122">
        <v>-1.23</v>
      </c>
      <c r="M952" s="122">
        <v>-2.1800000000000002</v>
      </c>
      <c r="N952" s="118">
        <v>0.59</v>
      </c>
      <c r="O952" s="123" t="s">
        <v>1760</v>
      </c>
    </row>
    <row r="953" spans="1:15" ht="43.2">
      <c r="A953" s="118" t="s">
        <v>3233</v>
      </c>
      <c r="B953" s="118" t="s">
        <v>1752</v>
      </c>
      <c r="C953" s="118" t="s">
        <v>1786</v>
      </c>
      <c r="D953" s="119">
        <v>43298</v>
      </c>
      <c r="E953" s="118" t="s">
        <v>2898</v>
      </c>
      <c r="F953" s="118" t="s">
        <v>1777</v>
      </c>
      <c r="G953" s="124">
        <v>5</v>
      </c>
      <c r="H953" s="124">
        <v>1</v>
      </c>
      <c r="I953" s="118">
        <v>9.3000000000000007</v>
      </c>
      <c r="J953" s="118">
        <v>87</v>
      </c>
      <c r="K953" s="118"/>
      <c r="L953" s="122">
        <v>-4.16</v>
      </c>
      <c r="M953" s="122">
        <v>-3.75</v>
      </c>
      <c r="N953" s="118">
        <v>-3.26</v>
      </c>
      <c r="O953" s="123" t="s">
        <v>1790</v>
      </c>
    </row>
    <row r="954" spans="1:15" ht="43.2">
      <c r="A954" s="118" t="s">
        <v>3234</v>
      </c>
      <c r="B954" s="118" t="s">
        <v>1752</v>
      </c>
      <c r="C954" s="118" t="s">
        <v>1786</v>
      </c>
      <c r="D954" s="119">
        <v>43364</v>
      </c>
      <c r="E954" s="118" t="s">
        <v>2513</v>
      </c>
      <c r="F954" s="118" t="s">
        <v>1777</v>
      </c>
      <c r="G954" s="124">
        <v>3</v>
      </c>
      <c r="H954" s="124">
        <v>10</v>
      </c>
      <c r="I954" s="118">
        <v>9.8000000000000007</v>
      </c>
      <c r="J954" s="118">
        <v>79</v>
      </c>
      <c r="K954" s="118">
        <v>12</v>
      </c>
      <c r="L954" s="122">
        <v>-3.65</v>
      </c>
      <c r="M954" s="122">
        <v>-5.5</v>
      </c>
      <c r="N954" s="118">
        <v>-0.56000000000000005</v>
      </c>
      <c r="O954" s="123" t="s">
        <v>1760</v>
      </c>
    </row>
    <row r="955" spans="1:15" ht="57.6">
      <c r="A955" s="118" t="s">
        <v>3235</v>
      </c>
      <c r="B955" s="118" t="s">
        <v>1743</v>
      </c>
      <c r="C955" s="118" t="s">
        <v>1779</v>
      </c>
      <c r="D955" s="119">
        <v>43180</v>
      </c>
      <c r="E955" s="118" t="s">
        <v>3153</v>
      </c>
      <c r="F955" s="118" t="s">
        <v>1777</v>
      </c>
      <c r="G955" s="124">
        <v>4</v>
      </c>
      <c r="H955" s="124">
        <v>2</v>
      </c>
      <c r="I955" s="118">
        <v>12.2</v>
      </c>
      <c r="J955" s="118">
        <v>93.5</v>
      </c>
      <c r="K955" s="118">
        <v>15.9</v>
      </c>
      <c r="L955" s="122">
        <v>-2.13</v>
      </c>
      <c r="M955" s="122">
        <v>-2.2200000000000002</v>
      </c>
      <c r="N955" s="118">
        <v>-1.17</v>
      </c>
      <c r="O955" s="123" t="s">
        <v>1760</v>
      </c>
    </row>
    <row r="956" spans="1:15" ht="43.2">
      <c r="A956" s="118" t="s">
        <v>3236</v>
      </c>
      <c r="B956" s="118" t="s">
        <v>1743</v>
      </c>
      <c r="C956" s="118" t="s">
        <v>1749</v>
      </c>
      <c r="D956" s="119">
        <v>43645</v>
      </c>
      <c r="E956" s="118" t="s">
        <v>2019</v>
      </c>
      <c r="F956" s="118" t="s">
        <v>1777</v>
      </c>
      <c r="G956" s="124">
        <v>1</v>
      </c>
      <c r="H956" s="124">
        <v>15</v>
      </c>
      <c r="I956" s="118">
        <v>8.6999999999999993</v>
      </c>
      <c r="J956" s="118">
        <v>82.3</v>
      </c>
      <c r="K956" s="118"/>
      <c r="L956" s="122">
        <v>-3.53</v>
      </c>
      <c r="M956" s="122">
        <v>-2.95</v>
      </c>
      <c r="N956" s="118">
        <v>-2.46</v>
      </c>
      <c r="O956" s="123" t="s">
        <v>1747</v>
      </c>
    </row>
    <row r="957" spans="1:15" ht="43.2">
      <c r="A957" s="118" t="s">
        <v>3237</v>
      </c>
      <c r="B957" s="118" t="s">
        <v>1752</v>
      </c>
      <c r="C957" s="118" t="s">
        <v>1744</v>
      </c>
      <c r="D957" s="119">
        <v>43986</v>
      </c>
      <c r="E957" s="118" t="s">
        <v>2905</v>
      </c>
      <c r="F957" s="118" t="s">
        <v>1777</v>
      </c>
      <c r="G957" s="124">
        <v>1</v>
      </c>
      <c r="H957" s="124">
        <v>15</v>
      </c>
      <c r="I957" s="118">
        <v>12.9</v>
      </c>
      <c r="J957" s="118">
        <v>79.7</v>
      </c>
      <c r="K957" s="118">
        <v>14.7</v>
      </c>
      <c r="L957" s="122">
        <v>0.75</v>
      </c>
      <c r="M957" s="122">
        <v>-2.29</v>
      </c>
      <c r="N957" s="118">
        <v>2.5</v>
      </c>
      <c r="O957" s="123" t="s">
        <v>2078</v>
      </c>
    </row>
    <row r="958" spans="1:15" ht="43.2">
      <c r="A958" s="118" t="s">
        <v>3238</v>
      </c>
      <c r="B958" s="118" t="s">
        <v>1743</v>
      </c>
      <c r="C958" s="118" t="s">
        <v>1779</v>
      </c>
      <c r="D958" s="119">
        <v>43191</v>
      </c>
      <c r="E958" s="118" t="s">
        <v>3074</v>
      </c>
      <c r="F958" s="118" t="s">
        <v>2190</v>
      </c>
      <c r="G958" s="124">
        <v>1</v>
      </c>
      <c r="H958" s="124">
        <v>6</v>
      </c>
      <c r="I958" s="118">
        <v>8.8000000000000007</v>
      </c>
      <c r="J958" s="118">
        <v>86.3</v>
      </c>
      <c r="K958" s="118">
        <v>12.5</v>
      </c>
      <c r="L958" s="122">
        <v>-4.46</v>
      </c>
      <c r="M958" s="122">
        <v>-4.01</v>
      </c>
      <c r="N958" s="118">
        <v>-3.2</v>
      </c>
      <c r="O958" s="123" t="s">
        <v>1790</v>
      </c>
    </row>
    <row r="959" spans="1:15" ht="43.2">
      <c r="A959" s="118" t="s">
        <v>3239</v>
      </c>
      <c r="B959" s="118" t="s">
        <v>1743</v>
      </c>
      <c r="C959" s="118" t="s">
        <v>1749</v>
      </c>
      <c r="D959" s="119">
        <v>43871</v>
      </c>
      <c r="E959" s="118" t="s">
        <v>3164</v>
      </c>
      <c r="F959" s="118" t="s">
        <v>2190</v>
      </c>
      <c r="G959" s="124">
        <v>4</v>
      </c>
      <c r="H959" s="124">
        <v>6</v>
      </c>
      <c r="I959" s="118">
        <v>11.5</v>
      </c>
      <c r="J959" s="118">
        <v>74</v>
      </c>
      <c r="K959" s="118"/>
      <c r="L959" s="122">
        <v>0.82</v>
      </c>
      <c r="M959" s="122">
        <v>-2.29</v>
      </c>
      <c r="N959" s="118">
        <v>2.4900000000000002</v>
      </c>
      <c r="O959" s="123" t="s">
        <v>2078</v>
      </c>
    </row>
    <row r="960" spans="1:15" ht="43.2">
      <c r="A960" s="118" t="s">
        <v>3240</v>
      </c>
      <c r="B960" s="118" t="s">
        <v>1743</v>
      </c>
      <c r="C960" s="118" t="s">
        <v>1755</v>
      </c>
      <c r="D960" s="119">
        <v>44329</v>
      </c>
      <c r="E960" s="118" t="s">
        <v>3166</v>
      </c>
      <c r="F960" s="118" t="s">
        <v>2190</v>
      </c>
      <c r="G960" s="124">
        <v>3</v>
      </c>
      <c r="H960" s="124">
        <v>2</v>
      </c>
      <c r="I960" s="118">
        <v>9.6999999999999993</v>
      </c>
      <c r="J960" s="118">
        <v>67</v>
      </c>
      <c r="K960" s="118"/>
      <c r="L960" s="122">
        <v>0.78</v>
      </c>
      <c r="M960" s="122">
        <v>-2.4700000000000002</v>
      </c>
      <c r="N960" s="118">
        <v>2.65</v>
      </c>
      <c r="O960" s="123" t="s">
        <v>2078</v>
      </c>
    </row>
    <row r="961" spans="1:15" ht="43.2">
      <c r="A961" s="118" t="s">
        <v>3241</v>
      </c>
      <c r="B961" s="118" t="s">
        <v>1752</v>
      </c>
      <c r="C961" s="118" t="s">
        <v>1744</v>
      </c>
      <c r="D961" s="119">
        <v>44218</v>
      </c>
      <c r="E961" s="118" t="s">
        <v>2285</v>
      </c>
      <c r="F961" s="118" t="s">
        <v>2190</v>
      </c>
      <c r="G961" s="124">
        <v>5</v>
      </c>
      <c r="H961" s="124">
        <v>2</v>
      </c>
      <c r="I961" s="118">
        <v>9.4</v>
      </c>
      <c r="J961" s="118">
        <v>68</v>
      </c>
      <c r="K961" s="118"/>
      <c r="L961" s="122">
        <v>-0.85</v>
      </c>
      <c r="M961" s="122">
        <v>-4.42</v>
      </c>
      <c r="N961" s="118">
        <v>1.96</v>
      </c>
      <c r="O961" s="123" t="s">
        <v>1757</v>
      </c>
    </row>
    <row r="962" spans="1:15" ht="43.2">
      <c r="A962" s="118" t="s">
        <v>3242</v>
      </c>
      <c r="B962" s="118" t="s">
        <v>1752</v>
      </c>
      <c r="C962" s="118" t="s">
        <v>1755</v>
      </c>
      <c r="D962" s="119">
        <v>44326</v>
      </c>
      <c r="E962" s="118" t="s">
        <v>2287</v>
      </c>
      <c r="F962" s="118" t="s">
        <v>2190</v>
      </c>
      <c r="G962" s="124">
        <v>5</v>
      </c>
      <c r="H962" s="124">
        <v>2</v>
      </c>
      <c r="I962" s="118">
        <v>9.6</v>
      </c>
      <c r="J962" s="118">
        <v>68</v>
      </c>
      <c r="K962" s="118"/>
      <c r="L962" s="122">
        <v>7.0000000000000007E-2</v>
      </c>
      <c r="M962" s="122">
        <v>-3.04</v>
      </c>
      <c r="N962" s="118">
        <v>2.2000000000000002</v>
      </c>
      <c r="O962" s="123" t="s">
        <v>2078</v>
      </c>
    </row>
    <row r="963" spans="1:15" ht="43.2">
      <c r="A963" s="118" t="s">
        <v>3243</v>
      </c>
      <c r="B963" s="118" t="s">
        <v>1752</v>
      </c>
      <c r="C963" s="118" t="s">
        <v>1749</v>
      </c>
      <c r="D963" s="119">
        <v>43832</v>
      </c>
      <c r="E963" s="118" t="s">
        <v>3069</v>
      </c>
      <c r="F963" s="118" t="s">
        <v>2190</v>
      </c>
      <c r="G963" s="124">
        <v>7</v>
      </c>
      <c r="H963" s="124">
        <v>2</v>
      </c>
      <c r="I963" s="118">
        <v>11.9</v>
      </c>
      <c r="J963" s="118">
        <v>73</v>
      </c>
      <c r="K963" s="118"/>
      <c r="L963" s="122">
        <v>-0.68</v>
      </c>
      <c r="M963" s="122">
        <v>-5.46</v>
      </c>
      <c r="N963" s="118">
        <v>3.12</v>
      </c>
      <c r="O963" s="123" t="s">
        <v>2170</v>
      </c>
    </row>
    <row r="964" spans="1:15" ht="43.2">
      <c r="A964" s="118" t="s">
        <v>3244</v>
      </c>
      <c r="B964" s="118" t="s">
        <v>1743</v>
      </c>
      <c r="C964" s="118" t="s">
        <v>1749</v>
      </c>
      <c r="D964" s="119">
        <v>43896</v>
      </c>
      <c r="E964" s="118" t="s">
        <v>3076</v>
      </c>
      <c r="F964" s="118" t="s">
        <v>2190</v>
      </c>
      <c r="G964" s="124">
        <v>8</v>
      </c>
      <c r="H964" s="124">
        <v>3</v>
      </c>
      <c r="I964" s="118">
        <v>11.7</v>
      </c>
      <c r="J964" s="118">
        <v>73.599999999999994</v>
      </c>
      <c r="K964" s="118"/>
      <c r="L964" s="122">
        <v>-0.08</v>
      </c>
      <c r="M964" s="122">
        <v>-4.29</v>
      </c>
      <c r="N964" s="118">
        <v>2.9</v>
      </c>
      <c r="O964" s="123" t="s">
        <v>2078</v>
      </c>
    </row>
    <row r="965" spans="1:15" ht="43.2">
      <c r="A965" s="118" t="s">
        <v>3245</v>
      </c>
      <c r="B965" s="118" t="s">
        <v>1743</v>
      </c>
      <c r="C965" s="118" t="s">
        <v>1749</v>
      </c>
      <c r="D965" s="119">
        <v>43939</v>
      </c>
      <c r="E965" s="118" t="s">
        <v>2816</v>
      </c>
      <c r="F965" s="118" t="s">
        <v>2190</v>
      </c>
      <c r="G965" s="124">
        <v>3</v>
      </c>
      <c r="H965" s="124">
        <v>4</v>
      </c>
      <c r="I965" s="118">
        <v>12</v>
      </c>
      <c r="J965" s="118">
        <v>73.900000000000006</v>
      </c>
      <c r="K965" s="118"/>
      <c r="L965" s="122">
        <v>0.33</v>
      </c>
      <c r="M965" s="122">
        <v>-3.92</v>
      </c>
      <c r="N965" s="118">
        <v>3.09</v>
      </c>
      <c r="O965" s="123" t="s">
        <v>2170</v>
      </c>
    </row>
    <row r="966" spans="1:15" ht="43.2">
      <c r="A966" s="118" t="s">
        <v>3246</v>
      </c>
      <c r="B966" s="118" t="s">
        <v>1752</v>
      </c>
      <c r="C966" s="118" t="s">
        <v>1744</v>
      </c>
      <c r="D966" s="119">
        <v>43966</v>
      </c>
      <c r="E966" s="118" t="s">
        <v>2822</v>
      </c>
      <c r="F966" s="118" t="s">
        <v>1781</v>
      </c>
      <c r="G966" s="124">
        <v>2</v>
      </c>
      <c r="H966" s="124">
        <v>12</v>
      </c>
      <c r="I966" s="118">
        <v>11.9</v>
      </c>
      <c r="J966" s="118">
        <v>73.099999999999994</v>
      </c>
      <c r="K966" s="118"/>
      <c r="L966" s="122">
        <v>-0.08</v>
      </c>
      <c r="M966" s="122">
        <v>-4.68</v>
      </c>
      <c r="N966" s="118">
        <v>3.09</v>
      </c>
      <c r="O966" s="123" t="s">
        <v>2170</v>
      </c>
    </row>
    <row r="967" spans="1:15" ht="43.2">
      <c r="A967" s="118" t="s">
        <v>3247</v>
      </c>
      <c r="B967" s="118" t="s">
        <v>1752</v>
      </c>
      <c r="C967" s="118" t="s">
        <v>1744</v>
      </c>
      <c r="D967" s="119">
        <v>44015</v>
      </c>
      <c r="E967" s="118" t="s">
        <v>2824</v>
      </c>
      <c r="F967" s="118" t="s">
        <v>1781</v>
      </c>
      <c r="G967" s="124">
        <v>1</v>
      </c>
      <c r="H967" s="124">
        <v>3</v>
      </c>
      <c r="I967" s="118">
        <v>12</v>
      </c>
      <c r="J967" s="118">
        <v>72.900000000000006</v>
      </c>
      <c r="K967" s="118"/>
      <c r="L967" s="122">
        <v>0.23</v>
      </c>
      <c r="M967" s="122">
        <v>-4.41</v>
      </c>
      <c r="N967" s="118">
        <v>3.25</v>
      </c>
      <c r="O967" s="123" t="s">
        <v>2170</v>
      </c>
    </row>
    <row r="968" spans="1:15" ht="43.2">
      <c r="A968" s="118" t="s">
        <v>3248</v>
      </c>
      <c r="B968" s="118" t="s">
        <v>1752</v>
      </c>
      <c r="C968" s="118" t="s">
        <v>1744</v>
      </c>
      <c r="D968" s="119">
        <v>44025</v>
      </c>
      <c r="E968" s="118" t="s">
        <v>2596</v>
      </c>
      <c r="F968" s="118" t="s">
        <v>1781</v>
      </c>
      <c r="G968" s="124">
        <v>2</v>
      </c>
      <c r="H968" s="124">
        <v>13</v>
      </c>
      <c r="I968" s="118">
        <v>11.4</v>
      </c>
      <c r="J968" s="118">
        <v>73.400000000000006</v>
      </c>
      <c r="K968" s="118"/>
      <c r="L968" s="122">
        <v>-0.17</v>
      </c>
      <c r="M968" s="122">
        <v>-4.17</v>
      </c>
      <c r="N968" s="118">
        <v>2.5299999999999998</v>
      </c>
      <c r="O968" s="123" t="s">
        <v>2078</v>
      </c>
    </row>
    <row r="969" spans="1:15" ht="43.2">
      <c r="A969" s="118" t="s">
        <v>3249</v>
      </c>
      <c r="B969" s="118" t="s">
        <v>1743</v>
      </c>
      <c r="C969" s="118" t="s">
        <v>1744</v>
      </c>
      <c r="D969" s="119">
        <v>44096</v>
      </c>
      <c r="E969" s="118" t="s">
        <v>2119</v>
      </c>
      <c r="F969" s="118" t="s">
        <v>1781</v>
      </c>
      <c r="G969" s="124">
        <v>2</v>
      </c>
      <c r="H969" s="124">
        <v>2</v>
      </c>
      <c r="I969" s="118">
        <v>11.5</v>
      </c>
      <c r="J969" s="118">
        <v>73.7</v>
      </c>
      <c r="K969" s="118"/>
      <c r="L969" s="122">
        <v>0.77</v>
      </c>
      <c r="M969" s="122">
        <v>-2.72</v>
      </c>
      <c r="N969" s="118">
        <v>2.7</v>
      </c>
      <c r="O969" s="123" t="s">
        <v>2078</v>
      </c>
    </row>
    <row r="970" spans="1:15" ht="43.2">
      <c r="A970" s="118" t="s">
        <v>3250</v>
      </c>
      <c r="B970" s="118" t="s">
        <v>1743</v>
      </c>
      <c r="C970" s="118" t="s">
        <v>1744</v>
      </c>
      <c r="D970" s="119">
        <v>44275</v>
      </c>
      <c r="E970" s="118" t="s">
        <v>2320</v>
      </c>
      <c r="F970" s="118" t="s">
        <v>1781</v>
      </c>
      <c r="G970" s="124">
        <v>3</v>
      </c>
      <c r="H970" s="124">
        <v>11</v>
      </c>
      <c r="I970" s="118">
        <v>9.9</v>
      </c>
      <c r="J970" s="118">
        <v>68.5</v>
      </c>
      <c r="K970" s="118"/>
      <c r="L970" s="122">
        <v>0.59</v>
      </c>
      <c r="M970" s="122">
        <v>-2.61</v>
      </c>
      <c r="N970" s="118">
        <v>2.44</v>
      </c>
      <c r="O970" s="123" t="s">
        <v>2078</v>
      </c>
    </row>
    <row r="971" spans="1:15" ht="28.8">
      <c r="A971" s="118" t="s">
        <v>3251</v>
      </c>
      <c r="B971" s="118" t="s">
        <v>1743</v>
      </c>
      <c r="C971" s="118" t="s">
        <v>1744</v>
      </c>
      <c r="D971" s="119">
        <v>44295</v>
      </c>
      <c r="E971" s="118" t="s">
        <v>2658</v>
      </c>
      <c r="F971" s="118" t="s">
        <v>1784</v>
      </c>
      <c r="G971" s="124">
        <v>2</v>
      </c>
      <c r="H971" s="124">
        <v>7</v>
      </c>
      <c r="I971" s="118">
        <v>9</v>
      </c>
      <c r="J971" s="118">
        <v>65</v>
      </c>
      <c r="K971" s="118"/>
      <c r="L971" s="122">
        <v>-0.05</v>
      </c>
      <c r="M971" s="122">
        <v>-3.69</v>
      </c>
      <c r="N971" s="118">
        <v>2.5099999999999998</v>
      </c>
      <c r="O971" s="123" t="s">
        <v>2078</v>
      </c>
    </row>
    <row r="972" spans="1:15" ht="43.2">
      <c r="A972" s="118" t="s">
        <v>3252</v>
      </c>
      <c r="B972" s="118" t="s">
        <v>1743</v>
      </c>
      <c r="C972" s="118" t="s">
        <v>1744</v>
      </c>
      <c r="D972" s="119">
        <v>44302</v>
      </c>
      <c r="E972" s="118" t="s">
        <v>2937</v>
      </c>
      <c r="F972" s="118" t="s">
        <v>1784</v>
      </c>
      <c r="G972" s="124">
        <v>3</v>
      </c>
      <c r="H972" s="124">
        <v>2</v>
      </c>
      <c r="I972" s="118">
        <v>9.5</v>
      </c>
      <c r="J972" s="118">
        <v>65.7</v>
      </c>
      <c r="K972" s="118"/>
      <c r="L972" s="122">
        <v>0.43</v>
      </c>
      <c r="M972" s="122">
        <v>-3.33</v>
      </c>
      <c r="N972" s="118">
        <v>2.83</v>
      </c>
      <c r="O972" s="123" t="s">
        <v>2078</v>
      </c>
    </row>
    <row r="973" spans="1:15" ht="43.2">
      <c r="A973" s="118" t="s">
        <v>3253</v>
      </c>
      <c r="B973" s="118" t="s">
        <v>1743</v>
      </c>
      <c r="C973" s="118" t="s">
        <v>1744</v>
      </c>
      <c r="D973" s="119">
        <v>44303</v>
      </c>
      <c r="E973" s="118" t="s">
        <v>3254</v>
      </c>
      <c r="F973" s="118" t="s">
        <v>1784</v>
      </c>
      <c r="G973" s="124">
        <v>3</v>
      </c>
      <c r="H973" s="124">
        <v>8</v>
      </c>
      <c r="I973" s="118">
        <v>9</v>
      </c>
      <c r="J973" s="118">
        <v>65.5</v>
      </c>
      <c r="K973" s="118"/>
      <c r="L973" s="122">
        <v>0</v>
      </c>
      <c r="M973" s="122">
        <v>-3.4</v>
      </c>
      <c r="N973" s="118">
        <v>2.35</v>
      </c>
      <c r="O973" s="123" t="s">
        <v>2078</v>
      </c>
    </row>
    <row r="974" spans="1:15" ht="28.8">
      <c r="A974" s="118" t="s">
        <v>3255</v>
      </c>
      <c r="B974" s="118" t="s">
        <v>1743</v>
      </c>
      <c r="C974" s="118" t="s">
        <v>1755</v>
      </c>
      <c r="D974" s="119">
        <v>44315</v>
      </c>
      <c r="E974" s="118" t="s">
        <v>3188</v>
      </c>
      <c r="F974" s="118" t="s">
        <v>1784</v>
      </c>
      <c r="G974" s="124">
        <v>5</v>
      </c>
      <c r="H974" s="124">
        <v>6</v>
      </c>
      <c r="I974" s="118">
        <v>9</v>
      </c>
      <c r="J974" s="118">
        <v>65.5</v>
      </c>
      <c r="K974" s="118"/>
      <c r="L974" s="122">
        <v>0.08</v>
      </c>
      <c r="M974" s="122">
        <v>-3.24</v>
      </c>
      <c r="N974" s="118">
        <v>2.35</v>
      </c>
      <c r="O974" s="123" t="s">
        <v>2078</v>
      </c>
    </row>
    <row r="975" spans="1:15" ht="28.8">
      <c r="A975" s="118" t="s">
        <v>3256</v>
      </c>
      <c r="B975" s="118" t="s">
        <v>1743</v>
      </c>
      <c r="C975" s="118" t="s">
        <v>1755</v>
      </c>
      <c r="D975" s="119">
        <v>44319</v>
      </c>
      <c r="E975" s="118" t="s">
        <v>1798</v>
      </c>
      <c r="F975" s="118" t="s">
        <v>1784</v>
      </c>
      <c r="G975" s="124">
        <v>4</v>
      </c>
      <c r="H975" s="124">
        <v>5</v>
      </c>
      <c r="I975" s="118">
        <v>9</v>
      </c>
      <c r="J975" s="118">
        <v>63.4</v>
      </c>
      <c r="K975" s="118"/>
      <c r="L975" s="122">
        <v>0.11</v>
      </c>
      <c r="M975" s="122">
        <v>-4</v>
      </c>
      <c r="N975" s="118">
        <v>3.05</v>
      </c>
      <c r="O975" s="123" t="s">
        <v>2170</v>
      </c>
    </row>
    <row r="976" spans="1:15" ht="28.8">
      <c r="A976" s="118" t="s">
        <v>3257</v>
      </c>
      <c r="B976" s="118" t="s">
        <v>1743</v>
      </c>
      <c r="C976" s="118" t="s">
        <v>1755</v>
      </c>
      <c r="D976" s="119">
        <v>44373</v>
      </c>
      <c r="E976" s="118" t="s">
        <v>1802</v>
      </c>
      <c r="F976" s="118" t="s">
        <v>1784</v>
      </c>
      <c r="G976" s="124">
        <v>3</v>
      </c>
      <c r="H976" s="124">
        <v>7</v>
      </c>
      <c r="I976" s="118">
        <v>8.1999999999999993</v>
      </c>
      <c r="J976" s="118">
        <v>61.5</v>
      </c>
      <c r="K976" s="118"/>
      <c r="L976" s="122">
        <v>-0.26</v>
      </c>
      <c r="M976" s="122">
        <v>-4.01</v>
      </c>
      <c r="N976" s="118">
        <v>2.82</v>
      </c>
      <c r="O976" s="123" t="s">
        <v>2078</v>
      </c>
    </row>
    <row r="977" spans="1:15" ht="28.8">
      <c r="A977" s="118" t="s">
        <v>3258</v>
      </c>
      <c r="B977" s="118" t="s">
        <v>1752</v>
      </c>
      <c r="C977" s="118" t="s">
        <v>1755</v>
      </c>
      <c r="D977" s="119">
        <v>44673</v>
      </c>
      <c r="E977" s="118" t="s">
        <v>2036</v>
      </c>
      <c r="F977" s="118" t="s">
        <v>1784</v>
      </c>
      <c r="G977" s="124">
        <v>2</v>
      </c>
      <c r="H977" s="124">
        <v>4</v>
      </c>
      <c r="I977" s="118">
        <v>2.2000000000000002</v>
      </c>
      <c r="J977" s="118">
        <v>48</v>
      </c>
      <c r="K977" s="118"/>
      <c r="L977" s="122">
        <v>-4.0599999999999996</v>
      </c>
      <c r="M977" s="122">
        <v>-2.5099999999999998</v>
      </c>
      <c r="N977" s="118">
        <v>-3.86</v>
      </c>
      <c r="O977" s="123" t="s">
        <v>1790</v>
      </c>
    </row>
    <row r="978" spans="1:15" ht="43.2">
      <c r="A978" s="118" t="s">
        <v>3259</v>
      </c>
      <c r="B978" s="118" t="s">
        <v>1743</v>
      </c>
      <c r="C978" s="118" t="s">
        <v>1779</v>
      </c>
      <c r="D978" s="119">
        <v>42857</v>
      </c>
      <c r="E978" s="118" t="s">
        <v>2951</v>
      </c>
      <c r="F978" s="118" t="s">
        <v>1807</v>
      </c>
      <c r="G978" s="124">
        <v>2</v>
      </c>
      <c r="H978" s="124">
        <v>4</v>
      </c>
      <c r="I978" s="118">
        <v>14.2</v>
      </c>
      <c r="J978" s="118">
        <v>95</v>
      </c>
      <c r="K978" s="118"/>
      <c r="L978" s="122">
        <v>-1.71</v>
      </c>
      <c r="M978" s="122">
        <v>-2.97</v>
      </c>
      <c r="N978" s="118">
        <v>0.24</v>
      </c>
      <c r="O978" s="123" t="s">
        <v>1760</v>
      </c>
    </row>
    <row r="979" spans="1:15" ht="57.6">
      <c r="A979" s="118" t="s">
        <v>3260</v>
      </c>
      <c r="B979" s="118" t="s">
        <v>1752</v>
      </c>
      <c r="C979" s="118" t="s">
        <v>1744</v>
      </c>
      <c r="D979" s="119">
        <v>43957</v>
      </c>
      <c r="E979" s="118" t="s">
        <v>2611</v>
      </c>
      <c r="F979" s="118" t="s">
        <v>1807</v>
      </c>
      <c r="G979" s="124">
        <v>1</v>
      </c>
      <c r="H979" s="124">
        <v>4</v>
      </c>
      <c r="I979" s="118">
        <v>10</v>
      </c>
      <c r="J979" s="118">
        <v>79</v>
      </c>
      <c r="K979" s="118"/>
      <c r="L979" s="122">
        <v>-1.59</v>
      </c>
      <c r="M979" s="122">
        <v>-2.68</v>
      </c>
      <c r="N979" s="118">
        <v>-0.32</v>
      </c>
      <c r="O979" s="123" t="s">
        <v>1760</v>
      </c>
    </row>
    <row r="980" spans="1:15" ht="43.2">
      <c r="A980" s="118" t="s">
        <v>3261</v>
      </c>
      <c r="B980" s="118" t="s">
        <v>1752</v>
      </c>
      <c r="C980" s="118" t="s">
        <v>1749</v>
      </c>
      <c r="D980" s="119">
        <v>43717</v>
      </c>
      <c r="E980" s="118" t="s">
        <v>3262</v>
      </c>
      <c r="F980" s="118" t="s">
        <v>1807</v>
      </c>
      <c r="G980" s="124">
        <v>7</v>
      </c>
      <c r="H980" s="124">
        <v>1</v>
      </c>
      <c r="I980" s="118">
        <v>10</v>
      </c>
      <c r="J980" s="118">
        <v>85</v>
      </c>
      <c r="K980" s="118">
        <v>15</v>
      </c>
      <c r="L980" s="122">
        <v>-3.54</v>
      </c>
      <c r="M980" s="122">
        <v>-3.87</v>
      </c>
      <c r="N980" s="118">
        <v>-1.95</v>
      </c>
      <c r="O980" s="123" t="s">
        <v>1760</v>
      </c>
    </row>
    <row r="981" spans="1:15" ht="43.2">
      <c r="A981" s="118" t="s">
        <v>3263</v>
      </c>
      <c r="B981" s="118" t="s">
        <v>1743</v>
      </c>
      <c r="C981" s="118" t="s">
        <v>1786</v>
      </c>
      <c r="D981" s="119">
        <v>43293</v>
      </c>
      <c r="E981" s="118" t="s">
        <v>2948</v>
      </c>
      <c r="F981" s="118" t="s">
        <v>1807</v>
      </c>
      <c r="G981" s="124">
        <v>8</v>
      </c>
      <c r="H981" s="124">
        <v>2</v>
      </c>
      <c r="I981" s="118">
        <v>12.4</v>
      </c>
      <c r="J981" s="118">
        <v>91</v>
      </c>
      <c r="K981" s="118">
        <v>16</v>
      </c>
      <c r="L981" s="122">
        <v>-2.6</v>
      </c>
      <c r="M981" s="122">
        <v>-3.63</v>
      </c>
      <c r="N981" s="118">
        <v>-0.44</v>
      </c>
      <c r="O981" s="123" t="s">
        <v>1760</v>
      </c>
    </row>
    <row r="982" spans="1:15" ht="43.2">
      <c r="A982" s="118" t="s">
        <v>3264</v>
      </c>
      <c r="B982" s="118" t="s">
        <v>1752</v>
      </c>
      <c r="C982" s="118" t="s">
        <v>1749</v>
      </c>
      <c r="D982" s="119">
        <v>43647</v>
      </c>
      <c r="E982" s="118" t="s">
        <v>2345</v>
      </c>
      <c r="F982" s="118" t="s">
        <v>1807</v>
      </c>
      <c r="G982" s="124">
        <v>1</v>
      </c>
      <c r="H982" s="124">
        <v>3</v>
      </c>
      <c r="I982" s="118">
        <v>10.5</v>
      </c>
      <c r="J982" s="118">
        <v>93</v>
      </c>
      <c r="K982" s="118">
        <v>16</v>
      </c>
      <c r="L982" s="122">
        <v>-3.32</v>
      </c>
      <c r="M982" s="122">
        <v>-2.12</v>
      </c>
      <c r="N982" s="118">
        <v>-3.34</v>
      </c>
      <c r="O982" s="123" t="s">
        <v>1790</v>
      </c>
    </row>
    <row r="983" spans="1:15" ht="43.2">
      <c r="A983" s="118" t="s">
        <v>3265</v>
      </c>
      <c r="B983" s="118" t="s">
        <v>1743</v>
      </c>
      <c r="C983" s="118" t="s">
        <v>1744</v>
      </c>
      <c r="D983" s="119">
        <v>44312</v>
      </c>
      <c r="E983" s="118" t="s">
        <v>2843</v>
      </c>
      <c r="F983" s="118" t="s">
        <v>1807</v>
      </c>
      <c r="G983" s="124">
        <v>4</v>
      </c>
      <c r="H983" s="124">
        <v>4</v>
      </c>
      <c r="I983" s="118">
        <v>7.3</v>
      </c>
      <c r="J983" s="118">
        <v>76</v>
      </c>
      <c r="K983" s="118">
        <v>12.5</v>
      </c>
      <c r="L983" s="122">
        <v>-3.68</v>
      </c>
      <c r="M983" s="122">
        <v>-3.05</v>
      </c>
      <c r="N983" s="118">
        <v>-2.87</v>
      </c>
      <c r="O983" s="123" t="s">
        <v>1747</v>
      </c>
    </row>
    <row r="984" spans="1:15" ht="43.2">
      <c r="A984" s="118" t="s">
        <v>3266</v>
      </c>
      <c r="B984" s="118" t="s">
        <v>1752</v>
      </c>
      <c r="C984" s="118" t="s">
        <v>1744</v>
      </c>
      <c r="D984" s="119">
        <v>44112</v>
      </c>
      <c r="E984" s="118" t="s">
        <v>3267</v>
      </c>
      <c r="F984" s="118" t="s">
        <v>1746</v>
      </c>
      <c r="G984" s="124">
        <v>8</v>
      </c>
      <c r="H984" s="124">
        <v>3</v>
      </c>
      <c r="I984" s="118">
        <v>9.5</v>
      </c>
      <c r="J984" s="118">
        <v>83</v>
      </c>
      <c r="K984" s="118">
        <v>13</v>
      </c>
      <c r="L984" s="122">
        <v>-2.88</v>
      </c>
      <c r="M984" s="122">
        <v>-2.84</v>
      </c>
      <c r="N984" s="118">
        <v>-1.87</v>
      </c>
      <c r="O984" s="123" t="s">
        <v>1760</v>
      </c>
    </row>
    <row r="985" spans="1:15" ht="28.8">
      <c r="A985" s="118" t="s">
        <v>3268</v>
      </c>
      <c r="B985" s="118" t="s">
        <v>1752</v>
      </c>
      <c r="C985" s="118" t="s">
        <v>1786</v>
      </c>
      <c r="D985" s="119">
        <v>43334</v>
      </c>
      <c r="E985" s="118" t="s">
        <v>3209</v>
      </c>
      <c r="F985" s="118" t="s">
        <v>1746</v>
      </c>
      <c r="G985" s="124">
        <v>7</v>
      </c>
      <c r="H985" s="124">
        <v>1</v>
      </c>
      <c r="I985" s="118">
        <v>12</v>
      </c>
      <c r="J985" s="118">
        <v>94</v>
      </c>
      <c r="K985" s="118">
        <v>15</v>
      </c>
      <c r="L985" s="122">
        <v>-2.96</v>
      </c>
      <c r="M985" s="122">
        <v>-3</v>
      </c>
      <c r="N985" s="118">
        <v>-1.8</v>
      </c>
      <c r="O985" s="123" t="s">
        <v>1760</v>
      </c>
    </row>
    <row r="986" spans="1:15" ht="43.2">
      <c r="A986" s="118" t="s">
        <v>3269</v>
      </c>
      <c r="B986" s="118" t="s">
        <v>1743</v>
      </c>
      <c r="C986" s="118" t="s">
        <v>1744</v>
      </c>
      <c r="D986" s="119">
        <v>43956</v>
      </c>
      <c r="E986" s="118" t="s">
        <v>3203</v>
      </c>
      <c r="F986" s="118" t="s">
        <v>1746</v>
      </c>
      <c r="G986" s="124">
        <v>2</v>
      </c>
      <c r="H986" s="124">
        <v>4</v>
      </c>
      <c r="I986" s="118">
        <v>11</v>
      </c>
      <c r="J986" s="118">
        <v>83</v>
      </c>
      <c r="K986" s="118">
        <v>15</v>
      </c>
      <c r="L986" s="122">
        <v>-1.74</v>
      </c>
      <c r="M986" s="122">
        <v>-3.01</v>
      </c>
      <c r="N986" s="118">
        <v>0.1</v>
      </c>
      <c r="O986" s="123" t="s">
        <v>1760</v>
      </c>
    </row>
    <row r="987" spans="1:15" ht="43.2">
      <c r="A987" s="118" t="s">
        <v>3270</v>
      </c>
      <c r="B987" s="118" t="s">
        <v>1743</v>
      </c>
      <c r="C987" s="118" t="s">
        <v>1744</v>
      </c>
      <c r="D987" s="119">
        <v>44104</v>
      </c>
      <c r="E987" s="118" t="s">
        <v>2376</v>
      </c>
      <c r="F987" s="118" t="s">
        <v>1746</v>
      </c>
      <c r="G987" s="124">
        <v>4</v>
      </c>
      <c r="H987" s="124">
        <v>1</v>
      </c>
      <c r="I987" s="118">
        <v>8.5</v>
      </c>
      <c r="J987" s="118">
        <v>76.5</v>
      </c>
      <c r="K987" s="118">
        <v>12.5</v>
      </c>
      <c r="L987" s="122">
        <v>-3.39</v>
      </c>
      <c r="M987" s="122">
        <v>-4.0599999999999996</v>
      </c>
      <c r="N987" s="118">
        <v>-1.33</v>
      </c>
      <c r="O987" s="123" t="s">
        <v>1760</v>
      </c>
    </row>
    <row r="988" spans="1:15" ht="72">
      <c r="A988" s="118" t="s">
        <v>3271</v>
      </c>
      <c r="B988" s="118" t="s">
        <v>1743</v>
      </c>
      <c r="C988" s="118" t="s">
        <v>1755</v>
      </c>
      <c r="D988" s="119">
        <v>44624</v>
      </c>
      <c r="E988" s="118" t="s">
        <v>2970</v>
      </c>
      <c r="F988" s="118" t="s">
        <v>1746</v>
      </c>
      <c r="G988" s="124">
        <v>5</v>
      </c>
      <c r="H988" s="124">
        <v>3</v>
      </c>
      <c r="I988" s="118">
        <v>5.7</v>
      </c>
      <c r="J988" s="118">
        <v>64</v>
      </c>
      <c r="K988" s="118">
        <v>14</v>
      </c>
      <c r="L988" s="122">
        <v>-3.96</v>
      </c>
      <c r="M988" s="122">
        <v>-4.32</v>
      </c>
      <c r="N988" s="118">
        <v>-2.09</v>
      </c>
      <c r="O988" s="123" t="s">
        <v>1747</v>
      </c>
    </row>
    <row r="989" spans="1:15" ht="43.2">
      <c r="A989" s="118" t="s">
        <v>3272</v>
      </c>
      <c r="B989" s="118" t="s">
        <v>1752</v>
      </c>
      <c r="C989" s="118" t="s">
        <v>1744</v>
      </c>
      <c r="D989" s="119">
        <v>44169</v>
      </c>
      <c r="E989" s="118" t="s">
        <v>2279</v>
      </c>
      <c r="F989" s="118" t="s">
        <v>1746</v>
      </c>
      <c r="G989" s="124">
        <v>3</v>
      </c>
      <c r="H989" s="124">
        <v>11</v>
      </c>
      <c r="I989" s="118">
        <v>8.3000000000000007</v>
      </c>
      <c r="J989" s="118">
        <v>78</v>
      </c>
      <c r="K989" s="118">
        <v>14</v>
      </c>
      <c r="L989" s="122">
        <v>-3.74</v>
      </c>
      <c r="M989" s="122">
        <v>-3.77</v>
      </c>
      <c r="N989" s="118">
        <v>-2.58</v>
      </c>
      <c r="O989" s="123" t="s">
        <v>1747</v>
      </c>
    </row>
    <row r="990" spans="1:15" ht="43.2">
      <c r="A990" s="118" t="s">
        <v>3273</v>
      </c>
      <c r="B990" s="118" t="s">
        <v>1752</v>
      </c>
      <c r="C990" s="118" t="s">
        <v>1749</v>
      </c>
      <c r="D990" s="119">
        <v>43790</v>
      </c>
      <c r="E990" s="118" t="s">
        <v>3274</v>
      </c>
      <c r="F990" s="118" t="s">
        <v>1769</v>
      </c>
      <c r="G990" s="124">
        <v>3</v>
      </c>
      <c r="H990" s="124">
        <v>1</v>
      </c>
      <c r="I990" s="118">
        <v>9.9</v>
      </c>
      <c r="J990" s="118">
        <v>88</v>
      </c>
      <c r="K990" s="118">
        <v>13</v>
      </c>
      <c r="L990" s="122">
        <v>-3.44</v>
      </c>
      <c r="M990" s="122">
        <v>-2.81</v>
      </c>
      <c r="N990" s="118">
        <v>-2.92</v>
      </c>
      <c r="O990" s="123" t="s">
        <v>1747</v>
      </c>
    </row>
    <row r="991" spans="1:15" ht="43.2">
      <c r="A991" s="118" t="s">
        <v>3275</v>
      </c>
      <c r="B991" s="118" t="s">
        <v>1752</v>
      </c>
      <c r="C991" s="118" t="s">
        <v>1755</v>
      </c>
      <c r="D991" s="119">
        <v>44651</v>
      </c>
      <c r="E991" s="118" t="s">
        <v>2158</v>
      </c>
      <c r="F991" s="118" t="s">
        <v>1769</v>
      </c>
      <c r="G991" s="124">
        <v>1</v>
      </c>
      <c r="H991" s="124">
        <v>2</v>
      </c>
      <c r="I991" s="118">
        <v>6.5</v>
      </c>
      <c r="J991" s="118">
        <v>66</v>
      </c>
      <c r="K991" s="118"/>
      <c r="L991" s="122">
        <v>-3.54</v>
      </c>
      <c r="M991" s="122">
        <v>-4.1399999999999997</v>
      </c>
      <c r="N991" s="118">
        <v>-1.79</v>
      </c>
      <c r="O991" s="123" t="s">
        <v>1760</v>
      </c>
    </row>
    <row r="992" spans="1:15" ht="43.2">
      <c r="A992" s="118" t="s">
        <v>3276</v>
      </c>
      <c r="B992" s="118" t="s">
        <v>1752</v>
      </c>
      <c r="C992" s="118" t="s">
        <v>1744</v>
      </c>
      <c r="D992" s="119">
        <v>44286</v>
      </c>
      <c r="E992" s="118" t="s">
        <v>2099</v>
      </c>
      <c r="F992" s="118" t="s">
        <v>1769</v>
      </c>
      <c r="G992" s="124">
        <v>9</v>
      </c>
      <c r="H992" s="124">
        <v>5</v>
      </c>
      <c r="I992" s="118">
        <v>9.6999999999999993</v>
      </c>
      <c r="J992" s="118">
        <v>81.5</v>
      </c>
      <c r="K992" s="118"/>
      <c r="L992" s="122">
        <v>-1.99</v>
      </c>
      <c r="M992" s="122">
        <v>-2.09</v>
      </c>
      <c r="N992" s="118">
        <v>-1.24</v>
      </c>
      <c r="O992" s="123" t="s">
        <v>1760</v>
      </c>
    </row>
    <row r="993" spans="1:15" ht="43.2">
      <c r="A993" s="118" t="s">
        <v>3277</v>
      </c>
      <c r="B993" s="118" t="s">
        <v>1752</v>
      </c>
      <c r="C993" s="118" t="s">
        <v>1744</v>
      </c>
      <c r="D993" s="119">
        <v>44004</v>
      </c>
      <c r="E993" s="118" t="s">
        <v>2742</v>
      </c>
      <c r="F993" s="118" t="s">
        <v>1769</v>
      </c>
      <c r="G993" s="124">
        <v>4</v>
      </c>
      <c r="H993" s="124">
        <v>1</v>
      </c>
      <c r="I993" s="118">
        <v>10.1</v>
      </c>
      <c r="J993" s="118">
        <v>86.4</v>
      </c>
      <c r="K993" s="118"/>
      <c r="L993" s="122">
        <v>-2.7</v>
      </c>
      <c r="M993" s="122">
        <v>-2.2400000000000002</v>
      </c>
      <c r="N993" s="118">
        <v>-2.21</v>
      </c>
      <c r="O993" s="123" t="s">
        <v>1747</v>
      </c>
    </row>
    <row r="994" spans="1:15" ht="43.2">
      <c r="A994" s="118" t="s">
        <v>3278</v>
      </c>
      <c r="B994" s="118" t="s">
        <v>1752</v>
      </c>
      <c r="C994" s="118" t="s">
        <v>1744</v>
      </c>
      <c r="D994" s="119">
        <v>44051</v>
      </c>
      <c r="E994" s="118" t="s">
        <v>1924</v>
      </c>
      <c r="F994" s="118" t="s">
        <v>1769</v>
      </c>
      <c r="G994" s="124">
        <v>4</v>
      </c>
      <c r="H994" s="124">
        <v>8</v>
      </c>
      <c r="I994" s="118">
        <v>10.6</v>
      </c>
      <c r="J994" s="118">
        <v>85.7</v>
      </c>
      <c r="K994" s="118"/>
      <c r="L994" s="122">
        <v>-2.14</v>
      </c>
      <c r="M994" s="122">
        <v>-2.1800000000000002</v>
      </c>
      <c r="N994" s="118">
        <v>-1.39</v>
      </c>
      <c r="O994" s="123" t="s">
        <v>1760</v>
      </c>
    </row>
    <row r="995" spans="1:15" ht="43.2">
      <c r="A995" s="118" t="s">
        <v>3279</v>
      </c>
      <c r="B995" s="118" t="s">
        <v>1752</v>
      </c>
      <c r="C995" s="118" t="s">
        <v>1755</v>
      </c>
      <c r="D995" s="119">
        <v>44614</v>
      </c>
      <c r="E995" s="118" t="s">
        <v>2999</v>
      </c>
      <c r="F995" s="118" t="s">
        <v>1769</v>
      </c>
      <c r="G995" s="124">
        <v>8</v>
      </c>
      <c r="H995" s="124">
        <v>5</v>
      </c>
      <c r="I995" s="118">
        <v>7.5</v>
      </c>
      <c r="J995" s="118">
        <v>72</v>
      </c>
      <c r="K995" s="118"/>
      <c r="L995" s="122">
        <v>-2.54</v>
      </c>
      <c r="M995" s="122">
        <v>-2.13</v>
      </c>
      <c r="N995" s="118">
        <v>-2.09</v>
      </c>
      <c r="O995" s="123" t="s">
        <v>1747</v>
      </c>
    </row>
    <row r="996" spans="1:15" ht="43.2">
      <c r="A996" s="118" t="s">
        <v>3280</v>
      </c>
      <c r="B996" s="118" t="s">
        <v>1743</v>
      </c>
      <c r="C996" s="118" t="s">
        <v>1755</v>
      </c>
      <c r="D996" s="119">
        <v>44433</v>
      </c>
      <c r="E996" s="118" t="s">
        <v>2219</v>
      </c>
      <c r="F996" s="118" t="s">
        <v>1769</v>
      </c>
      <c r="G996" s="124">
        <v>1</v>
      </c>
      <c r="H996" s="124">
        <v>11</v>
      </c>
      <c r="I996" s="118">
        <v>8.4</v>
      </c>
      <c r="J996" s="118">
        <v>72.5</v>
      </c>
      <c r="K996" s="118"/>
      <c r="L996" s="122">
        <v>-1.85</v>
      </c>
      <c r="M996" s="122">
        <v>-3.17</v>
      </c>
      <c r="N996" s="118">
        <v>-0.35</v>
      </c>
      <c r="O996" s="123" t="s">
        <v>1760</v>
      </c>
    </row>
    <row r="997" spans="1:15" ht="43.2">
      <c r="A997" s="118" t="s">
        <v>3281</v>
      </c>
      <c r="B997" s="118" t="s">
        <v>1743</v>
      </c>
      <c r="C997" s="118" t="s">
        <v>1744</v>
      </c>
      <c r="D997" s="119">
        <v>44277</v>
      </c>
      <c r="E997" s="118" t="s">
        <v>2499</v>
      </c>
      <c r="F997" s="118" t="s">
        <v>1769</v>
      </c>
      <c r="G997" s="124">
        <v>6</v>
      </c>
      <c r="H997" s="124">
        <v>5</v>
      </c>
      <c r="I997" s="118">
        <v>8.15</v>
      </c>
      <c r="J997" s="118">
        <v>77</v>
      </c>
      <c r="K997" s="118">
        <v>13</v>
      </c>
      <c r="L997" s="122">
        <v>-2.96</v>
      </c>
      <c r="M997" s="122">
        <v>-2.77</v>
      </c>
      <c r="N997" s="118">
        <v>-1.94</v>
      </c>
      <c r="O997" s="123" t="s">
        <v>1760</v>
      </c>
    </row>
    <row r="998" spans="1:15" ht="43.2">
      <c r="A998" s="118" t="s">
        <v>3282</v>
      </c>
      <c r="B998" s="118" t="s">
        <v>1743</v>
      </c>
      <c r="C998" s="118" t="s">
        <v>1744</v>
      </c>
      <c r="D998" s="119">
        <v>44265</v>
      </c>
      <c r="E998" s="118" t="s">
        <v>2408</v>
      </c>
      <c r="F998" s="118" t="s">
        <v>1769</v>
      </c>
      <c r="G998" s="124">
        <v>8</v>
      </c>
      <c r="H998" s="124">
        <v>1</v>
      </c>
      <c r="I998" s="118">
        <v>8.25</v>
      </c>
      <c r="J998" s="118">
        <v>80</v>
      </c>
      <c r="K998" s="118"/>
      <c r="L998" s="122">
        <v>-2.91</v>
      </c>
      <c r="M998" s="122">
        <v>-2.16</v>
      </c>
      <c r="N998" s="118">
        <v>-2.34</v>
      </c>
      <c r="O998" s="123" t="s">
        <v>1747</v>
      </c>
    </row>
    <row r="999" spans="1:15" ht="72">
      <c r="A999" s="118" t="s">
        <v>3283</v>
      </c>
      <c r="B999" s="118" t="s">
        <v>1752</v>
      </c>
      <c r="C999" s="118" t="s">
        <v>1786</v>
      </c>
      <c r="D999" s="119">
        <v>43231</v>
      </c>
      <c r="E999" s="118" t="s">
        <v>2656</v>
      </c>
      <c r="F999" s="118" t="s">
        <v>1769</v>
      </c>
      <c r="G999" s="124">
        <v>4</v>
      </c>
      <c r="H999" s="124">
        <v>1</v>
      </c>
      <c r="I999" s="118">
        <v>13.2</v>
      </c>
      <c r="J999" s="118">
        <v>97.7</v>
      </c>
      <c r="K999" s="118"/>
      <c r="L999" s="122">
        <v>-2.4300000000000002</v>
      </c>
      <c r="M999" s="122">
        <v>-2.54</v>
      </c>
      <c r="N999" s="118">
        <v>-1.38</v>
      </c>
      <c r="O999" s="123" t="s">
        <v>1760</v>
      </c>
    </row>
    <row r="1000" spans="1:15" ht="57.6">
      <c r="A1000" s="118" t="s">
        <v>3284</v>
      </c>
      <c r="B1000" s="118" t="s">
        <v>1743</v>
      </c>
      <c r="C1000" s="118" t="s">
        <v>1786</v>
      </c>
      <c r="D1000" s="119">
        <v>43378</v>
      </c>
      <c r="E1000" s="118" t="s">
        <v>2636</v>
      </c>
      <c r="F1000" s="118" t="s">
        <v>1769</v>
      </c>
      <c r="G1000" s="124">
        <v>8</v>
      </c>
      <c r="H1000" s="124">
        <v>1</v>
      </c>
      <c r="I1000" s="118">
        <v>11.1</v>
      </c>
      <c r="J1000" s="118">
        <v>93.5</v>
      </c>
      <c r="K1000" s="118"/>
      <c r="L1000" s="122">
        <v>-3.25</v>
      </c>
      <c r="M1000" s="122">
        <v>-2.81</v>
      </c>
      <c r="N1000" s="118">
        <v>-2.2799999999999998</v>
      </c>
      <c r="O1000" s="123" t="s">
        <v>1747</v>
      </c>
    </row>
    <row r="1001" spans="1:15" ht="43.2">
      <c r="A1001" s="118" t="s">
        <v>3285</v>
      </c>
      <c r="B1001" s="118" t="s">
        <v>1743</v>
      </c>
      <c r="C1001" s="118" t="s">
        <v>1786</v>
      </c>
      <c r="D1001" s="119">
        <v>43466</v>
      </c>
      <c r="E1001" s="118" t="s">
        <v>2495</v>
      </c>
      <c r="F1001" s="118" t="s">
        <v>1769</v>
      </c>
      <c r="G1001" s="124">
        <v>6</v>
      </c>
      <c r="H1001" s="124">
        <v>5</v>
      </c>
      <c r="I1001" s="118">
        <v>11.8</v>
      </c>
      <c r="J1001" s="118">
        <v>91.2</v>
      </c>
      <c r="K1001" s="118"/>
      <c r="L1001" s="122">
        <v>-2.58</v>
      </c>
      <c r="M1001" s="122">
        <v>-3.03</v>
      </c>
      <c r="N1001" s="118">
        <v>-1.06</v>
      </c>
      <c r="O1001" s="123" t="s">
        <v>1760</v>
      </c>
    </row>
    <row r="1002" spans="1:15" ht="43.2">
      <c r="A1002" s="118" t="s">
        <v>3286</v>
      </c>
      <c r="B1002" s="118" t="s">
        <v>1752</v>
      </c>
      <c r="C1002" s="118" t="s">
        <v>1786</v>
      </c>
      <c r="D1002" s="119">
        <v>43519</v>
      </c>
      <c r="E1002" s="118" t="s">
        <v>3143</v>
      </c>
      <c r="F1002" s="118" t="s">
        <v>1774</v>
      </c>
      <c r="G1002" s="124">
        <v>2</v>
      </c>
      <c r="H1002" s="124">
        <v>5</v>
      </c>
      <c r="I1002" s="118">
        <v>12.5</v>
      </c>
      <c r="J1002" s="118">
        <v>92.7</v>
      </c>
      <c r="K1002" s="118"/>
      <c r="L1002" s="122">
        <v>-2.2400000000000002</v>
      </c>
      <c r="M1002" s="122">
        <v>-2.7</v>
      </c>
      <c r="N1002" s="118">
        <v>-0.99</v>
      </c>
      <c r="O1002" s="123" t="s">
        <v>1760</v>
      </c>
    </row>
    <row r="1003" spans="1:15" ht="43.2">
      <c r="A1003" s="118" t="s">
        <v>3287</v>
      </c>
      <c r="B1003" s="118" t="s">
        <v>1752</v>
      </c>
      <c r="C1003" s="118" t="s">
        <v>1749</v>
      </c>
      <c r="D1003" s="119">
        <v>43759</v>
      </c>
      <c r="E1003" s="118" t="s">
        <v>3040</v>
      </c>
      <c r="F1003" s="118" t="s">
        <v>1774</v>
      </c>
      <c r="G1003" s="124">
        <v>1</v>
      </c>
      <c r="H1003" s="124">
        <v>8</v>
      </c>
      <c r="I1003" s="118">
        <v>11.7</v>
      </c>
      <c r="J1003" s="118">
        <v>89.5</v>
      </c>
      <c r="K1003" s="118"/>
      <c r="L1003" s="122">
        <v>-2.1800000000000002</v>
      </c>
      <c r="M1003" s="122">
        <v>-2.56</v>
      </c>
      <c r="N1003" s="118">
        <v>-1.1000000000000001</v>
      </c>
      <c r="O1003" s="123" t="s">
        <v>1760</v>
      </c>
    </row>
    <row r="1004" spans="1:15" ht="43.2">
      <c r="A1004" s="118" t="s">
        <v>3288</v>
      </c>
      <c r="B1004" s="118" t="s">
        <v>1752</v>
      </c>
      <c r="C1004" s="118" t="s">
        <v>1744</v>
      </c>
      <c r="D1004" s="119">
        <v>43971</v>
      </c>
      <c r="E1004" s="118" t="s">
        <v>2262</v>
      </c>
      <c r="F1004" s="118" t="s">
        <v>1774</v>
      </c>
      <c r="G1004" s="124">
        <v>1</v>
      </c>
      <c r="H1004" s="124">
        <v>7</v>
      </c>
      <c r="I1004" s="118">
        <v>10.8</v>
      </c>
      <c r="J1004" s="118">
        <v>87.1</v>
      </c>
      <c r="K1004" s="118"/>
      <c r="L1004" s="122">
        <v>-2.2400000000000002</v>
      </c>
      <c r="M1004" s="122">
        <v>-2.2200000000000002</v>
      </c>
      <c r="N1004" s="118">
        <v>-1.53</v>
      </c>
      <c r="O1004" s="123" t="s">
        <v>1760</v>
      </c>
    </row>
    <row r="1005" spans="1:15" ht="57.6">
      <c r="A1005" s="118" t="s">
        <v>3289</v>
      </c>
      <c r="B1005" s="118" t="s">
        <v>1752</v>
      </c>
      <c r="C1005" s="118" t="s">
        <v>1744</v>
      </c>
      <c r="D1005" s="119">
        <v>43979</v>
      </c>
      <c r="E1005" s="118" t="s">
        <v>3147</v>
      </c>
      <c r="F1005" s="118" t="s">
        <v>1777</v>
      </c>
      <c r="G1005" s="124">
        <v>2</v>
      </c>
      <c r="H1005" s="124">
        <v>15</v>
      </c>
      <c r="I1005" s="118">
        <v>10.4</v>
      </c>
      <c r="J1005" s="118">
        <v>87.5</v>
      </c>
      <c r="K1005" s="118"/>
      <c r="L1005" s="122">
        <v>-2.5299999999999998</v>
      </c>
      <c r="M1005" s="122">
        <v>-2.0699999999999998</v>
      </c>
      <c r="N1005" s="118">
        <v>-2.13</v>
      </c>
      <c r="O1005" s="123" t="s">
        <v>1747</v>
      </c>
    </row>
    <row r="1006" spans="1:15" ht="43.2">
      <c r="A1006" s="118" t="s">
        <v>3290</v>
      </c>
      <c r="B1006" s="118" t="s">
        <v>1743</v>
      </c>
      <c r="C1006" s="118" t="s">
        <v>1744</v>
      </c>
      <c r="D1006" s="119">
        <v>44145</v>
      </c>
      <c r="E1006" s="118" t="s">
        <v>3161</v>
      </c>
      <c r="F1006" s="118" t="s">
        <v>1777</v>
      </c>
      <c r="G1006" s="124">
        <v>4</v>
      </c>
      <c r="H1006" s="124">
        <v>13</v>
      </c>
      <c r="I1006" s="118">
        <v>10.199999999999999</v>
      </c>
      <c r="J1006" s="118">
        <v>80.5</v>
      </c>
      <c r="K1006" s="118"/>
      <c r="L1006" s="122">
        <v>-1.67</v>
      </c>
      <c r="M1006" s="122">
        <v>-2.68</v>
      </c>
      <c r="N1006" s="118">
        <v>-0.15</v>
      </c>
      <c r="O1006" s="123" t="s">
        <v>1760</v>
      </c>
    </row>
    <row r="1007" spans="1:15" ht="43.2">
      <c r="A1007" s="118" t="s">
        <v>3291</v>
      </c>
      <c r="B1007" s="118" t="s">
        <v>1752</v>
      </c>
      <c r="C1007" s="118" t="s">
        <v>1744</v>
      </c>
      <c r="D1007" s="119">
        <v>44154</v>
      </c>
      <c r="E1007" s="118" t="s">
        <v>2509</v>
      </c>
      <c r="F1007" s="118" t="s">
        <v>1777</v>
      </c>
      <c r="G1007" s="124">
        <v>2</v>
      </c>
      <c r="H1007" s="124">
        <v>10</v>
      </c>
      <c r="I1007" s="118">
        <v>9.4</v>
      </c>
      <c r="J1007" s="118">
        <v>81.5</v>
      </c>
      <c r="K1007" s="118"/>
      <c r="L1007" s="122">
        <v>-2.82</v>
      </c>
      <c r="M1007" s="122">
        <v>-2.82</v>
      </c>
      <c r="N1007" s="118">
        <v>-1.81</v>
      </c>
      <c r="O1007" s="123" t="s">
        <v>1760</v>
      </c>
    </row>
    <row r="1008" spans="1:15" ht="43.2">
      <c r="A1008" s="118" t="s">
        <v>3292</v>
      </c>
      <c r="B1008" s="118" t="s">
        <v>1743</v>
      </c>
      <c r="C1008" s="118" t="s">
        <v>1749</v>
      </c>
      <c r="D1008" s="119">
        <v>43593</v>
      </c>
      <c r="E1008" s="118" t="s">
        <v>3157</v>
      </c>
      <c r="F1008" s="118" t="s">
        <v>1777</v>
      </c>
      <c r="G1008" s="124">
        <v>1</v>
      </c>
      <c r="H1008" s="124">
        <v>13</v>
      </c>
      <c r="I1008" s="118">
        <v>12.5</v>
      </c>
      <c r="J1008" s="118">
        <v>91.1</v>
      </c>
      <c r="K1008" s="118">
        <v>16</v>
      </c>
      <c r="L1008" s="122">
        <v>-1.8</v>
      </c>
      <c r="M1008" s="122">
        <v>-2.57</v>
      </c>
      <c r="N1008" s="118">
        <v>-0.37</v>
      </c>
      <c r="O1008" s="123" t="s">
        <v>1760</v>
      </c>
    </row>
    <row r="1009" spans="1:15" ht="43.2">
      <c r="A1009" s="118" t="s">
        <v>3293</v>
      </c>
      <c r="B1009" s="118" t="s">
        <v>1752</v>
      </c>
      <c r="C1009" s="118" t="s">
        <v>1744</v>
      </c>
      <c r="D1009" s="119">
        <v>44252</v>
      </c>
      <c r="E1009" s="118" t="s">
        <v>2898</v>
      </c>
      <c r="F1009" s="118" t="s">
        <v>1777</v>
      </c>
      <c r="G1009" s="124">
        <v>5</v>
      </c>
      <c r="H1009" s="124">
        <v>1</v>
      </c>
      <c r="I1009" s="118">
        <v>8.1999999999999993</v>
      </c>
      <c r="J1009" s="118">
        <v>78.599999999999994</v>
      </c>
      <c r="K1009" s="118">
        <v>13.5</v>
      </c>
      <c r="L1009" s="122">
        <v>-3.55</v>
      </c>
      <c r="M1009" s="122">
        <v>-3.28</v>
      </c>
      <c r="N1009" s="118">
        <v>-2.72</v>
      </c>
      <c r="O1009" s="123" t="s">
        <v>1747</v>
      </c>
    </row>
    <row r="1010" spans="1:15" ht="43.2">
      <c r="A1010" s="118" t="s">
        <v>3294</v>
      </c>
      <c r="B1010" s="118" t="s">
        <v>1743</v>
      </c>
      <c r="C1010" s="118" t="s">
        <v>1744</v>
      </c>
      <c r="D1010" s="119">
        <v>44272</v>
      </c>
      <c r="E1010" s="118" t="s">
        <v>2513</v>
      </c>
      <c r="F1010" s="118" t="s">
        <v>1777</v>
      </c>
      <c r="G1010" s="124">
        <v>3</v>
      </c>
      <c r="H1010" s="124">
        <v>10</v>
      </c>
      <c r="I1010" s="118">
        <v>8</v>
      </c>
      <c r="J1010" s="118">
        <v>75</v>
      </c>
      <c r="K1010" s="118">
        <v>13</v>
      </c>
      <c r="L1010" s="122">
        <v>-3.15</v>
      </c>
      <c r="M1010" s="122">
        <v>-3.66</v>
      </c>
      <c r="N1010" s="118">
        <v>-1.53</v>
      </c>
      <c r="O1010" s="123" t="s">
        <v>1760</v>
      </c>
    </row>
    <row r="1011" spans="1:15" ht="57.6">
      <c r="A1011" s="118" t="s">
        <v>3295</v>
      </c>
      <c r="B1011" s="118" t="s">
        <v>1752</v>
      </c>
      <c r="C1011" s="118" t="s">
        <v>1755</v>
      </c>
      <c r="D1011" s="119">
        <v>44494</v>
      </c>
      <c r="E1011" s="118" t="s">
        <v>3153</v>
      </c>
      <c r="F1011" s="118" t="s">
        <v>1777</v>
      </c>
      <c r="G1011" s="124">
        <v>4</v>
      </c>
      <c r="H1011" s="124">
        <v>2</v>
      </c>
      <c r="I1011" s="118">
        <v>8.6</v>
      </c>
      <c r="J1011" s="118">
        <v>74</v>
      </c>
      <c r="K1011" s="118">
        <v>16</v>
      </c>
      <c r="L1011" s="122">
        <v>-2.04</v>
      </c>
      <c r="M1011" s="122">
        <v>-2.84</v>
      </c>
      <c r="N1011" s="118">
        <v>-0.95</v>
      </c>
      <c r="O1011" s="123" t="s">
        <v>1760</v>
      </c>
    </row>
    <row r="1012" spans="1:15" ht="43.2">
      <c r="A1012" s="118" t="s">
        <v>3296</v>
      </c>
      <c r="B1012" s="118" t="s">
        <v>1752</v>
      </c>
      <c r="C1012" s="118" t="s">
        <v>1786</v>
      </c>
      <c r="D1012" s="119">
        <v>43487</v>
      </c>
      <c r="E1012" s="118" t="s">
        <v>2019</v>
      </c>
      <c r="F1012" s="118" t="s">
        <v>1777</v>
      </c>
      <c r="G1012" s="124">
        <v>1</v>
      </c>
      <c r="H1012" s="124">
        <v>15</v>
      </c>
      <c r="I1012" s="118">
        <v>14</v>
      </c>
      <c r="J1012" s="118">
        <v>95</v>
      </c>
      <c r="K1012" s="118">
        <v>15</v>
      </c>
      <c r="L1012" s="122">
        <v>-1.4</v>
      </c>
      <c r="M1012" s="122">
        <v>-2.25</v>
      </c>
      <c r="N1012" s="118">
        <v>-0.05</v>
      </c>
      <c r="O1012" s="123" t="s">
        <v>1760</v>
      </c>
    </row>
    <row r="1013" spans="1:15" ht="43.2">
      <c r="A1013" s="118" t="s">
        <v>3297</v>
      </c>
      <c r="B1013" s="118" t="s">
        <v>1752</v>
      </c>
      <c r="C1013" s="118" t="s">
        <v>1749</v>
      </c>
      <c r="D1013" s="119">
        <v>43848</v>
      </c>
      <c r="E1013" s="118" t="s">
        <v>2905</v>
      </c>
      <c r="F1013" s="118" t="s">
        <v>1777</v>
      </c>
      <c r="G1013" s="124">
        <v>1</v>
      </c>
      <c r="H1013" s="124">
        <v>15</v>
      </c>
      <c r="I1013" s="118">
        <v>10</v>
      </c>
      <c r="J1013" s="118">
        <v>86.6</v>
      </c>
      <c r="K1013" s="118">
        <v>14</v>
      </c>
      <c r="L1013" s="122">
        <v>-3.23</v>
      </c>
      <c r="M1013" s="122">
        <v>-2.94</v>
      </c>
      <c r="N1013" s="118">
        <v>-2.4</v>
      </c>
      <c r="O1013" s="123" t="s">
        <v>1747</v>
      </c>
    </row>
    <row r="1014" spans="1:15" ht="43.2">
      <c r="A1014" s="118" t="s">
        <v>3298</v>
      </c>
      <c r="B1014" s="118" t="s">
        <v>1743</v>
      </c>
      <c r="C1014" s="118" t="s">
        <v>1786</v>
      </c>
      <c r="D1014" s="119">
        <v>43229</v>
      </c>
      <c r="E1014" s="118" t="s">
        <v>3076</v>
      </c>
      <c r="F1014" s="118" t="s">
        <v>2190</v>
      </c>
      <c r="G1014" s="124">
        <v>8</v>
      </c>
      <c r="H1014" s="124">
        <v>3</v>
      </c>
      <c r="I1014" s="118">
        <v>13.65</v>
      </c>
      <c r="J1014" s="118">
        <v>95.7</v>
      </c>
      <c r="K1014" s="118">
        <v>15.5</v>
      </c>
      <c r="L1014" s="122">
        <v>-1.99</v>
      </c>
      <c r="M1014" s="122">
        <v>-2.8</v>
      </c>
      <c r="N1014" s="118">
        <v>-0.34</v>
      </c>
      <c r="O1014" s="123" t="s">
        <v>1760</v>
      </c>
    </row>
    <row r="1015" spans="1:15" ht="43.2">
      <c r="A1015" s="118" t="s">
        <v>3299</v>
      </c>
      <c r="B1015" s="118" t="s">
        <v>1752</v>
      </c>
      <c r="C1015" s="118" t="s">
        <v>1786</v>
      </c>
      <c r="D1015" s="119">
        <v>43333</v>
      </c>
      <c r="E1015" s="118" t="s">
        <v>3166</v>
      </c>
      <c r="F1015" s="118" t="s">
        <v>2190</v>
      </c>
      <c r="G1015" s="124">
        <v>3</v>
      </c>
      <c r="H1015" s="124">
        <v>2</v>
      </c>
      <c r="I1015" s="118">
        <v>12.45</v>
      </c>
      <c r="J1015" s="118">
        <v>94.2</v>
      </c>
      <c r="K1015" s="118">
        <v>15.3</v>
      </c>
      <c r="L1015" s="122">
        <v>-2.69</v>
      </c>
      <c r="M1015" s="122">
        <v>-2.99</v>
      </c>
      <c r="N1015" s="118">
        <v>-1.37</v>
      </c>
      <c r="O1015" s="123" t="s">
        <v>1760</v>
      </c>
    </row>
    <row r="1016" spans="1:15" ht="43.2">
      <c r="A1016" s="118" t="s">
        <v>3300</v>
      </c>
      <c r="B1016" s="118" t="s">
        <v>1752</v>
      </c>
      <c r="C1016" s="118" t="s">
        <v>1744</v>
      </c>
      <c r="D1016" s="119">
        <v>44101</v>
      </c>
      <c r="E1016" s="118" t="s">
        <v>3164</v>
      </c>
      <c r="F1016" s="118" t="s">
        <v>2190</v>
      </c>
      <c r="G1016" s="124">
        <v>4</v>
      </c>
      <c r="H1016" s="124">
        <v>6</v>
      </c>
      <c r="I1016" s="118">
        <v>9.15</v>
      </c>
      <c r="J1016" s="118">
        <v>84.5</v>
      </c>
      <c r="K1016" s="118">
        <v>13</v>
      </c>
      <c r="L1016" s="122">
        <v>-3.21</v>
      </c>
      <c r="M1016" s="122">
        <v>-2.23</v>
      </c>
      <c r="N1016" s="118">
        <v>-2.97</v>
      </c>
      <c r="O1016" s="123" t="s">
        <v>1747</v>
      </c>
    </row>
    <row r="1017" spans="1:15" ht="43.2">
      <c r="A1017" s="118" t="s">
        <v>3301</v>
      </c>
      <c r="B1017" s="118" t="s">
        <v>1743</v>
      </c>
      <c r="C1017" s="118" t="s">
        <v>1744</v>
      </c>
      <c r="D1017" s="119">
        <v>44130</v>
      </c>
      <c r="E1017" s="118" t="s">
        <v>3074</v>
      </c>
      <c r="F1017" s="118" t="s">
        <v>2190</v>
      </c>
      <c r="G1017" s="124">
        <v>1</v>
      </c>
      <c r="H1017" s="124">
        <v>6</v>
      </c>
      <c r="I1017" s="118">
        <v>8.9</v>
      </c>
      <c r="J1017" s="118">
        <v>82.8</v>
      </c>
      <c r="K1017" s="118">
        <v>14</v>
      </c>
      <c r="L1017" s="122">
        <v>-2.9</v>
      </c>
      <c r="M1017" s="122">
        <v>-2.09</v>
      </c>
      <c r="N1017" s="118">
        <v>-2.3199999999999998</v>
      </c>
      <c r="O1017" s="123" t="s">
        <v>1747</v>
      </c>
    </row>
    <row r="1018" spans="1:15" ht="43.2">
      <c r="A1018" s="118" t="s">
        <v>3302</v>
      </c>
      <c r="B1018" s="118" t="s">
        <v>1752</v>
      </c>
      <c r="C1018" s="118" t="s">
        <v>1744</v>
      </c>
      <c r="D1018" s="119">
        <v>44119</v>
      </c>
      <c r="E1018" s="118" t="s">
        <v>2816</v>
      </c>
      <c r="F1018" s="118" t="s">
        <v>2190</v>
      </c>
      <c r="G1018" s="124">
        <v>3</v>
      </c>
      <c r="H1018" s="124">
        <v>4</v>
      </c>
      <c r="I1018" s="118">
        <v>9.9</v>
      </c>
      <c r="J1018" s="118">
        <v>79</v>
      </c>
      <c r="K1018" s="118">
        <v>15</v>
      </c>
      <c r="L1018" s="122">
        <v>-2.48</v>
      </c>
      <c r="M1018" s="122">
        <v>-3.74</v>
      </c>
      <c r="N1018" s="118">
        <v>-0.59</v>
      </c>
      <c r="O1018" s="123" t="s">
        <v>1760</v>
      </c>
    </row>
    <row r="1019" spans="1:15" ht="43.2">
      <c r="A1019" s="118" t="s">
        <v>3303</v>
      </c>
      <c r="B1019" s="118" t="s">
        <v>1752</v>
      </c>
      <c r="C1019" s="118" t="s">
        <v>1749</v>
      </c>
      <c r="D1019" s="119">
        <v>43888</v>
      </c>
      <c r="E1019" s="118" t="s">
        <v>2287</v>
      </c>
      <c r="F1019" s="118" t="s">
        <v>2190</v>
      </c>
      <c r="G1019" s="124">
        <v>5</v>
      </c>
      <c r="H1019" s="124">
        <v>2</v>
      </c>
      <c r="I1019" s="118">
        <v>10.4</v>
      </c>
      <c r="J1019" s="118">
        <v>86.7</v>
      </c>
      <c r="K1019" s="118">
        <v>13.5</v>
      </c>
      <c r="L1019" s="122">
        <v>-2.79</v>
      </c>
      <c r="M1019" s="122">
        <v>-2.7</v>
      </c>
      <c r="N1019" s="118">
        <v>-1.91</v>
      </c>
      <c r="O1019" s="123" t="s">
        <v>1760</v>
      </c>
    </row>
    <row r="1020" spans="1:15" ht="43.2">
      <c r="A1020" s="118" t="s">
        <v>3304</v>
      </c>
      <c r="B1020" s="118" t="s">
        <v>1743</v>
      </c>
      <c r="C1020" s="118" t="s">
        <v>1749</v>
      </c>
      <c r="D1020" s="119">
        <v>43821</v>
      </c>
      <c r="E1020" s="118" t="s">
        <v>3069</v>
      </c>
      <c r="F1020" s="118" t="s">
        <v>2190</v>
      </c>
      <c r="G1020" s="124">
        <v>7</v>
      </c>
      <c r="H1020" s="124">
        <v>2</v>
      </c>
      <c r="I1020" s="118">
        <v>9.0500000000000007</v>
      </c>
      <c r="J1020" s="118">
        <v>83.9</v>
      </c>
      <c r="K1020" s="118">
        <v>14.2</v>
      </c>
      <c r="L1020" s="122">
        <v>-3.75</v>
      </c>
      <c r="M1020" s="122">
        <v>-3.4</v>
      </c>
      <c r="N1020" s="118">
        <v>-2.41</v>
      </c>
      <c r="O1020" s="123" t="s">
        <v>1747</v>
      </c>
    </row>
    <row r="1021" spans="1:15" ht="43.2">
      <c r="A1021" s="118" t="s">
        <v>3305</v>
      </c>
      <c r="B1021" s="118" t="s">
        <v>1743</v>
      </c>
      <c r="C1021" s="118" t="s">
        <v>1749</v>
      </c>
      <c r="D1021" s="119">
        <v>43646</v>
      </c>
      <c r="E1021" s="118" t="s">
        <v>3306</v>
      </c>
      <c r="F1021" s="118" t="s">
        <v>1781</v>
      </c>
      <c r="G1021" s="124">
        <v>4</v>
      </c>
      <c r="H1021" s="124">
        <v>1</v>
      </c>
      <c r="I1021" s="118">
        <v>13.25</v>
      </c>
      <c r="J1021" s="118">
        <v>90.5</v>
      </c>
      <c r="K1021" s="118">
        <v>16</v>
      </c>
      <c r="L1021" s="122">
        <v>-1.21</v>
      </c>
      <c r="M1021" s="122">
        <v>-2.5099999999999998</v>
      </c>
      <c r="N1021" s="118">
        <v>0.41</v>
      </c>
      <c r="O1021" s="123" t="s">
        <v>1760</v>
      </c>
    </row>
    <row r="1022" spans="1:15" ht="43.2">
      <c r="A1022" s="118" t="s">
        <v>3307</v>
      </c>
      <c r="B1022" s="118" t="s">
        <v>1743</v>
      </c>
      <c r="C1022" s="118" t="s">
        <v>2055</v>
      </c>
      <c r="D1022" s="119">
        <v>44889</v>
      </c>
      <c r="E1022" s="118" t="s">
        <v>2119</v>
      </c>
      <c r="F1022" s="118" t="s">
        <v>1781</v>
      </c>
      <c r="G1022" s="124">
        <v>2</v>
      </c>
      <c r="H1022" s="124">
        <v>2</v>
      </c>
      <c r="I1022" s="118">
        <v>5</v>
      </c>
      <c r="J1022" s="118">
        <v>57</v>
      </c>
      <c r="K1022" s="118">
        <v>14</v>
      </c>
      <c r="L1022" s="122">
        <v>-2.27</v>
      </c>
      <c r="M1022" s="122">
        <v>-2.67</v>
      </c>
      <c r="N1022" s="118">
        <v>-0.18</v>
      </c>
      <c r="O1022" s="123" t="s">
        <v>1760</v>
      </c>
    </row>
    <row r="1023" spans="1:15" ht="43.2">
      <c r="A1023" s="118" t="s">
        <v>3308</v>
      </c>
      <c r="B1023" s="118" t="s">
        <v>1752</v>
      </c>
      <c r="C1023" s="118" t="s">
        <v>1755</v>
      </c>
      <c r="D1023" s="119">
        <v>44522</v>
      </c>
      <c r="E1023" s="118" t="s">
        <v>3309</v>
      </c>
      <c r="F1023" s="118" t="s">
        <v>1781</v>
      </c>
      <c r="G1023" s="124"/>
      <c r="H1023" s="124">
        <v>3</v>
      </c>
      <c r="I1023" s="118">
        <v>7.74</v>
      </c>
      <c r="J1023" s="118">
        <v>70.900000000000006</v>
      </c>
      <c r="K1023" s="118">
        <v>13.5</v>
      </c>
      <c r="L1023" s="122">
        <v>-2.85</v>
      </c>
      <c r="M1023" s="122">
        <v>-3.76</v>
      </c>
      <c r="N1023" s="118">
        <v>-1.34</v>
      </c>
      <c r="O1023" s="123" t="s">
        <v>1760</v>
      </c>
    </row>
    <row r="1024" spans="1:15" ht="43.2">
      <c r="A1024" s="118" t="s">
        <v>3310</v>
      </c>
      <c r="B1024" s="118" t="s">
        <v>1743</v>
      </c>
      <c r="C1024" s="118" t="s">
        <v>1755</v>
      </c>
      <c r="D1024" s="119">
        <v>44502</v>
      </c>
      <c r="E1024" s="118" t="s">
        <v>2824</v>
      </c>
      <c r="F1024" s="118" t="s">
        <v>1781</v>
      </c>
      <c r="G1024" s="124">
        <v>1</v>
      </c>
      <c r="H1024" s="124">
        <v>3</v>
      </c>
      <c r="I1024" s="118">
        <v>7.62</v>
      </c>
      <c r="J1024" s="118">
        <v>72.8</v>
      </c>
      <c r="K1024" s="118">
        <v>13.5</v>
      </c>
      <c r="L1024" s="122">
        <v>-2.33</v>
      </c>
      <c r="M1024" s="122">
        <v>-2.46</v>
      </c>
      <c r="N1024" s="118">
        <v>-1.54</v>
      </c>
      <c r="O1024" s="123" t="s">
        <v>1760</v>
      </c>
    </row>
    <row r="1025" spans="1:15" ht="43.2">
      <c r="A1025" s="118" t="s">
        <v>3311</v>
      </c>
      <c r="B1025" s="118" t="s">
        <v>1743</v>
      </c>
      <c r="C1025" s="118" t="s">
        <v>1744</v>
      </c>
      <c r="D1025" s="119">
        <v>43992</v>
      </c>
      <c r="E1025" s="118" t="s">
        <v>3312</v>
      </c>
      <c r="F1025" s="118" t="s">
        <v>1781</v>
      </c>
      <c r="G1025" s="124"/>
      <c r="H1025" s="124">
        <v>3</v>
      </c>
      <c r="I1025" s="118">
        <v>10.95</v>
      </c>
      <c r="J1025" s="118">
        <v>83</v>
      </c>
      <c r="K1025" s="118">
        <v>16</v>
      </c>
      <c r="L1025" s="122">
        <v>-1.66</v>
      </c>
      <c r="M1025" s="122">
        <v>-2.85</v>
      </c>
      <c r="N1025" s="118">
        <v>0.05</v>
      </c>
      <c r="O1025" s="123" t="s">
        <v>1760</v>
      </c>
    </row>
    <row r="1026" spans="1:15" ht="43.2">
      <c r="A1026" s="118" t="s">
        <v>3313</v>
      </c>
      <c r="B1026" s="118" t="s">
        <v>1743</v>
      </c>
      <c r="C1026" s="118" t="s">
        <v>1744</v>
      </c>
      <c r="D1026" s="119">
        <v>43992</v>
      </c>
      <c r="E1026" s="118" t="s">
        <v>2822</v>
      </c>
      <c r="F1026" s="118" t="s">
        <v>1781</v>
      </c>
      <c r="G1026" s="124">
        <v>2</v>
      </c>
      <c r="H1026" s="124">
        <v>12</v>
      </c>
      <c r="I1026" s="118">
        <v>10</v>
      </c>
      <c r="J1026" s="118">
        <v>81.2</v>
      </c>
      <c r="K1026" s="118">
        <v>14</v>
      </c>
      <c r="L1026" s="122">
        <v>-2.4300000000000002</v>
      </c>
      <c r="M1026" s="122">
        <v>-3.33</v>
      </c>
      <c r="N1026" s="118">
        <v>-0.54</v>
      </c>
      <c r="O1026" s="123" t="s">
        <v>1760</v>
      </c>
    </row>
    <row r="1027" spans="1:15" ht="43.2">
      <c r="A1027" s="118" t="s">
        <v>3314</v>
      </c>
      <c r="B1027" s="118" t="s">
        <v>1752</v>
      </c>
      <c r="C1027" s="118" t="s">
        <v>1749</v>
      </c>
      <c r="D1027" s="119">
        <v>43841</v>
      </c>
      <c r="E1027" s="118" t="s">
        <v>2320</v>
      </c>
      <c r="F1027" s="118" t="s">
        <v>1781</v>
      </c>
      <c r="G1027" s="124">
        <v>3</v>
      </c>
      <c r="H1027" s="124">
        <v>11</v>
      </c>
      <c r="I1027" s="118">
        <v>10.8</v>
      </c>
      <c r="J1027" s="118">
        <v>88.2</v>
      </c>
      <c r="K1027" s="118">
        <v>14.5</v>
      </c>
      <c r="L1027" s="122">
        <v>-2.62</v>
      </c>
      <c r="M1027" s="122">
        <v>-2.54</v>
      </c>
      <c r="N1027" s="118">
        <v>-1.82</v>
      </c>
      <c r="O1027" s="123" t="s">
        <v>1760</v>
      </c>
    </row>
    <row r="1028" spans="1:15" ht="43.2">
      <c r="A1028" s="118" t="s">
        <v>3315</v>
      </c>
      <c r="B1028" s="118" t="s">
        <v>1752</v>
      </c>
      <c r="C1028" s="118" t="s">
        <v>1749</v>
      </c>
      <c r="D1028" s="119">
        <v>43703</v>
      </c>
      <c r="E1028" s="118" t="s">
        <v>2310</v>
      </c>
      <c r="F1028" s="118" t="s">
        <v>1781</v>
      </c>
      <c r="G1028" s="124">
        <v>1</v>
      </c>
      <c r="H1028" s="124">
        <v>11</v>
      </c>
      <c r="I1028" s="118">
        <v>10.9</v>
      </c>
      <c r="J1028" s="118">
        <v>90.5</v>
      </c>
      <c r="K1028" s="118">
        <v>13.5</v>
      </c>
      <c r="L1028" s="122">
        <v>-2.9</v>
      </c>
      <c r="M1028" s="122">
        <v>-2.5299999999999998</v>
      </c>
      <c r="N1028" s="118">
        <v>-2.27</v>
      </c>
      <c r="O1028" s="123" t="s">
        <v>1747</v>
      </c>
    </row>
    <row r="1029" spans="1:15" ht="43.2">
      <c r="A1029" s="118" t="s">
        <v>3316</v>
      </c>
      <c r="B1029" s="118" t="s">
        <v>1752</v>
      </c>
      <c r="C1029" s="118" t="s">
        <v>1749</v>
      </c>
      <c r="D1029" s="119">
        <v>43659</v>
      </c>
      <c r="E1029" s="118" t="s">
        <v>2313</v>
      </c>
      <c r="F1029" s="118" t="s">
        <v>1781</v>
      </c>
      <c r="G1029" s="124">
        <v>2</v>
      </c>
      <c r="H1029" s="124">
        <v>11</v>
      </c>
      <c r="I1029" s="118">
        <v>11.95</v>
      </c>
      <c r="J1029" s="118">
        <v>92.1</v>
      </c>
      <c r="K1029" s="118">
        <v>15</v>
      </c>
      <c r="L1029" s="122">
        <v>-2.2599999999999998</v>
      </c>
      <c r="M1029" s="122">
        <v>-2.31</v>
      </c>
      <c r="N1029" s="118">
        <v>-1.43</v>
      </c>
      <c r="O1029" s="123" t="s">
        <v>1760</v>
      </c>
    </row>
    <row r="1030" spans="1:15" ht="43.2">
      <c r="A1030" s="118" t="s">
        <v>3317</v>
      </c>
      <c r="B1030" s="118" t="s">
        <v>1752</v>
      </c>
      <c r="C1030" s="118" t="s">
        <v>1786</v>
      </c>
      <c r="D1030" s="119">
        <v>43364</v>
      </c>
      <c r="E1030" s="118" t="s">
        <v>3318</v>
      </c>
      <c r="F1030" s="118" t="s">
        <v>1781</v>
      </c>
      <c r="G1030" s="124">
        <v>0</v>
      </c>
      <c r="H1030" s="124">
        <v>3</v>
      </c>
      <c r="I1030" s="118">
        <v>11.45</v>
      </c>
      <c r="J1030" s="118">
        <v>87.6</v>
      </c>
      <c r="K1030" s="118">
        <v>15</v>
      </c>
      <c r="L1030" s="122">
        <v>-3.26</v>
      </c>
      <c r="M1030" s="122">
        <v>-4.37</v>
      </c>
      <c r="N1030" s="118">
        <v>-0.91</v>
      </c>
      <c r="O1030" s="123" t="s">
        <v>1760</v>
      </c>
    </row>
    <row r="1031" spans="1:15" ht="43.2">
      <c r="A1031" s="118" t="s">
        <v>3319</v>
      </c>
      <c r="B1031" s="118" t="s">
        <v>1752</v>
      </c>
      <c r="C1031" s="118" t="s">
        <v>1786</v>
      </c>
      <c r="D1031" s="119">
        <v>43298</v>
      </c>
      <c r="E1031" s="118" t="s">
        <v>3320</v>
      </c>
      <c r="F1031" s="118" t="s">
        <v>1781</v>
      </c>
      <c r="G1031" s="124">
        <v>0</v>
      </c>
      <c r="H1031" s="124">
        <v>3</v>
      </c>
      <c r="I1031" s="118">
        <v>10.8</v>
      </c>
      <c r="J1031" s="118">
        <v>90</v>
      </c>
      <c r="K1031" s="118">
        <v>14.4</v>
      </c>
      <c r="L1031" s="122">
        <v>-3.77</v>
      </c>
      <c r="M1031" s="122">
        <v>-4.0199999999999996</v>
      </c>
      <c r="N1031" s="118">
        <v>-2.27</v>
      </c>
      <c r="O1031" s="123" t="s">
        <v>1747</v>
      </c>
    </row>
    <row r="1032" spans="1:15" ht="28.8">
      <c r="A1032" s="118" t="s">
        <v>3321</v>
      </c>
      <c r="B1032" s="118" t="s">
        <v>1743</v>
      </c>
      <c r="C1032" s="118" t="s">
        <v>1755</v>
      </c>
      <c r="D1032" s="119">
        <v>44541</v>
      </c>
      <c r="E1032" s="118" t="s">
        <v>3322</v>
      </c>
      <c r="F1032" s="118" t="s">
        <v>1784</v>
      </c>
      <c r="G1032" s="124">
        <v>4</v>
      </c>
      <c r="H1032" s="124">
        <v>1</v>
      </c>
      <c r="I1032" s="118">
        <v>8</v>
      </c>
      <c r="J1032" s="118">
        <v>70</v>
      </c>
      <c r="K1032" s="118">
        <v>15</v>
      </c>
      <c r="L1032" s="122">
        <v>-1.68</v>
      </c>
      <c r="M1032" s="122">
        <v>-3.04</v>
      </c>
      <c r="N1032" s="118">
        <v>-0.22</v>
      </c>
      <c r="O1032" s="123" t="s">
        <v>1760</v>
      </c>
    </row>
    <row r="1033" spans="1:15" ht="28.8">
      <c r="A1033" s="118" t="s">
        <v>3323</v>
      </c>
      <c r="B1033" s="118" t="s">
        <v>1752</v>
      </c>
      <c r="C1033" s="118" t="s">
        <v>1755</v>
      </c>
      <c r="D1033" s="119">
        <v>44364</v>
      </c>
      <c r="E1033" s="118" t="s">
        <v>2658</v>
      </c>
      <c r="F1033" s="118" t="s">
        <v>1784</v>
      </c>
      <c r="G1033" s="124">
        <v>2</v>
      </c>
      <c r="H1033" s="124">
        <v>7</v>
      </c>
      <c r="I1033" s="118">
        <v>8</v>
      </c>
      <c r="J1033" s="118">
        <v>78</v>
      </c>
      <c r="K1033" s="118">
        <v>14</v>
      </c>
      <c r="L1033" s="122">
        <v>-3.33</v>
      </c>
      <c r="M1033" s="122">
        <v>-2.66</v>
      </c>
      <c r="N1033" s="118">
        <v>-2.9</v>
      </c>
      <c r="O1033" s="123" t="s">
        <v>1747</v>
      </c>
    </row>
    <row r="1034" spans="1:15" ht="28.8">
      <c r="A1034" s="118" t="s">
        <v>3324</v>
      </c>
      <c r="B1034" s="118" t="s">
        <v>1752</v>
      </c>
      <c r="C1034" s="118" t="s">
        <v>1749</v>
      </c>
      <c r="D1034" s="119">
        <v>43909</v>
      </c>
      <c r="E1034" s="118" t="s">
        <v>3188</v>
      </c>
      <c r="F1034" s="118" t="s">
        <v>1784</v>
      </c>
      <c r="G1034" s="124">
        <v>5</v>
      </c>
      <c r="H1034" s="124">
        <v>6</v>
      </c>
      <c r="I1034" s="118">
        <v>10.6</v>
      </c>
      <c r="J1034" s="118">
        <v>87.5</v>
      </c>
      <c r="K1034" s="118">
        <v>15.5</v>
      </c>
      <c r="L1034" s="122">
        <v>-2.57</v>
      </c>
      <c r="M1034" s="122">
        <v>-2.39</v>
      </c>
      <c r="N1034" s="118">
        <v>-1.88</v>
      </c>
      <c r="O1034" s="123" t="s">
        <v>1760</v>
      </c>
    </row>
    <row r="1035" spans="1:15" ht="43.2">
      <c r="A1035" s="118" t="s">
        <v>3325</v>
      </c>
      <c r="B1035" s="118" t="s">
        <v>1743</v>
      </c>
      <c r="C1035" s="118" t="s">
        <v>1744</v>
      </c>
      <c r="D1035" s="119">
        <v>44068</v>
      </c>
      <c r="E1035" s="118" t="s">
        <v>3326</v>
      </c>
      <c r="F1035" s="118" t="s">
        <v>1784</v>
      </c>
      <c r="G1035" s="124">
        <v>1</v>
      </c>
      <c r="H1035" s="124">
        <v>2</v>
      </c>
      <c r="I1035" s="118">
        <v>11</v>
      </c>
      <c r="J1035" s="118">
        <v>83.5</v>
      </c>
      <c r="K1035" s="118"/>
      <c r="L1035" s="122">
        <v>-1.33</v>
      </c>
      <c r="M1035" s="122">
        <v>-2.2799999999999998</v>
      </c>
      <c r="N1035" s="118">
        <v>-0.03</v>
      </c>
      <c r="O1035" s="123" t="s">
        <v>1760</v>
      </c>
    </row>
    <row r="1036" spans="1:15" ht="28.8">
      <c r="A1036" s="118" t="s">
        <v>3327</v>
      </c>
      <c r="B1036" s="118" t="s">
        <v>1752</v>
      </c>
      <c r="C1036" s="118" t="s">
        <v>1749</v>
      </c>
      <c r="D1036" s="119">
        <v>43694</v>
      </c>
      <c r="E1036" s="118" t="s">
        <v>2326</v>
      </c>
      <c r="F1036" s="118" t="s">
        <v>1784</v>
      </c>
      <c r="G1036" s="124">
        <v>7</v>
      </c>
      <c r="H1036" s="124">
        <v>7</v>
      </c>
      <c r="I1036" s="118">
        <v>14.3</v>
      </c>
      <c r="J1036" s="118">
        <v>92.5</v>
      </c>
      <c r="K1036" s="118">
        <v>16.5</v>
      </c>
      <c r="L1036" s="122">
        <v>-0.71</v>
      </c>
      <c r="M1036" s="122">
        <v>-2.06</v>
      </c>
      <c r="N1036" s="118">
        <v>0.74</v>
      </c>
      <c r="O1036" s="123" t="s">
        <v>1760</v>
      </c>
    </row>
    <row r="1037" spans="1:15" ht="28.8">
      <c r="A1037" s="118" t="s">
        <v>3328</v>
      </c>
      <c r="B1037" s="118" t="s">
        <v>1743</v>
      </c>
      <c r="C1037" s="118" t="s">
        <v>1755</v>
      </c>
      <c r="D1037" s="119">
        <v>44443</v>
      </c>
      <c r="E1037" s="118" t="s">
        <v>1798</v>
      </c>
      <c r="F1037" s="118" t="s">
        <v>1784</v>
      </c>
      <c r="G1037" s="124">
        <v>4</v>
      </c>
      <c r="H1037" s="124">
        <v>5</v>
      </c>
      <c r="I1037" s="118">
        <v>7.9</v>
      </c>
      <c r="J1037" s="118">
        <v>75</v>
      </c>
      <c r="K1037" s="118"/>
      <c r="L1037" s="122">
        <v>-2.38</v>
      </c>
      <c r="M1037" s="122">
        <v>-2.3199999999999998</v>
      </c>
      <c r="N1037" s="118">
        <v>-1.68</v>
      </c>
      <c r="O1037" s="123" t="s">
        <v>1760</v>
      </c>
    </row>
    <row r="1038" spans="1:15" ht="28.8">
      <c r="A1038" s="118" t="s">
        <v>3329</v>
      </c>
      <c r="B1038" s="118" t="s">
        <v>1752</v>
      </c>
      <c r="C1038" s="118" t="s">
        <v>1744</v>
      </c>
      <c r="D1038" s="119">
        <v>44296</v>
      </c>
      <c r="E1038" s="118" t="s">
        <v>3330</v>
      </c>
      <c r="F1038" s="118" t="s">
        <v>1784</v>
      </c>
      <c r="G1038" s="124">
        <v>3</v>
      </c>
      <c r="H1038" s="124">
        <v>1</v>
      </c>
      <c r="I1038" s="118">
        <v>9.1999999999999993</v>
      </c>
      <c r="J1038" s="118">
        <v>70.099999999999994</v>
      </c>
      <c r="K1038" s="118"/>
      <c r="L1038" s="122">
        <v>-2.44</v>
      </c>
      <c r="M1038" s="122">
        <v>-5.8</v>
      </c>
      <c r="N1038" s="118">
        <v>1.02</v>
      </c>
      <c r="O1038" s="123" t="s">
        <v>1757</v>
      </c>
    </row>
    <row r="1039" spans="1:15" ht="28.8">
      <c r="A1039" s="118" t="s">
        <v>3331</v>
      </c>
      <c r="B1039" s="118" t="s">
        <v>1752</v>
      </c>
      <c r="C1039" s="118" t="s">
        <v>1755</v>
      </c>
      <c r="D1039" s="119">
        <v>44370</v>
      </c>
      <c r="E1039" s="118" t="s">
        <v>3332</v>
      </c>
      <c r="F1039" s="118" t="s">
        <v>1784</v>
      </c>
      <c r="G1039" s="124">
        <v>5</v>
      </c>
      <c r="H1039" s="124">
        <v>1</v>
      </c>
      <c r="I1039" s="118">
        <v>9</v>
      </c>
      <c r="J1039" s="118">
        <v>78.3</v>
      </c>
      <c r="K1039" s="118">
        <v>13.5</v>
      </c>
      <c r="L1039" s="122">
        <v>-2.2999999999999998</v>
      </c>
      <c r="M1039" s="122">
        <v>-2.54</v>
      </c>
      <c r="N1039" s="118">
        <v>-1.46</v>
      </c>
      <c r="O1039" s="123" t="s">
        <v>1760</v>
      </c>
    </row>
    <row r="1040" spans="1:15" ht="28.8">
      <c r="A1040" s="118" t="s">
        <v>3333</v>
      </c>
      <c r="B1040" s="118" t="s">
        <v>1752</v>
      </c>
      <c r="C1040" s="118" t="s">
        <v>1744</v>
      </c>
      <c r="D1040" s="119">
        <v>44144</v>
      </c>
      <c r="E1040" s="118" t="s">
        <v>2036</v>
      </c>
      <c r="F1040" s="118" t="s">
        <v>1784</v>
      </c>
      <c r="G1040" s="124">
        <v>2</v>
      </c>
      <c r="H1040" s="124">
        <v>4</v>
      </c>
      <c r="I1040" s="118">
        <v>8.9</v>
      </c>
      <c r="J1040" s="118">
        <v>78.400000000000006</v>
      </c>
      <c r="K1040" s="118">
        <v>13.5</v>
      </c>
      <c r="L1040" s="122">
        <v>-3.31</v>
      </c>
      <c r="M1040" s="122">
        <v>-3.82</v>
      </c>
      <c r="N1040" s="118">
        <v>-1.78</v>
      </c>
      <c r="O1040" s="123" t="s">
        <v>1760</v>
      </c>
    </row>
    <row r="1041" spans="1:15" ht="28.8">
      <c r="A1041" s="118" t="s">
        <v>3334</v>
      </c>
      <c r="B1041" s="118" t="s">
        <v>1743</v>
      </c>
      <c r="C1041" s="118" t="s">
        <v>1749</v>
      </c>
      <c r="D1041" s="119">
        <v>43799</v>
      </c>
      <c r="E1041" s="118" t="s">
        <v>3335</v>
      </c>
      <c r="F1041" s="118" t="s">
        <v>1784</v>
      </c>
      <c r="G1041" s="124">
        <v>4</v>
      </c>
      <c r="H1041" s="124">
        <v>1</v>
      </c>
      <c r="I1041" s="118">
        <v>11.5</v>
      </c>
      <c r="J1041" s="118">
        <v>86.5</v>
      </c>
      <c r="K1041" s="118">
        <v>15.5</v>
      </c>
      <c r="L1041" s="122">
        <v>-1.91</v>
      </c>
      <c r="M1041" s="122">
        <v>-2.88</v>
      </c>
      <c r="N1041" s="118">
        <v>-0.26</v>
      </c>
      <c r="O1041" s="123" t="s">
        <v>1760</v>
      </c>
    </row>
    <row r="1042" spans="1:15" ht="43.2">
      <c r="A1042" s="118" t="s">
        <v>3336</v>
      </c>
      <c r="B1042" s="118" t="s">
        <v>1752</v>
      </c>
      <c r="C1042" s="118" t="s">
        <v>2055</v>
      </c>
      <c r="D1042" s="119">
        <v>45043</v>
      </c>
      <c r="E1042" s="118" t="s">
        <v>2345</v>
      </c>
      <c r="F1042" s="118" t="s">
        <v>1807</v>
      </c>
      <c r="G1042" s="124">
        <v>1</v>
      </c>
      <c r="H1042" s="124">
        <v>3</v>
      </c>
      <c r="I1042" s="118">
        <v>2.9</v>
      </c>
      <c r="J1042" s="118">
        <v>49</v>
      </c>
      <c r="K1042" s="118"/>
      <c r="L1042" s="122">
        <v>-2.82</v>
      </c>
      <c r="M1042" s="122">
        <v>-2.35</v>
      </c>
      <c r="N1042" s="118">
        <v>-1.37</v>
      </c>
      <c r="O1042" s="123" t="s">
        <v>1760</v>
      </c>
    </row>
    <row r="1043" spans="1:15" ht="57.6">
      <c r="A1043" s="118" t="s">
        <v>3337</v>
      </c>
      <c r="B1043" s="118" t="s">
        <v>1743</v>
      </c>
      <c r="C1043" s="118" t="s">
        <v>1749</v>
      </c>
      <c r="D1043" s="119">
        <v>43664</v>
      </c>
      <c r="E1043" s="118" t="s">
        <v>3338</v>
      </c>
      <c r="F1043" s="118" t="s">
        <v>1807</v>
      </c>
      <c r="G1043" s="124">
        <v>7</v>
      </c>
      <c r="H1043" s="124">
        <v>1</v>
      </c>
      <c r="I1043" s="118">
        <v>9.1</v>
      </c>
      <c r="J1043" s="118">
        <v>81.3</v>
      </c>
      <c r="K1043" s="118">
        <v>13.2</v>
      </c>
      <c r="L1043" s="122">
        <v>-3.24</v>
      </c>
      <c r="M1043" s="122">
        <v>-3.31</v>
      </c>
      <c r="N1043" s="118">
        <v>-1.67</v>
      </c>
      <c r="O1043" s="123" t="s">
        <v>1760</v>
      </c>
    </row>
    <row r="1044" spans="1:15" ht="43.2">
      <c r="A1044" s="118" t="s">
        <v>3339</v>
      </c>
      <c r="B1044" s="118" t="s">
        <v>1752</v>
      </c>
      <c r="C1044" s="118" t="s">
        <v>1749</v>
      </c>
      <c r="D1044" s="119">
        <v>43669</v>
      </c>
      <c r="E1044" s="118" t="s">
        <v>3262</v>
      </c>
      <c r="F1044" s="118" t="s">
        <v>1807</v>
      </c>
      <c r="G1044" s="124">
        <v>7</v>
      </c>
      <c r="H1044" s="124">
        <v>1</v>
      </c>
      <c r="I1044" s="118">
        <v>10.199999999999999</v>
      </c>
      <c r="J1044" s="118">
        <v>86.4</v>
      </c>
      <c r="K1044" s="118">
        <v>15.5</v>
      </c>
      <c r="L1044" s="122">
        <v>-2.64</v>
      </c>
      <c r="M1044" s="122">
        <v>-2.4700000000000002</v>
      </c>
      <c r="N1044" s="118">
        <v>-1.89</v>
      </c>
      <c r="O1044" s="123" t="s">
        <v>1760</v>
      </c>
    </row>
    <row r="1045" spans="1:15" ht="43.2">
      <c r="A1045" s="118" t="s">
        <v>3340</v>
      </c>
      <c r="B1045" s="118" t="s">
        <v>1752</v>
      </c>
      <c r="C1045" s="118" t="s">
        <v>1749</v>
      </c>
      <c r="D1045" s="119">
        <v>43892</v>
      </c>
      <c r="E1045" s="118" t="s">
        <v>2843</v>
      </c>
      <c r="F1045" s="118" t="s">
        <v>1807</v>
      </c>
      <c r="G1045" s="124">
        <v>4</v>
      </c>
      <c r="H1045" s="124">
        <v>4</v>
      </c>
      <c r="I1045" s="118">
        <v>10.4</v>
      </c>
      <c r="J1045" s="118">
        <v>81</v>
      </c>
      <c r="K1045" s="118"/>
      <c r="L1045" s="122">
        <v>-1.67</v>
      </c>
      <c r="M1045" s="122">
        <v>-2.52</v>
      </c>
      <c r="N1045" s="118">
        <v>-0.43</v>
      </c>
      <c r="O1045" s="123" t="s">
        <v>1760</v>
      </c>
    </row>
    <row r="1046" spans="1:15" ht="57.6">
      <c r="A1046" s="118" t="s">
        <v>3341</v>
      </c>
      <c r="B1046" s="118" t="s">
        <v>1743</v>
      </c>
      <c r="C1046" s="118" t="s">
        <v>1749</v>
      </c>
      <c r="D1046" s="119">
        <v>43721</v>
      </c>
      <c r="E1046" s="118" t="s">
        <v>2611</v>
      </c>
      <c r="F1046" s="118" t="s">
        <v>1807</v>
      </c>
      <c r="G1046" s="124">
        <v>1</v>
      </c>
      <c r="H1046" s="124">
        <v>4</v>
      </c>
      <c r="I1046" s="118">
        <v>12</v>
      </c>
      <c r="J1046" s="118">
        <v>83</v>
      </c>
      <c r="K1046" s="118"/>
      <c r="L1046" s="122">
        <v>-0.74</v>
      </c>
      <c r="M1046" s="122">
        <v>-2.6</v>
      </c>
      <c r="N1046" s="118">
        <v>1.05</v>
      </c>
      <c r="O1046" s="123" t="s">
        <v>1757</v>
      </c>
    </row>
    <row r="1047" spans="1:15" ht="43.2">
      <c r="A1047" s="118" t="s">
        <v>3342</v>
      </c>
      <c r="B1047" s="118" t="s">
        <v>1752</v>
      </c>
      <c r="C1047" s="118" t="s">
        <v>1749</v>
      </c>
      <c r="D1047" s="119">
        <v>43818</v>
      </c>
      <c r="E1047" s="118" t="s">
        <v>2951</v>
      </c>
      <c r="F1047" s="118" t="s">
        <v>1807</v>
      </c>
      <c r="G1047" s="124">
        <v>2</v>
      </c>
      <c r="H1047" s="124">
        <v>4</v>
      </c>
      <c r="I1047" s="118">
        <v>12.4</v>
      </c>
      <c r="J1047" s="118">
        <v>82</v>
      </c>
      <c r="K1047" s="118"/>
      <c r="L1047" s="122">
        <v>-0.5</v>
      </c>
      <c r="M1047" s="122">
        <v>-2.77</v>
      </c>
      <c r="N1047" s="118">
        <v>1.45</v>
      </c>
      <c r="O1047" s="123" t="s">
        <v>1757</v>
      </c>
    </row>
    <row r="1048" spans="1:15" ht="43.2">
      <c r="A1048" s="118" t="s">
        <v>3343</v>
      </c>
      <c r="B1048" s="118" t="s">
        <v>1752</v>
      </c>
      <c r="C1048" s="118" t="s">
        <v>1749</v>
      </c>
      <c r="D1048" s="119">
        <v>43731</v>
      </c>
      <c r="E1048" s="118" t="s">
        <v>2948</v>
      </c>
      <c r="F1048" s="118" t="s">
        <v>1807</v>
      </c>
      <c r="G1048" s="124">
        <v>8</v>
      </c>
      <c r="H1048" s="124">
        <v>2</v>
      </c>
      <c r="I1048" s="118">
        <v>12.7</v>
      </c>
      <c r="J1048" s="118">
        <v>83</v>
      </c>
      <c r="K1048" s="118"/>
      <c r="L1048" s="122">
        <v>-0.62</v>
      </c>
      <c r="M1048" s="122">
        <v>-2.96</v>
      </c>
      <c r="N1048" s="118">
        <v>1.5</v>
      </c>
      <c r="O1048" s="123" t="s">
        <v>1757</v>
      </c>
    </row>
    <row r="1049" spans="1:15" ht="72">
      <c r="A1049" s="118" t="s">
        <v>3344</v>
      </c>
      <c r="B1049" s="118" t="s">
        <v>1743</v>
      </c>
      <c r="C1049" s="118" t="s">
        <v>1749</v>
      </c>
      <c r="D1049" s="119">
        <v>43652</v>
      </c>
      <c r="E1049" s="118" t="s">
        <v>2977</v>
      </c>
      <c r="F1049" s="118" t="s">
        <v>1746</v>
      </c>
      <c r="G1049" s="124">
        <v>2</v>
      </c>
      <c r="H1049" s="124">
        <v>1</v>
      </c>
      <c r="I1049" s="118">
        <v>12.4</v>
      </c>
      <c r="J1049" s="118">
        <v>84</v>
      </c>
      <c r="K1049" s="118"/>
      <c r="L1049" s="122">
        <v>-0.73</v>
      </c>
      <c r="M1049" s="122">
        <v>-2.69</v>
      </c>
      <c r="N1049" s="118">
        <v>1.17</v>
      </c>
      <c r="O1049" s="123" t="s">
        <v>1757</v>
      </c>
    </row>
    <row r="1050" spans="1:15" ht="43.2">
      <c r="A1050" s="118" t="s">
        <v>3345</v>
      </c>
      <c r="B1050" s="118" t="s">
        <v>1743</v>
      </c>
      <c r="C1050" s="118" t="s">
        <v>1744</v>
      </c>
      <c r="D1050" s="119">
        <v>44231</v>
      </c>
      <c r="E1050" s="118" t="s">
        <v>3267</v>
      </c>
      <c r="F1050" s="118" t="s">
        <v>1746</v>
      </c>
      <c r="G1050" s="124">
        <v>8</v>
      </c>
      <c r="H1050" s="124">
        <v>3</v>
      </c>
      <c r="I1050" s="118">
        <v>9.4</v>
      </c>
      <c r="J1050" s="118">
        <v>68</v>
      </c>
      <c r="K1050" s="118"/>
      <c r="L1050" s="122">
        <v>-0.28000000000000003</v>
      </c>
      <c r="M1050" s="122">
        <v>-3.67</v>
      </c>
      <c r="N1050" s="118">
        <v>2.0499999999999998</v>
      </c>
      <c r="O1050" s="123" t="s">
        <v>2078</v>
      </c>
    </row>
    <row r="1051" spans="1:15" ht="43.2">
      <c r="A1051" s="118" t="s">
        <v>3346</v>
      </c>
      <c r="B1051" s="118" t="s">
        <v>1752</v>
      </c>
      <c r="C1051" s="118" t="s">
        <v>1744</v>
      </c>
      <c r="D1051" s="119">
        <v>43971</v>
      </c>
      <c r="E1051" s="118" t="s">
        <v>3203</v>
      </c>
      <c r="F1051" s="118" t="s">
        <v>1746</v>
      </c>
      <c r="G1051" s="124">
        <v>2</v>
      </c>
      <c r="H1051" s="124">
        <v>4</v>
      </c>
      <c r="I1051" s="118">
        <v>11.6</v>
      </c>
      <c r="J1051" s="118">
        <v>74</v>
      </c>
      <c r="K1051" s="118"/>
      <c r="L1051" s="122">
        <v>-0.43</v>
      </c>
      <c r="M1051" s="122">
        <v>-4.32</v>
      </c>
      <c r="N1051" s="118">
        <v>2.39</v>
      </c>
      <c r="O1051" s="123" t="s">
        <v>2078</v>
      </c>
    </row>
    <row r="1052" spans="1:15" ht="43.2">
      <c r="A1052" s="118" t="s">
        <v>3347</v>
      </c>
      <c r="B1052" s="118" t="s">
        <v>1743</v>
      </c>
      <c r="C1052" s="118" t="s">
        <v>1744</v>
      </c>
      <c r="D1052" s="119">
        <v>44007</v>
      </c>
      <c r="E1052" s="118" t="s">
        <v>2376</v>
      </c>
      <c r="F1052" s="118" t="s">
        <v>1746</v>
      </c>
      <c r="G1052" s="124">
        <v>4</v>
      </c>
      <c r="H1052" s="124">
        <v>1</v>
      </c>
      <c r="I1052" s="118">
        <v>11</v>
      </c>
      <c r="J1052" s="118">
        <v>73</v>
      </c>
      <c r="K1052" s="118"/>
      <c r="L1052" s="122">
        <v>-0.19</v>
      </c>
      <c r="M1052" s="122">
        <v>-3.72</v>
      </c>
      <c r="N1052" s="118">
        <v>2.25</v>
      </c>
      <c r="O1052" s="123" t="s">
        <v>2078</v>
      </c>
    </row>
    <row r="1053" spans="1:15" ht="72">
      <c r="A1053" s="118" t="s">
        <v>3348</v>
      </c>
      <c r="B1053" s="118" t="s">
        <v>1752</v>
      </c>
      <c r="C1053" s="118" t="s">
        <v>1749</v>
      </c>
      <c r="D1053" s="119">
        <v>43840</v>
      </c>
      <c r="E1053" s="118" t="s">
        <v>2970</v>
      </c>
      <c r="F1053" s="118" t="s">
        <v>1746</v>
      </c>
      <c r="G1053" s="124">
        <v>5</v>
      </c>
      <c r="H1053" s="124">
        <v>3</v>
      </c>
      <c r="I1053" s="118">
        <v>11.4</v>
      </c>
      <c r="J1053" s="118">
        <v>74.099999999999994</v>
      </c>
      <c r="K1053" s="118"/>
      <c r="L1053" s="122">
        <v>-1.1299999999999999</v>
      </c>
      <c r="M1053" s="122">
        <v>-5.23</v>
      </c>
      <c r="N1053" s="118">
        <v>2.35</v>
      </c>
      <c r="O1053" s="123" t="s">
        <v>2078</v>
      </c>
    </row>
    <row r="1054" spans="1:15" ht="28.8">
      <c r="A1054" s="118" t="s">
        <v>3349</v>
      </c>
      <c r="B1054" s="118" t="s">
        <v>1743</v>
      </c>
      <c r="C1054" s="118" t="s">
        <v>1749</v>
      </c>
      <c r="D1054" s="119">
        <v>43845</v>
      </c>
      <c r="E1054" s="118" t="s">
        <v>2354</v>
      </c>
      <c r="F1054" s="118" t="s">
        <v>1746</v>
      </c>
      <c r="G1054" s="124">
        <v>1</v>
      </c>
      <c r="H1054" s="124">
        <v>7</v>
      </c>
      <c r="I1054" s="118">
        <v>11.7</v>
      </c>
      <c r="J1054" s="118">
        <v>73.900000000000006</v>
      </c>
      <c r="K1054" s="118"/>
      <c r="L1054" s="122">
        <v>-0.44</v>
      </c>
      <c r="M1054" s="122">
        <v>-4.68</v>
      </c>
      <c r="N1054" s="118">
        <v>2.83</v>
      </c>
      <c r="O1054" s="123" t="s">
        <v>2078</v>
      </c>
    </row>
    <row r="1055" spans="1:15" ht="43.2">
      <c r="A1055" s="118" t="s">
        <v>3350</v>
      </c>
      <c r="B1055" s="118" t="s">
        <v>1743</v>
      </c>
      <c r="C1055" s="118" t="s">
        <v>1749</v>
      </c>
      <c r="D1055" s="119">
        <v>43885</v>
      </c>
      <c r="E1055" s="118" t="s">
        <v>3274</v>
      </c>
      <c r="F1055" s="118" t="s">
        <v>1769</v>
      </c>
      <c r="G1055" s="124">
        <v>3</v>
      </c>
      <c r="H1055" s="124">
        <v>1</v>
      </c>
      <c r="I1055" s="118">
        <v>11.5</v>
      </c>
      <c r="J1055" s="118">
        <v>73</v>
      </c>
      <c r="K1055" s="118"/>
      <c r="L1055" s="122">
        <v>-0.4</v>
      </c>
      <c r="M1055" s="122">
        <v>-4.72</v>
      </c>
      <c r="N1055" s="118">
        <v>2.85</v>
      </c>
      <c r="O1055" s="123" t="s">
        <v>2078</v>
      </c>
    </row>
    <row r="1056" spans="1:15" ht="43.2">
      <c r="A1056" s="118" t="s">
        <v>3351</v>
      </c>
      <c r="B1056" s="118" t="s">
        <v>1743</v>
      </c>
      <c r="C1056" s="118" t="s">
        <v>1749</v>
      </c>
      <c r="D1056" s="119">
        <v>43908</v>
      </c>
      <c r="E1056" s="118" t="s">
        <v>1924</v>
      </c>
      <c r="F1056" s="118" t="s">
        <v>1769</v>
      </c>
      <c r="G1056" s="124">
        <v>4</v>
      </c>
      <c r="H1056" s="124">
        <v>8</v>
      </c>
      <c r="I1056" s="118">
        <v>11.4</v>
      </c>
      <c r="J1056" s="118">
        <v>73</v>
      </c>
      <c r="K1056" s="118"/>
      <c r="L1056" s="122">
        <v>-0.37</v>
      </c>
      <c r="M1056" s="122">
        <v>-4.58</v>
      </c>
      <c r="N1056" s="118">
        <v>2.77</v>
      </c>
      <c r="O1056" s="123" t="s">
        <v>2078</v>
      </c>
    </row>
    <row r="1057" spans="1:15" ht="43.2">
      <c r="A1057" s="118" t="s">
        <v>3352</v>
      </c>
      <c r="B1057" s="118" t="s">
        <v>1752</v>
      </c>
      <c r="C1057" s="118" t="s">
        <v>1749</v>
      </c>
      <c r="D1057" s="119">
        <v>43917</v>
      </c>
      <c r="E1057" s="118" t="s">
        <v>2408</v>
      </c>
      <c r="F1057" s="118" t="s">
        <v>1769</v>
      </c>
      <c r="G1057" s="124">
        <v>8</v>
      </c>
      <c r="H1057" s="124">
        <v>1</v>
      </c>
      <c r="I1057" s="118">
        <v>11.9</v>
      </c>
      <c r="J1057" s="118">
        <v>74.099999999999994</v>
      </c>
      <c r="K1057" s="118"/>
      <c r="L1057" s="122">
        <v>-0.44</v>
      </c>
      <c r="M1057" s="122">
        <v>-4.83</v>
      </c>
      <c r="N1057" s="118">
        <v>2.83</v>
      </c>
      <c r="O1057" s="123" t="s">
        <v>2078</v>
      </c>
    </row>
    <row r="1058" spans="1:15" ht="43.2">
      <c r="A1058" s="118" t="s">
        <v>3353</v>
      </c>
      <c r="B1058" s="118" t="s">
        <v>1752</v>
      </c>
      <c r="C1058" s="118" t="s">
        <v>1744</v>
      </c>
      <c r="D1058" s="119">
        <v>43952</v>
      </c>
      <c r="E1058" s="118" t="s">
        <v>2999</v>
      </c>
      <c r="F1058" s="118" t="s">
        <v>1769</v>
      </c>
      <c r="G1058" s="124">
        <v>8</v>
      </c>
      <c r="H1058" s="124">
        <v>5</v>
      </c>
      <c r="I1058" s="118">
        <v>11.7</v>
      </c>
      <c r="J1058" s="118">
        <v>73.599999999999994</v>
      </c>
      <c r="K1058" s="118"/>
      <c r="L1058" s="122">
        <v>-0.44</v>
      </c>
      <c r="M1058" s="122">
        <v>-4.79</v>
      </c>
      <c r="N1058" s="118">
        <v>2.77</v>
      </c>
      <c r="O1058" s="123" t="s">
        <v>2078</v>
      </c>
    </row>
    <row r="1059" spans="1:15" ht="43.2">
      <c r="A1059" s="118" t="s">
        <v>3354</v>
      </c>
      <c r="B1059" s="118" t="s">
        <v>1752</v>
      </c>
      <c r="C1059" s="118" t="s">
        <v>1744</v>
      </c>
      <c r="D1059" s="119">
        <v>43952</v>
      </c>
      <c r="E1059" s="118" t="s">
        <v>2742</v>
      </c>
      <c r="F1059" s="118" t="s">
        <v>1769</v>
      </c>
      <c r="G1059" s="124">
        <v>4</v>
      </c>
      <c r="H1059" s="124">
        <v>1</v>
      </c>
      <c r="I1059" s="118">
        <v>11.4</v>
      </c>
      <c r="J1059" s="118">
        <v>73.2</v>
      </c>
      <c r="K1059" s="118"/>
      <c r="L1059" s="122">
        <v>-0.66</v>
      </c>
      <c r="M1059" s="122">
        <v>-4.92</v>
      </c>
      <c r="N1059" s="118">
        <v>2.58</v>
      </c>
      <c r="O1059" s="123" t="s">
        <v>2078</v>
      </c>
    </row>
    <row r="1060" spans="1:15" ht="43.2">
      <c r="A1060" s="118" t="s">
        <v>3355</v>
      </c>
      <c r="B1060" s="118" t="s">
        <v>1752</v>
      </c>
      <c r="C1060" s="118" t="s">
        <v>1744</v>
      </c>
      <c r="D1060" s="119">
        <v>44027</v>
      </c>
      <c r="E1060" s="118" t="s">
        <v>2158</v>
      </c>
      <c r="F1060" s="118" t="s">
        <v>1769</v>
      </c>
      <c r="G1060" s="124">
        <v>1</v>
      </c>
      <c r="H1060" s="124">
        <v>2</v>
      </c>
      <c r="I1060" s="118">
        <v>12</v>
      </c>
      <c r="J1060" s="118">
        <v>73.2</v>
      </c>
      <c r="K1060" s="118"/>
      <c r="L1060" s="122">
        <v>0.14000000000000001</v>
      </c>
      <c r="M1060" s="122">
        <v>-4.4400000000000004</v>
      </c>
      <c r="N1060" s="118">
        <v>3.16</v>
      </c>
      <c r="O1060" s="123" t="s">
        <v>2170</v>
      </c>
    </row>
    <row r="1061" spans="1:15" ht="43.2">
      <c r="A1061" s="118" t="s">
        <v>3356</v>
      </c>
      <c r="B1061" s="118" t="s">
        <v>1752</v>
      </c>
      <c r="C1061" s="118" t="s">
        <v>1744</v>
      </c>
      <c r="D1061" s="119">
        <v>44035</v>
      </c>
      <c r="E1061" s="118" t="s">
        <v>2099</v>
      </c>
      <c r="F1061" s="118" t="s">
        <v>1769</v>
      </c>
      <c r="G1061" s="124">
        <v>9</v>
      </c>
      <c r="H1061" s="124">
        <v>5</v>
      </c>
      <c r="I1061" s="118">
        <v>11.9</v>
      </c>
      <c r="J1061" s="118">
        <v>73.099999999999994</v>
      </c>
      <c r="K1061" s="118"/>
      <c r="L1061" s="122">
        <v>0.11</v>
      </c>
      <c r="M1061" s="122">
        <v>-4.42</v>
      </c>
      <c r="N1061" s="118">
        <v>3.09</v>
      </c>
      <c r="O1061" s="123" t="s">
        <v>2170</v>
      </c>
    </row>
    <row r="1062" spans="1:15" ht="43.2">
      <c r="A1062" s="118" t="s">
        <v>3357</v>
      </c>
      <c r="B1062" s="118" t="s">
        <v>1752</v>
      </c>
      <c r="C1062" s="118" t="s">
        <v>1744</v>
      </c>
      <c r="D1062" s="119">
        <v>44048</v>
      </c>
      <c r="E1062" s="118" t="s">
        <v>2219</v>
      </c>
      <c r="F1062" s="118" t="s">
        <v>1769</v>
      </c>
      <c r="G1062" s="124">
        <v>1</v>
      </c>
      <c r="H1062" s="124">
        <v>11</v>
      </c>
      <c r="I1062" s="118">
        <v>11</v>
      </c>
      <c r="J1062" s="118">
        <v>74.2</v>
      </c>
      <c r="K1062" s="118"/>
      <c r="L1062" s="122">
        <v>-0.52</v>
      </c>
      <c r="M1062" s="122">
        <v>-3.94</v>
      </c>
      <c r="N1062" s="118">
        <v>1.92</v>
      </c>
      <c r="O1062" s="123" t="s">
        <v>1757</v>
      </c>
    </row>
    <row r="1063" spans="1:15" ht="43.2">
      <c r="A1063" s="118" t="s">
        <v>3358</v>
      </c>
      <c r="B1063" s="118" t="s">
        <v>1752</v>
      </c>
      <c r="C1063" s="118" t="s">
        <v>1744</v>
      </c>
      <c r="D1063" s="119">
        <v>44068</v>
      </c>
      <c r="E1063" s="118" t="s">
        <v>2499</v>
      </c>
      <c r="F1063" s="118" t="s">
        <v>1769</v>
      </c>
      <c r="G1063" s="124">
        <v>6</v>
      </c>
      <c r="H1063" s="124">
        <v>5</v>
      </c>
      <c r="I1063" s="118">
        <v>11.6</v>
      </c>
      <c r="J1063" s="118">
        <v>72.900000000000006</v>
      </c>
      <c r="K1063" s="118"/>
      <c r="L1063" s="122">
        <v>0.05</v>
      </c>
      <c r="M1063" s="122">
        <v>-4.24</v>
      </c>
      <c r="N1063" s="118">
        <v>2.86</v>
      </c>
      <c r="O1063" s="123" t="s">
        <v>2078</v>
      </c>
    </row>
    <row r="1064" spans="1:15" ht="72">
      <c r="A1064" s="118" t="s">
        <v>3359</v>
      </c>
      <c r="B1064" s="118" t="s">
        <v>1743</v>
      </c>
      <c r="C1064" s="118" t="s">
        <v>1744</v>
      </c>
      <c r="D1064" s="119">
        <v>44104</v>
      </c>
      <c r="E1064" s="118" t="s">
        <v>2656</v>
      </c>
      <c r="F1064" s="118" t="s">
        <v>1769</v>
      </c>
      <c r="G1064" s="124">
        <v>4</v>
      </c>
      <c r="H1064" s="124">
        <v>1</v>
      </c>
      <c r="I1064" s="118">
        <v>12.7</v>
      </c>
      <c r="J1064" s="118">
        <v>73.400000000000006</v>
      </c>
      <c r="K1064" s="118"/>
      <c r="L1064" s="122">
        <v>1.44</v>
      </c>
      <c r="M1064" s="122">
        <v>-3.02</v>
      </c>
      <c r="N1064" s="118">
        <v>3.84</v>
      </c>
      <c r="O1064" s="123" t="s">
        <v>2170</v>
      </c>
    </row>
    <row r="1065" spans="1:15" ht="57.6">
      <c r="A1065" s="118" t="s">
        <v>3360</v>
      </c>
      <c r="B1065" s="118" t="s">
        <v>1743</v>
      </c>
      <c r="C1065" s="118" t="s">
        <v>1744</v>
      </c>
      <c r="D1065" s="119">
        <v>44111</v>
      </c>
      <c r="E1065" s="118" t="s">
        <v>2636</v>
      </c>
      <c r="F1065" s="118" t="s">
        <v>1769</v>
      </c>
      <c r="G1065" s="124">
        <v>8</v>
      </c>
      <c r="H1065" s="124">
        <v>1</v>
      </c>
      <c r="I1065" s="118">
        <v>12</v>
      </c>
      <c r="J1065" s="118">
        <v>73.2</v>
      </c>
      <c r="K1065" s="118"/>
      <c r="L1065" s="122">
        <v>1.03</v>
      </c>
      <c r="M1065" s="122">
        <v>-3.02</v>
      </c>
      <c r="N1065" s="118">
        <v>3.25</v>
      </c>
      <c r="O1065" s="123" t="s">
        <v>2170</v>
      </c>
    </row>
    <row r="1066" spans="1:15" ht="43.2">
      <c r="A1066" s="118" t="s">
        <v>3361</v>
      </c>
      <c r="B1066" s="118" t="s">
        <v>1743</v>
      </c>
      <c r="C1066" s="118" t="s">
        <v>1744</v>
      </c>
      <c r="D1066" s="119">
        <v>44131</v>
      </c>
      <c r="E1066" s="118" t="s">
        <v>2495</v>
      </c>
      <c r="F1066" s="118" t="s">
        <v>1769</v>
      </c>
      <c r="G1066" s="124">
        <v>6</v>
      </c>
      <c r="H1066" s="124">
        <v>5</v>
      </c>
      <c r="I1066" s="118">
        <v>11.8</v>
      </c>
      <c r="J1066" s="118">
        <v>73.7</v>
      </c>
      <c r="K1066" s="118"/>
      <c r="L1066" s="122">
        <v>1</v>
      </c>
      <c r="M1066" s="122">
        <v>-2.67</v>
      </c>
      <c r="N1066" s="118">
        <v>2.96</v>
      </c>
      <c r="O1066" s="123" t="s">
        <v>2078</v>
      </c>
    </row>
    <row r="1067" spans="1:15" ht="43.2">
      <c r="A1067" s="118" t="s">
        <v>3362</v>
      </c>
      <c r="B1067" s="118" t="s">
        <v>1752</v>
      </c>
      <c r="C1067" s="118" t="s">
        <v>1744</v>
      </c>
      <c r="D1067" s="119">
        <v>44180</v>
      </c>
      <c r="E1067" s="118" t="s">
        <v>3363</v>
      </c>
      <c r="F1067" s="118" t="s">
        <v>1769</v>
      </c>
      <c r="G1067" s="124">
        <v>9</v>
      </c>
      <c r="H1067" s="124">
        <v>5</v>
      </c>
      <c r="I1067" s="118">
        <v>11.2</v>
      </c>
      <c r="J1067" s="118">
        <v>73.599999999999994</v>
      </c>
      <c r="K1067" s="118"/>
      <c r="L1067" s="122">
        <v>0.34</v>
      </c>
      <c r="M1067" s="122">
        <v>-2.98</v>
      </c>
      <c r="N1067" s="118">
        <v>2.2799999999999998</v>
      </c>
      <c r="O1067" s="123" t="s">
        <v>2078</v>
      </c>
    </row>
    <row r="1068" spans="1:15" ht="43.2">
      <c r="A1068" s="118" t="s">
        <v>3364</v>
      </c>
      <c r="B1068" s="118" t="s">
        <v>1743</v>
      </c>
      <c r="C1068" s="118" t="s">
        <v>1744</v>
      </c>
      <c r="D1068" s="119">
        <v>44259</v>
      </c>
      <c r="E1068" s="118" t="s">
        <v>3143</v>
      </c>
      <c r="F1068" s="118" t="s">
        <v>1774</v>
      </c>
      <c r="G1068" s="124">
        <v>2</v>
      </c>
      <c r="H1068" s="124">
        <v>5</v>
      </c>
      <c r="I1068" s="118">
        <v>10.199999999999999</v>
      </c>
      <c r="J1068" s="118">
        <v>68.7</v>
      </c>
      <c r="K1068" s="118"/>
      <c r="L1068" s="122">
        <v>0.55000000000000004</v>
      </c>
      <c r="M1068" s="122">
        <v>-3.1</v>
      </c>
      <c r="N1068" s="118">
        <v>2.69</v>
      </c>
      <c r="O1068" s="123" t="s">
        <v>2078</v>
      </c>
    </row>
    <row r="1069" spans="1:15" ht="43.2">
      <c r="A1069" s="118" t="s">
        <v>3365</v>
      </c>
      <c r="B1069" s="118" t="s">
        <v>1743</v>
      </c>
      <c r="C1069" s="118" t="s">
        <v>1744</v>
      </c>
      <c r="D1069" s="119">
        <v>44285</v>
      </c>
      <c r="E1069" s="118" t="s">
        <v>3040</v>
      </c>
      <c r="F1069" s="118" t="s">
        <v>1774</v>
      </c>
      <c r="G1069" s="124">
        <v>1</v>
      </c>
      <c r="H1069" s="124">
        <v>8</v>
      </c>
      <c r="I1069" s="118">
        <v>9.5</v>
      </c>
      <c r="J1069" s="118">
        <v>68</v>
      </c>
      <c r="K1069" s="118"/>
      <c r="L1069" s="122">
        <v>0.13</v>
      </c>
      <c r="M1069" s="122">
        <v>-3.05</v>
      </c>
      <c r="N1069" s="118">
        <v>2.16</v>
      </c>
      <c r="O1069" s="123" t="s">
        <v>2078</v>
      </c>
    </row>
    <row r="1070" spans="1:15" ht="43.2">
      <c r="A1070" s="118" t="s">
        <v>3366</v>
      </c>
      <c r="B1070" s="118" t="s">
        <v>1752</v>
      </c>
      <c r="C1070" s="118" t="s">
        <v>1755</v>
      </c>
      <c r="D1070" s="119">
        <v>44314</v>
      </c>
      <c r="E1070" s="118" t="s">
        <v>3367</v>
      </c>
      <c r="F1070" s="118" t="s">
        <v>1777</v>
      </c>
      <c r="G1070" s="124">
        <v>2</v>
      </c>
      <c r="H1070" s="124">
        <v>8</v>
      </c>
      <c r="I1070" s="118">
        <v>9.1</v>
      </c>
      <c r="J1070" s="118">
        <v>65.3</v>
      </c>
      <c r="K1070" s="118"/>
      <c r="L1070" s="122">
        <v>-0.71</v>
      </c>
      <c r="M1070" s="122">
        <v>-4.7300000000000004</v>
      </c>
      <c r="N1070" s="118">
        <v>2.52</v>
      </c>
      <c r="O1070" s="123" t="s">
        <v>2078</v>
      </c>
    </row>
    <row r="1071" spans="1:15" ht="43.2">
      <c r="A1071" s="118" t="s">
        <v>3368</v>
      </c>
      <c r="B1071" s="118" t="s">
        <v>1743</v>
      </c>
      <c r="C1071" s="118" t="s">
        <v>1755</v>
      </c>
      <c r="D1071" s="119">
        <v>44319</v>
      </c>
      <c r="E1071" s="118" t="s">
        <v>2509</v>
      </c>
      <c r="F1071" s="118" t="s">
        <v>1777</v>
      </c>
      <c r="G1071" s="124">
        <v>2</v>
      </c>
      <c r="H1071" s="124">
        <v>10</v>
      </c>
      <c r="I1071" s="118">
        <v>9.4</v>
      </c>
      <c r="J1071" s="118">
        <v>64.2</v>
      </c>
      <c r="K1071" s="118"/>
      <c r="L1071" s="122">
        <v>0.26</v>
      </c>
      <c r="M1071" s="122">
        <v>-4.07</v>
      </c>
      <c r="N1071" s="118">
        <v>3.22</v>
      </c>
      <c r="O1071" s="123" t="s">
        <v>2170</v>
      </c>
    </row>
    <row r="1072" spans="1:15" ht="43.2">
      <c r="A1072" s="118" t="s">
        <v>3369</v>
      </c>
      <c r="B1072" s="118" t="s">
        <v>1743</v>
      </c>
      <c r="C1072" s="118" t="s">
        <v>1755</v>
      </c>
      <c r="D1072" s="119">
        <v>44322</v>
      </c>
      <c r="E1072" s="118" t="s">
        <v>3157</v>
      </c>
      <c r="F1072" s="118" t="s">
        <v>1777</v>
      </c>
      <c r="G1072" s="124">
        <v>1</v>
      </c>
      <c r="H1072" s="124">
        <v>13</v>
      </c>
      <c r="I1072" s="118">
        <v>9.5</v>
      </c>
      <c r="J1072" s="118">
        <v>64.3</v>
      </c>
      <c r="K1072" s="118"/>
      <c r="L1072" s="122">
        <v>0.37</v>
      </c>
      <c r="M1072" s="122">
        <v>-4</v>
      </c>
      <c r="N1072" s="118">
        <v>3.3</v>
      </c>
      <c r="O1072" s="123" t="s">
        <v>2170</v>
      </c>
    </row>
    <row r="1073" spans="1:15" ht="43.2">
      <c r="A1073" s="118" t="s">
        <v>3370</v>
      </c>
      <c r="B1073" s="118" t="s">
        <v>1743</v>
      </c>
      <c r="C1073" s="118" t="s">
        <v>1749</v>
      </c>
      <c r="D1073" s="119">
        <v>43852</v>
      </c>
      <c r="E1073" s="118" t="s">
        <v>2898</v>
      </c>
      <c r="F1073" s="118" t="s">
        <v>1777</v>
      </c>
      <c r="G1073" s="124">
        <v>5</v>
      </c>
      <c r="H1073" s="124">
        <v>1</v>
      </c>
      <c r="I1073" s="118">
        <v>11.6</v>
      </c>
      <c r="J1073" s="118">
        <v>72.900000000000006</v>
      </c>
      <c r="K1073" s="118"/>
      <c r="L1073" s="122">
        <v>-0.45</v>
      </c>
      <c r="M1073" s="122">
        <v>-4.9000000000000004</v>
      </c>
      <c r="N1073" s="118">
        <v>2.96</v>
      </c>
      <c r="O1073" s="123" t="s">
        <v>2078</v>
      </c>
    </row>
    <row r="1074" spans="1:15" ht="43.2">
      <c r="A1074" s="118" t="s">
        <v>3371</v>
      </c>
      <c r="B1074" s="118" t="s">
        <v>1752</v>
      </c>
      <c r="C1074" s="118" t="s">
        <v>1749</v>
      </c>
      <c r="D1074" s="119">
        <v>43932</v>
      </c>
      <c r="E1074" s="118" t="s">
        <v>2513</v>
      </c>
      <c r="F1074" s="118" t="s">
        <v>1777</v>
      </c>
      <c r="G1074" s="124">
        <v>3</v>
      </c>
      <c r="H1074" s="124">
        <v>10</v>
      </c>
      <c r="I1074" s="118">
        <v>11.5</v>
      </c>
      <c r="J1074" s="118">
        <v>73.7</v>
      </c>
      <c r="K1074" s="118"/>
      <c r="L1074" s="122">
        <v>-0.65</v>
      </c>
      <c r="M1074" s="122">
        <v>-4.84</v>
      </c>
      <c r="N1074" s="118">
        <v>2.5499999999999998</v>
      </c>
      <c r="O1074" s="123" t="s">
        <v>2078</v>
      </c>
    </row>
    <row r="1075" spans="1:15" ht="57.6">
      <c r="A1075" s="118" t="s">
        <v>3372</v>
      </c>
      <c r="B1075" s="118" t="s">
        <v>1752</v>
      </c>
      <c r="C1075" s="118" t="s">
        <v>1744</v>
      </c>
      <c r="D1075" s="119">
        <v>43994</v>
      </c>
      <c r="E1075" s="118" t="s">
        <v>3153</v>
      </c>
      <c r="F1075" s="118" t="s">
        <v>1777</v>
      </c>
      <c r="G1075" s="124">
        <v>4</v>
      </c>
      <c r="H1075" s="124">
        <v>2</v>
      </c>
      <c r="I1075" s="118">
        <v>12</v>
      </c>
      <c r="J1075" s="118">
        <v>73.2</v>
      </c>
      <c r="K1075" s="118"/>
      <c r="L1075" s="122">
        <v>0.01</v>
      </c>
      <c r="M1075" s="122">
        <v>-4.62</v>
      </c>
      <c r="N1075" s="118">
        <v>3.16</v>
      </c>
      <c r="O1075" s="123" t="s">
        <v>2170</v>
      </c>
    </row>
    <row r="1076" spans="1:15" ht="43.2">
      <c r="A1076" s="118" t="s">
        <v>3373</v>
      </c>
      <c r="B1076" s="118" t="s">
        <v>1743</v>
      </c>
      <c r="C1076" s="118" t="s">
        <v>1744</v>
      </c>
      <c r="D1076" s="119">
        <v>44041</v>
      </c>
      <c r="E1076" s="118" t="s">
        <v>2019</v>
      </c>
      <c r="F1076" s="118" t="s">
        <v>1777</v>
      </c>
      <c r="G1076" s="124">
        <v>1</v>
      </c>
      <c r="H1076" s="124">
        <v>15</v>
      </c>
      <c r="I1076" s="118">
        <v>11</v>
      </c>
      <c r="J1076" s="118">
        <v>73.7</v>
      </c>
      <c r="K1076" s="118"/>
      <c r="L1076" s="122">
        <v>0.01</v>
      </c>
      <c r="M1076" s="122">
        <v>-3.4</v>
      </c>
      <c r="N1076" s="118">
        <v>2.25</v>
      </c>
      <c r="O1076" s="123" t="s">
        <v>2078</v>
      </c>
    </row>
    <row r="1077" spans="1:15" ht="43.2">
      <c r="A1077" s="118" t="s">
        <v>3374</v>
      </c>
      <c r="B1077" s="118" t="s">
        <v>1752</v>
      </c>
      <c r="C1077" s="118" t="s">
        <v>1744</v>
      </c>
      <c r="D1077" s="119">
        <v>44093</v>
      </c>
      <c r="E1077" s="118" t="s">
        <v>3375</v>
      </c>
      <c r="F1077" s="118" t="s">
        <v>1777</v>
      </c>
      <c r="G1077" s="124">
        <v>3</v>
      </c>
      <c r="H1077" s="124">
        <v>9</v>
      </c>
      <c r="I1077" s="118">
        <v>11.7</v>
      </c>
      <c r="J1077" s="118">
        <v>73.2</v>
      </c>
      <c r="K1077" s="118"/>
      <c r="L1077" s="122">
        <v>0.28999999999999998</v>
      </c>
      <c r="M1077" s="122">
        <v>-3.89</v>
      </c>
      <c r="N1077" s="118">
        <v>2.87</v>
      </c>
      <c r="O1077" s="123" t="s">
        <v>2078</v>
      </c>
    </row>
    <row r="1078" spans="1:15" ht="43.2">
      <c r="A1078" s="118" t="s">
        <v>3376</v>
      </c>
      <c r="B1078" s="118" t="s">
        <v>1752</v>
      </c>
      <c r="C1078" s="118" t="s">
        <v>1744</v>
      </c>
      <c r="D1078" s="119">
        <v>44186</v>
      </c>
      <c r="E1078" s="118" t="s">
        <v>1891</v>
      </c>
      <c r="F1078" s="118" t="s">
        <v>1777</v>
      </c>
      <c r="G1078" s="124">
        <v>1</v>
      </c>
      <c r="H1078" s="124">
        <v>13</v>
      </c>
      <c r="I1078" s="118">
        <v>11.4</v>
      </c>
      <c r="J1078" s="118">
        <v>73.400000000000006</v>
      </c>
      <c r="K1078" s="118"/>
      <c r="L1078" s="122">
        <v>0.56999999999999995</v>
      </c>
      <c r="M1078" s="122">
        <v>-2.93</v>
      </c>
      <c r="N1078" s="118">
        <v>2.5299999999999998</v>
      </c>
      <c r="O1078" s="123" t="s">
        <v>2078</v>
      </c>
    </row>
    <row r="1079" spans="1:15" ht="43.2">
      <c r="A1079" s="118" t="s">
        <v>3377</v>
      </c>
      <c r="B1079" s="118" t="s">
        <v>1752</v>
      </c>
      <c r="C1079" s="118" t="s">
        <v>1744</v>
      </c>
      <c r="D1079" s="119">
        <v>44224</v>
      </c>
      <c r="E1079" s="118" t="s">
        <v>2905</v>
      </c>
      <c r="F1079" s="118" t="s">
        <v>1777</v>
      </c>
      <c r="G1079" s="124">
        <v>1</v>
      </c>
      <c r="H1079" s="124">
        <v>15</v>
      </c>
      <c r="I1079" s="118">
        <v>10.199999999999999</v>
      </c>
      <c r="J1079" s="118">
        <v>70</v>
      </c>
      <c r="K1079" s="118"/>
      <c r="L1079" s="122">
        <v>-0.21</v>
      </c>
      <c r="M1079" s="122">
        <v>-3.82</v>
      </c>
      <c r="N1079" s="118">
        <v>2.25</v>
      </c>
      <c r="O1079" s="123" t="s">
        <v>2078</v>
      </c>
    </row>
    <row r="1080" spans="1:15" ht="43.2">
      <c r="A1080" s="118" t="s">
        <v>3378</v>
      </c>
      <c r="B1080" s="118" t="s">
        <v>1743</v>
      </c>
      <c r="C1080" s="118" t="s">
        <v>1744</v>
      </c>
      <c r="D1080" s="119">
        <v>44306</v>
      </c>
      <c r="E1080" s="118" t="s">
        <v>3379</v>
      </c>
      <c r="F1080" s="118" t="s">
        <v>1777</v>
      </c>
      <c r="G1080" s="124">
        <v>3</v>
      </c>
      <c r="H1080" s="124">
        <v>15</v>
      </c>
      <c r="I1080" s="118">
        <v>9.8000000000000007</v>
      </c>
      <c r="J1080" s="118">
        <v>68.7</v>
      </c>
      <c r="K1080" s="118"/>
      <c r="L1080" s="122">
        <v>0.55000000000000004</v>
      </c>
      <c r="M1080" s="122">
        <v>-2.44</v>
      </c>
      <c r="N1080" s="118">
        <v>2.29</v>
      </c>
      <c r="O1080" s="123" t="s">
        <v>2078</v>
      </c>
    </row>
    <row r="1081" spans="1:15" ht="57.6">
      <c r="A1081" s="118" t="s">
        <v>3380</v>
      </c>
      <c r="B1081" s="118" t="s">
        <v>1752</v>
      </c>
      <c r="C1081" s="118" t="s">
        <v>1755</v>
      </c>
      <c r="D1081" s="119">
        <v>44481</v>
      </c>
      <c r="E1081" s="118" t="s">
        <v>2569</v>
      </c>
      <c r="F1081" s="118" t="s">
        <v>2190</v>
      </c>
      <c r="G1081" s="124">
        <v>3</v>
      </c>
      <c r="H1081" s="124">
        <v>1</v>
      </c>
      <c r="I1081" s="118">
        <v>8.4</v>
      </c>
      <c r="J1081" s="118">
        <v>65</v>
      </c>
      <c r="K1081" s="118"/>
      <c r="L1081" s="122">
        <v>0.05</v>
      </c>
      <c r="M1081" s="122">
        <v>-2.02</v>
      </c>
      <c r="N1081" s="118">
        <v>1.72</v>
      </c>
      <c r="O1081" s="123" t="s">
        <v>1757</v>
      </c>
    </row>
    <row r="1082" spans="1:15" ht="43.2">
      <c r="A1082" s="118" t="s">
        <v>3381</v>
      </c>
      <c r="B1082" s="118" t="s">
        <v>1752</v>
      </c>
      <c r="C1082" s="118" t="s">
        <v>1755</v>
      </c>
      <c r="D1082" s="119">
        <v>44442</v>
      </c>
      <c r="E1082" s="118" t="s">
        <v>3076</v>
      </c>
      <c r="F1082" s="118" t="s">
        <v>2190</v>
      </c>
      <c r="G1082" s="124">
        <v>8</v>
      </c>
      <c r="H1082" s="124">
        <v>3</v>
      </c>
      <c r="I1082" s="118">
        <v>8.5</v>
      </c>
      <c r="J1082" s="118">
        <v>65</v>
      </c>
      <c r="K1082" s="118"/>
      <c r="L1082" s="122">
        <v>-0.28000000000000003</v>
      </c>
      <c r="M1082" s="122">
        <v>-2.83</v>
      </c>
      <c r="N1082" s="118">
        <v>1.85</v>
      </c>
      <c r="O1082" s="123" t="s">
        <v>1757</v>
      </c>
    </row>
    <row r="1083" spans="1:15" ht="43.2">
      <c r="A1083" s="118" t="s">
        <v>3382</v>
      </c>
      <c r="B1083" s="118" t="s">
        <v>1752</v>
      </c>
      <c r="C1083" s="118" t="s">
        <v>1744</v>
      </c>
      <c r="D1083" s="119">
        <v>44275</v>
      </c>
      <c r="E1083" s="118" t="s">
        <v>3166</v>
      </c>
      <c r="F1083" s="118" t="s">
        <v>2190</v>
      </c>
      <c r="G1083" s="124">
        <v>3</v>
      </c>
      <c r="H1083" s="124">
        <v>2</v>
      </c>
      <c r="I1083" s="118">
        <v>8.3000000000000007</v>
      </c>
      <c r="J1083" s="118">
        <v>69.5</v>
      </c>
      <c r="K1083" s="118"/>
      <c r="L1083" s="122">
        <v>-1.77</v>
      </c>
      <c r="M1083" s="122">
        <v>-3.45</v>
      </c>
      <c r="N1083" s="118">
        <v>-0.01</v>
      </c>
      <c r="O1083" s="123" t="s">
        <v>1760</v>
      </c>
    </row>
    <row r="1084" spans="1:15" ht="43.2">
      <c r="A1084" s="118" t="s">
        <v>3383</v>
      </c>
      <c r="B1084" s="118" t="s">
        <v>1743</v>
      </c>
      <c r="C1084" s="118" t="s">
        <v>1755</v>
      </c>
      <c r="D1084" s="119">
        <v>44419</v>
      </c>
      <c r="E1084" s="118" t="s">
        <v>3164</v>
      </c>
      <c r="F1084" s="118" t="s">
        <v>2190</v>
      </c>
      <c r="G1084" s="124">
        <v>4</v>
      </c>
      <c r="H1084" s="124">
        <v>6</v>
      </c>
      <c r="I1084" s="118">
        <v>7.1</v>
      </c>
      <c r="J1084" s="118">
        <v>65</v>
      </c>
      <c r="K1084" s="118"/>
      <c r="L1084" s="122">
        <v>-1.29</v>
      </c>
      <c r="M1084" s="122">
        <v>-2.27</v>
      </c>
      <c r="N1084" s="118">
        <v>0.03</v>
      </c>
      <c r="O1084" s="123" t="s">
        <v>1760</v>
      </c>
    </row>
    <row r="1085" spans="1:15" ht="43.2">
      <c r="A1085" s="118" t="s">
        <v>3384</v>
      </c>
      <c r="B1085" s="118" t="s">
        <v>1752</v>
      </c>
      <c r="C1085" s="118" t="s">
        <v>1755</v>
      </c>
      <c r="D1085" s="119">
        <v>44347</v>
      </c>
      <c r="E1085" s="118" t="s">
        <v>3074</v>
      </c>
      <c r="F1085" s="118" t="s">
        <v>2190</v>
      </c>
      <c r="G1085" s="124">
        <v>1</v>
      </c>
      <c r="H1085" s="124">
        <v>6</v>
      </c>
      <c r="I1085" s="118">
        <v>8.5</v>
      </c>
      <c r="J1085" s="118">
        <v>69</v>
      </c>
      <c r="K1085" s="118"/>
      <c r="L1085" s="122">
        <v>-1.07</v>
      </c>
      <c r="M1085" s="122">
        <v>-2.67</v>
      </c>
      <c r="N1085" s="118">
        <v>0.44</v>
      </c>
      <c r="O1085" s="123" t="s">
        <v>1760</v>
      </c>
    </row>
    <row r="1086" spans="1:15" ht="43.2">
      <c r="A1086" s="118" t="s">
        <v>3385</v>
      </c>
      <c r="B1086" s="118" t="s">
        <v>1752</v>
      </c>
      <c r="C1086" s="118" t="s">
        <v>1755</v>
      </c>
      <c r="D1086" s="119">
        <v>44509</v>
      </c>
      <c r="E1086" s="118" t="s">
        <v>2816</v>
      </c>
      <c r="F1086" s="118" t="s">
        <v>2190</v>
      </c>
      <c r="G1086" s="124">
        <v>3</v>
      </c>
      <c r="H1086" s="124">
        <v>4</v>
      </c>
      <c r="I1086" s="118">
        <v>7</v>
      </c>
      <c r="J1086" s="118">
        <v>66</v>
      </c>
      <c r="K1086" s="118"/>
      <c r="L1086" s="122">
        <v>-1.98</v>
      </c>
      <c r="M1086" s="122">
        <v>-2.27</v>
      </c>
      <c r="N1086" s="118">
        <v>-0.86</v>
      </c>
      <c r="O1086" s="123" t="s">
        <v>1760</v>
      </c>
    </row>
    <row r="1087" spans="1:15" ht="43.2">
      <c r="A1087" s="118" t="s">
        <v>3386</v>
      </c>
      <c r="B1087" s="118" t="s">
        <v>1743</v>
      </c>
      <c r="C1087" s="118" t="s">
        <v>1744</v>
      </c>
      <c r="D1087" s="119">
        <v>44240</v>
      </c>
      <c r="E1087" s="118" t="s">
        <v>2287</v>
      </c>
      <c r="F1087" s="118" t="s">
        <v>2190</v>
      </c>
      <c r="G1087" s="124">
        <v>5</v>
      </c>
      <c r="H1087" s="124">
        <v>2</v>
      </c>
      <c r="I1087" s="118">
        <v>9.5</v>
      </c>
      <c r="J1087" s="118">
        <v>70</v>
      </c>
      <c r="K1087" s="118"/>
      <c r="L1087" s="122">
        <v>-0.12</v>
      </c>
      <c r="M1087" s="122">
        <v>-2.82</v>
      </c>
      <c r="N1087" s="118">
        <v>1.63</v>
      </c>
      <c r="O1087" s="123" t="s">
        <v>1757</v>
      </c>
    </row>
    <row r="1088" spans="1:15" ht="43.2">
      <c r="A1088" s="118" t="s">
        <v>3387</v>
      </c>
      <c r="B1088" s="118" t="s">
        <v>1743</v>
      </c>
      <c r="C1088" s="118" t="s">
        <v>1755</v>
      </c>
      <c r="D1088" s="119">
        <v>44323</v>
      </c>
      <c r="E1088" s="118" t="s">
        <v>3069</v>
      </c>
      <c r="F1088" s="118" t="s">
        <v>2190</v>
      </c>
      <c r="G1088" s="124">
        <v>7</v>
      </c>
      <c r="H1088" s="124">
        <v>2</v>
      </c>
      <c r="I1088" s="118">
        <v>7.7</v>
      </c>
      <c r="J1088" s="118">
        <v>69</v>
      </c>
      <c r="K1088" s="118"/>
      <c r="L1088" s="122">
        <v>-1.34</v>
      </c>
      <c r="M1088" s="122">
        <v>-2.15</v>
      </c>
      <c r="N1088" s="118">
        <v>-0.36</v>
      </c>
      <c r="O1088" s="123" t="s">
        <v>1760</v>
      </c>
    </row>
    <row r="1089" spans="1:15" ht="43.2">
      <c r="A1089" s="118" t="s">
        <v>3388</v>
      </c>
      <c r="B1089" s="118" t="s">
        <v>1752</v>
      </c>
      <c r="C1089" s="118" t="s">
        <v>1744</v>
      </c>
      <c r="D1089" s="119">
        <v>44231</v>
      </c>
      <c r="E1089" s="118" t="s">
        <v>3389</v>
      </c>
      <c r="F1089" s="118" t="s">
        <v>2190</v>
      </c>
      <c r="G1089" s="124">
        <v>4</v>
      </c>
      <c r="H1089" s="124">
        <v>4</v>
      </c>
      <c r="I1089" s="118">
        <v>9.8000000000000007</v>
      </c>
      <c r="J1089" s="118">
        <v>73</v>
      </c>
      <c r="K1089" s="118"/>
      <c r="L1089" s="122">
        <v>-0.55000000000000004</v>
      </c>
      <c r="M1089" s="122">
        <v>-2.62</v>
      </c>
      <c r="N1089" s="118">
        <v>0.9</v>
      </c>
      <c r="O1089" s="123" t="s">
        <v>1760</v>
      </c>
    </row>
    <row r="1090" spans="1:15" ht="43.2">
      <c r="A1090" s="118" t="s">
        <v>3390</v>
      </c>
      <c r="B1090" s="118" t="s">
        <v>1752</v>
      </c>
      <c r="C1090" s="118" t="s">
        <v>1744</v>
      </c>
      <c r="D1090" s="119">
        <v>44165</v>
      </c>
      <c r="E1090" s="118" t="s">
        <v>3306</v>
      </c>
      <c r="F1090" s="118" t="s">
        <v>1781</v>
      </c>
      <c r="G1090" s="124">
        <v>4</v>
      </c>
      <c r="H1090" s="124">
        <v>1</v>
      </c>
      <c r="I1090" s="118">
        <v>10.1</v>
      </c>
      <c r="J1090" s="118">
        <v>76.5</v>
      </c>
      <c r="K1090" s="118"/>
      <c r="L1090" s="122">
        <v>-0.66</v>
      </c>
      <c r="M1090" s="122">
        <v>-2.0299999999999998</v>
      </c>
      <c r="N1090" s="118">
        <v>0.36</v>
      </c>
      <c r="O1090" s="123" t="s">
        <v>1760</v>
      </c>
    </row>
    <row r="1091" spans="1:15" ht="43.2">
      <c r="A1091" s="118" t="s">
        <v>3391</v>
      </c>
      <c r="B1091" s="118" t="s">
        <v>1752</v>
      </c>
      <c r="C1091" s="118" t="s">
        <v>1744</v>
      </c>
      <c r="D1091" s="119">
        <v>44054</v>
      </c>
      <c r="E1091" s="118" t="s">
        <v>3318</v>
      </c>
      <c r="F1091" s="118" t="s">
        <v>1781</v>
      </c>
      <c r="G1091" s="124">
        <v>0</v>
      </c>
      <c r="H1091" s="124">
        <v>3</v>
      </c>
      <c r="I1091" s="118">
        <v>10</v>
      </c>
      <c r="J1091" s="118">
        <v>78</v>
      </c>
      <c r="K1091" s="118"/>
      <c r="L1091" s="122">
        <v>-1.31</v>
      </c>
      <c r="M1091" s="122">
        <v>-2.54</v>
      </c>
      <c r="N1091" s="118">
        <v>-0.1</v>
      </c>
      <c r="O1091" s="123" t="s">
        <v>1760</v>
      </c>
    </row>
    <row r="1092" spans="1:15" ht="43.2">
      <c r="A1092" s="118" t="s">
        <v>3392</v>
      </c>
      <c r="B1092" s="118" t="s">
        <v>1752</v>
      </c>
      <c r="C1092" s="118" t="s">
        <v>1744</v>
      </c>
      <c r="D1092" s="119">
        <v>44156</v>
      </c>
      <c r="E1092" s="118" t="s">
        <v>2591</v>
      </c>
      <c r="F1092" s="118" t="s">
        <v>1781</v>
      </c>
      <c r="G1092" s="124">
        <v>1</v>
      </c>
      <c r="H1092" s="124">
        <v>11</v>
      </c>
      <c r="I1092" s="118">
        <v>8.6</v>
      </c>
      <c r="J1092" s="118">
        <v>74</v>
      </c>
      <c r="K1092" s="118"/>
      <c r="L1092" s="122">
        <v>-2.14</v>
      </c>
      <c r="M1092" s="122">
        <v>-3.02</v>
      </c>
      <c r="N1092" s="118">
        <v>-0.95</v>
      </c>
      <c r="O1092" s="123" t="s">
        <v>1760</v>
      </c>
    </row>
    <row r="1093" spans="1:15" ht="43.2">
      <c r="A1093" s="118" t="s">
        <v>3393</v>
      </c>
      <c r="B1093" s="118" t="s">
        <v>1743</v>
      </c>
      <c r="C1093" s="118" t="s">
        <v>1749</v>
      </c>
      <c r="D1093" s="119">
        <v>43858</v>
      </c>
      <c r="E1093" s="118" t="s">
        <v>2320</v>
      </c>
      <c r="F1093" s="118" t="s">
        <v>1781</v>
      </c>
      <c r="G1093" s="124">
        <v>3</v>
      </c>
      <c r="H1093" s="124">
        <v>11</v>
      </c>
      <c r="I1093" s="118">
        <v>11</v>
      </c>
      <c r="J1093" s="118">
        <v>82</v>
      </c>
      <c r="K1093" s="118"/>
      <c r="L1093" s="122">
        <v>-0.87</v>
      </c>
      <c r="M1093" s="122">
        <v>-2.2000000000000002</v>
      </c>
      <c r="N1093" s="118">
        <v>0.5</v>
      </c>
      <c r="O1093" s="123" t="s">
        <v>1760</v>
      </c>
    </row>
    <row r="1094" spans="1:15" ht="43.2">
      <c r="A1094" s="118" t="s">
        <v>3394</v>
      </c>
      <c r="B1094" s="118" t="s">
        <v>1743</v>
      </c>
      <c r="C1094" s="118" t="s">
        <v>1755</v>
      </c>
      <c r="D1094" s="119">
        <v>44506</v>
      </c>
      <c r="E1094" s="118" t="s">
        <v>2310</v>
      </c>
      <c r="F1094" s="118" t="s">
        <v>1781</v>
      </c>
      <c r="G1094" s="124">
        <v>1</v>
      </c>
      <c r="H1094" s="124">
        <v>11</v>
      </c>
      <c r="I1094" s="118">
        <v>6.4</v>
      </c>
      <c r="J1094" s="118">
        <v>56</v>
      </c>
      <c r="K1094" s="118"/>
      <c r="L1094" s="122">
        <v>-1.23</v>
      </c>
      <c r="M1094" s="122">
        <v>-4.5199999999999996</v>
      </c>
      <c r="N1094" s="118">
        <v>2.95</v>
      </c>
      <c r="O1094" s="123" t="s">
        <v>2078</v>
      </c>
    </row>
    <row r="1095" spans="1:15" ht="43.2">
      <c r="A1095" s="118" t="s">
        <v>3395</v>
      </c>
      <c r="B1095" s="118" t="s">
        <v>1752</v>
      </c>
      <c r="C1095" s="118" t="s">
        <v>1744</v>
      </c>
      <c r="D1095" s="119">
        <v>43950</v>
      </c>
      <c r="E1095" s="118" t="s">
        <v>2313</v>
      </c>
      <c r="F1095" s="118" t="s">
        <v>1781</v>
      </c>
      <c r="G1095" s="124">
        <v>2</v>
      </c>
      <c r="H1095" s="124">
        <v>11</v>
      </c>
      <c r="I1095" s="118">
        <v>9</v>
      </c>
      <c r="J1095" s="118">
        <v>81</v>
      </c>
      <c r="K1095" s="118"/>
      <c r="L1095" s="122">
        <v>-2.72</v>
      </c>
      <c r="M1095" s="122">
        <v>-2.38</v>
      </c>
      <c r="N1095" s="118">
        <v>-2.0699999999999998</v>
      </c>
      <c r="O1095" s="123" t="s">
        <v>1747</v>
      </c>
    </row>
    <row r="1096" spans="1:15" ht="43.2">
      <c r="A1096" s="118" t="s">
        <v>3396</v>
      </c>
      <c r="B1096" s="118" t="s">
        <v>1752</v>
      </c>
      <c r="C1096" s="118" t="s">
        <v>1744</v>
      </c>
      <c r="D1096" s="119">
        <v>44252</v>
      </c>
      <c r="E1096" s="118" t="s">
        <v>3309</v>
      </c>
      <c r="F1096" s="118" t="s">
        <v>1781</v>
      </c>
      <c r="G1096" s="124"/>
      <c r="H1096" s="124">
        <v>3</v>
      </c>
      <c r="I1096" s="118">
        <v>10.5</v>
      </c>
      <c r="J1096" s="118">
        <v>73.599999999999994</v>
      </c>
      <c r="K1096" s="118"/>
      <c r="L1096" s="122">
        <v>0.22</v>
      </c>
      <c r="M1096" s="122">
        <v>-2.08</v>
      </c>
      <c r="N1096" s="118">
        <v>1.54</v>
      </c>
      <c r="O1096" s="123" t="s">
        <v>1757</v>
      </c>
    </row>
    <row r="1097" spans="1:15" ht="43.2">
      <c r="A1097" s="118" t="s">
        <v>3397</v>
      </c>
      <c r="B1097" s="118" t="s">
        <v>1752</v>
      </c>
      <c r="C1097" s="118" t="s">
        <v>1749</v>
      </c>
      <c r="D1097" s="119">
        <v>43686</v>
      </c>
      <c r="E1097" s="118" t="s">
        <v>3312</v>
      </c>
      <c r="F1097" s="118" t="s">
        <v>1781</v>
      </c>
      <c r="G1097" s="124"/>
      <c r="H1097" s="124">
        <v>3</v>
      </c>
      <c r="I1097" s="118">
        <v>12</v>
      </c>
      <c r="J1097" s="118">
        <v>84</v>
      </c>
      <c r="K1097" s="118"/>
      <c r="L1097" s="122">
        <v>-1.24</v>
      </c>
      <c r="M1097" s="122">
        <v>-2.9</v>
      </c>
      <c r="N1097" s="118">
        <v>0.59</v>
      </c>
      <c r="O1097" s="123" t="s">
        <v>1760</v>
      </c>
    </row>
    <row r="1098" spans="1:15" ht="43.2">
      <c r="A1098" s="118" t="s">
        <v>3398</v>
      </c>
      <c r="B1098" s="118" t="s">
        <v>1743</v>
      </c>
      <c r="C1098" s="118" t="s">
        <v>1786</v>
      </c>
      <c r="D1098" s="119">
        <v>43512</v>
      </c>
      <c r="E1098" s="118" t="s">
        <v>2824</v>
      </c>
      <c r="F1098" s="118" t="s">
        <v>1781</v>
      </c>
      <c r="G1098" s="124">
        <v>1</v>
      </c>
      <c r="H1098" s="124">
        <v>3</v>
      </c>
      <c r="I1098" s="118">
        <v>12</v>
      </c>
      <c r="J1098" s="118">
        <v>83</v>
      </c>
      <c r="K1098" s="118"/>
      <c r="L1098" s="122">
        <v>-1.46</v>
      </c>
      <c r="M1098" s="122">
        <v>-3.61</v>
      </c>
      <c r="N1098" s="118">
        <v>1.05</v>
      </c>
      <c r="O1098" s="123" t="s">
        <v>1757</v>
      </c>
    </row>
    <row r="1099" spans="1:15" ht="57.6">
      <c r="A1099" s="118" t="s">
        <v>3399</v>
      </c>
      <c r="B1099" s="118" t="s">
        <v>1752</v>
      </c>
      <c r="C1099" s="118" t="s">
        <v>1749</v>
      </c>
      <c r="D1099" s="119">
        <v>43695</v>
      </c>
      <c r="E1099" s="118" t="s">
        <v>1780</v>
      </c>
      <c r="F1099" s="118" t="s">
        <v>1781</v>
      </c>
      <c r="G1099" s="124">
        <v>3</v>
      </c>
      <c r="H1099" s="124">
        <v>10</v>
      </c>
      <c r="I1099" s="118">
        <v>11.9</v>
      </c>
      <c r="J1099" s="118">
        <v>84</v>
      </c>
      <c r="K1099" s="118"/>
      <c r="L1099" s="122">
        <v>-1.28</v>
      </c>
      <c r="M1099" s="122">
        <v>-2.86</v>
      </c>
      <c r="N1099" s="118">
        <v>0.49</v>
      </c>
      <c r="O1099" s="123" t="s">
        <v>1760</v>
      </c>
    </row>
    <row r="1100" spans="1:15" ht="43.2">
      <c r="A1100" s="118" t="s">
        <v>3400</v>
      </c>
      <c r="B1100" s="118" t="s">
        <v>1743</v>
      </c>
      <c r="C1100" s="118" t="s">
        <v>1744</v>
      </c>
      <c r="D1100" s="119">
        <v>44111</v>
      </c>
      <c r="E1100" s="118" t="s">
        <v>2596</v>
      </c>
      <c r="F1100" s="118" t="s">
        <v>1781</v>
      </c>
      <c r="G1100" s="124">
        <v>2</v>
      </c>
      <c r="H1100" s="124">
        <v>13</v>
      </c>
      <c r="I1100" s="118">
        <v>11</v>
      </c>
      <c r="J1100" s="118">
        <v>73.7</v>
      </c>
      <c r="K1100" s="118"/>
      <c r="L1100" s="122">
        <v>0.34</v>
      </c>
      <c r="M1100" s="122">
        <v>-2.86</v>
      </c>
      <c r="N1100" s="118">
        <v>2.25</v>
      </c>
      <c r="O1100" s="123" t="s">
        <v>2078</v>
      </c>
    </row>
    <row r="1101" spans="1:15" ht="43.2">
      <c r="A1101" s="118" t="s">
        <v>3401</v>
      </c>
      <c r="B1101" s="118" t="s">
        <v>1752</v>
      </c>
      <c r="C1101" s="118" t="s">
        <v>1744</v>
      </c>
      <c r="D1101" s="119">
        <v>44179</v>
      </c>
      <c r="E1101" s="118" t="s">
        <v>2119</v>
      </c>
      <c r="F1101" s="118" t="s">
        <v>1781</v>
      </c>
      <c r="G1101" s="124">
        <v>2</v>
      </c>
      <c r="H1101" s="124">
        <v>2</v>
      </c>
      <c r="I1101" s="118">
        <v>11</v>
      </c>
      <c r="J1101" s="118">
        <v>74.2</v>
      </c>
      <c r="K1101" s="118"/>
      <c r="L1101" s="122">
        <v>0.17</v>
      </c>
      <c r="M1101" s="122">
        <v>-2.76</v>
      </c>
      <c r="N1101" s="118">
        <v>1.92</v>
      </c>
      <c r="O1101" s="123" t="s">
        <v>1757</v>
      </c>
    </row>
    <row r="1102" spans="1:15" ht="43.2">
      <c r="A1102" s="118" t="s">
        <v>3402</v>
      </c>
      <c r="B1102" s="118" t="s">
        <v>1752</v>
      </c>
      <c r="C1102" s="118" t="s">
        <v>1744</v>
      </c>
      <c r="D1102" s="119">
        <v>44298</v>
      </c>
      <c r="E1102" s="118" t="s">
        <v>2308</v>
      </c>
      <c r="F1102" s="118" t="s">
        <v>1781</v>
      </c>
      <c r="G1102" s="124">
        <v>4</v>
      </c>
      <c r="H1102" s="124">
        <v>2</v>
      </c>
      <c r="I1102" s="118">
        <v>8.1999999999999993</v>
      </c>
      <c r="J1102" s="118">
        <v>71</v>
      </c>
      <c r="K1102" s="118"/>
      <c r="L1102" s="122">
        <v>-1.74</v>
      </c>
      <c r="M1102" s="122">
        <v>-2.54</v>
      </c>
      <c r="N1102" s="118">
        <v>-0.65</v>
      </c>
      <c r="O1102" s="123" t="s">
        <v>1760</v>
      </c>
    </row>
    <row r="1103" spans="1:15" ht="43.2">
      <c r="A1103" s="118" t="s">
        <v>3403</v>
      </c>
      <c r="B1103" s="118" t="s">
        <v>1752</v>
      </c>
      <c r="C1103" s="118" t="s">
        <v>2055</v>
      </c>
      <c r="D1103" s="119">
        <v>44707</v>
      </c>
      <c r="E1103" s="118" t="s">
        <v>3404</v>
      </c>
      <c r="F1103" s="118" t="s">
        <v>1781</v>
      </c>
      <c r="G1103" s="124">
        <v>3</v>
      </c>
      <c r="H1103" s="124">
        <v>2</v>
      </c>
      <c r="I1103" s="118">
        <v>3</v>
      </c>
      <c r="J1103" s="118">
        <v>49</v>
      </c>
      <c r="K1103" s="118"/>
      <c r="L1103" s="122">
        <v>-2.5099999999999998</v>
      </c>
      <c r="M1103" s="122">
        <v>-2.27</v>
      </c>
      <c r="N1103" s="118">
        <v>-0.97</v>
      </c>
      <c r="O1103" s="123" t="s">
        <v>1760</v>
      </c>
    </row>
    <row r="1104" spans="1:15" ht="28.8">
      <c r="A1104" s="118" t="s">
        <v>3405</v>
      </c>
      <c r="B1104" s="118" t="s">
        <v>1743</v>
      </c>
      <c r="C1104" s="118" t="s">
        <v>1755</v>
      </c>
      <c r="D1104" s="119">
        <v>44518</v>
      </c>
      <c r="E1104" s="118" t="s">
        <v>3188</v>
      </c>
      <c r="F1104" s="118" t="s">
        <v>1784</v>
      </c>
      <c r="G1104" s="124">
        <v>5</v>
      </c>
      <c r="H1104" s="124">
        <v>6</v>
      </c>
      <c r="I1104" s="118">
        <v>6.5</v>
      </c>
      <c r="J1104" s="118">
        <v>60.5</v>
      </c>
      <c r="K1104" s="118"/>
      <c r="L1104" s="122">
        <v>-0.93</v>
      </c>
      <c r="M1104" s="122">
        <v>-2.27</v>
      </c>
      <c r="N1104" s="118">
        <v>0.86</v>
      </c>
      <c r="O1104" s="123" t="s">
        <v>1760</v>
      </c>
    </row>
    <row r="1105" spans="1:15" ht="43.2">
      <c r="A1105" s="118" t="s">
        <v>3406</v>
      </c>
      <c r="B1105" s="118" t="s">
        <v>1743</v>
      </c>
      <c r="C1105" s="118" t="s">
        <v>1749</v>
      </c>
      <c r="D1105" s="119">
        <v>43864</v>
      </c>
      <c r="E1105" s="118" t="s">
        <v>3326</v>
      </c>
      <c r="F1105" s="118" t="s">
        <v>1784</v>
      </c>
      <c r="G1105" s="124">
        <v>1</v>
      </c>
      <c r="H1105" s="124">
        <v>2</v>
      </c>
      <c r="I1105" s="118">
        <v>11</v>
      </c>
      <c r="J1105" s="118">
        <v>82</v>
      </c>
      <c r="K1105" s="118"/>
      <c r="L1105" s="122">
        <v>-0.84</v>
      </c>
      <c r="M1105" s="122">
        <v>-2.16</v>
      </c>
      <c r="N1105" s="118">
        <v>0.5</v>
      </c>
      <c r="O1105" s="123" t="s">
        <v>1760</v>
      </c>
    </row>
    <row r="1106" spans="1:15" ht="28.8">
      <c r="A1106" s="118" t="s">
        <v>3407</v>
      </c>
      <c r="B1106" s="118" t="s">
        <v>1752</v>
      </c>
      <c r="C1106" s="118" t="s">
        <v>1744</v>
      </c>
      <c r="D1106" s="119">
        <v>44176</v>
      </c>
      <c r="E1106" s="118" t="s">
        <v>2832</v>
      </c>
      <c r="F1106" s="118" t="s">
        <v>1784</v>
      </c>
      <c r="G1106" s="124">
        <v>2</v>
      </c>
      <c r="H1106" s="124">
        <v>4</v>
      </c>
      <c r="I1106" s="118">
        <v>11.6</v>
      </c>
      <c r="J1106" s="118">
        <v>74</v>
      </c>
      <c r="K1106" s="118"/>
      <c r="L1106" s="122">
        <v>0.63</v>
      </c>
      <c r="M1106" s="122">
        <v>-2.88</v>
      </c>
      <c r="N1106" s="118">
        <v>2.57</v>
      </c>
      <c r="O1106" s="123" t="s">
        <v>2078</v>
      </c>
    </row>
    <row r="1107" spans="1:15" ht="43.2">
      <c r="A1107" s="118" t="s">
        <v>3408</v>
      </c>
      <c r="B1107" s="118" t="s">
        <v>1743</v>
      </c>
      <c r="C1107" s="118" t="s">
        <v>1786</v>
      </c>
      <c r="D1107" s="119">
        <v>43535</v>
      </c>
      <c r="E1107" s="118" t="s">
        <v>3409</v>
      </c>
      <c r="F1107" s="118" t="s">
        <v>1784</v>
      </c>
      <c r="G1107" s="124">
        <v>3</v>
      </c>
      <c r="H1107" s="124">
        <v>2</v>
      </c>
      <c r="I1107" s="118">
        <v>12.3</v>
      </c>
      <c r="J1107" s="118">
        <v>84</v>
      </c>
      <c r="K1107" s="118"/>
      <c r="L1107" s="122">
        <v>-1.19</v>
      </c>
      <c r="M1107" s="122">
        <v>-3.25</v>
      </c>
      <c r="N1107" s="118">
        <v>1.0900000000000001</v>
      </c>
      <c r="O1107" s="123" t="s">
        <v>1757</v>
      </c>
    </row>
    <row r="1108" spans="1:15" ht="28.8">
      <c r="A1108" s="118" t="s">
        <v>3410</v>
      </c>
      <c r="B1108" s="118" t="s">
        <v>1752</v>
      </c>
      <c r="C1108" s="118" t="s">
        <v>1755</v>
      </c>
      <c r="D1108" s="119">
        <v>44352</v>
      </c>
      <c r="E1108" s="118" t="s">
        <v>2326</v>
      </c>
      <c r="F1108" s="118" t="s">
        <v>1784</v>
      </c>
      <c r="G1108" s="124">
        <v>7</v>
      </c>
      <c r="H1108" s="124">
        <v>7</v>
      </c>
      <c r="I1108" s="118">
        <v>9.4</v>
      </c>
      <c r="J1108" s="118">
        <v>66</v>
      </c>
      <c r="K1108" s="118"/>
      <c r="L1108" s="122">
        <v>-0.16</v>
      </c>
      <c r="M1108" s="122">
        <v>-3.95</v>
      </c>
      <c r="N1108" s="118">
        <v>2.64</v>
      </c>
      <c r="O1108" s="123" t="s">
        <v>2078</v>
      </c>
    </row>
    <row r="1109" spans="1:15" ht="28.8">
      <c r="A1109" s="118" t="s">
        <v>3411</v>
      </c>
      <c r="B1109" s="118" t="s">
        <v>1743</v>
      </c>
      <c r="C1109" s="118" t="s">
        <v>1749</v>
      </c>
      <c r="D1109" s="119">
        <v>43944</v>
      </c>
      <c r="E1109" s="118" t="s">
        <v>3330</v>
      </c>
      <c r="F1109" s="118" t="s">
        <v>1784</v>
      </c>
      <c r="G1109" s="124">
        <v>3</v>
      </c>
      <c r="H1109" s="124">
        <v>1</v>
      </c>
      <c r="I1109" s="118">
        <v>11.5</v>
      </c>
      <c r="J1109" s="118">
        <v>73</v>
      </c>
      <c r="K1109" s="118"/>
      <c r="L1109" s="122">
        <v>-0.13</v>
      </c>
      <c r="M1109" s="122">
        <v>-4.3600000000000003</v>
      </c>
      <c r="N1109" s="118">
        <v>2.85</v>
      </c>
      <c r="O1109" s="123" t="s">
        <v>2078</v>
      </c>
    </row>
    <row r="1110" spans="1:15" ht="28.8">
      <c r="A1110" s="118" t="s">
        <v>3412</v>
      </c>
      <c r="B1110" s="118" t="s">
        <v>1743</v>
      </c>
      <c r="C1110" s="118" t="s">
        <v>1744</v>
      </c>
      <c r="D1110" s="119">
        <v>44117</v>
      </c>
      <c r="E1110" s="118" t="s">
        <v>3332</v>
      </c>
      <c r="F1110" s="118" t="s">
        <v>1784</v>
      </c>
      <c r="G1110" s="124">
        <v>5</v>
      </c>
      <c r="H1110" s="124">
        <v>1</v>
      </c>
      <c r="I1110" s="118">
        <v>11.7</v>
      </c>
      <c r="J1110" s="118">
        <v>73.2</v>
      </c>
      <c r="K1110" s="118"/>
      <c r="L1110" s="122">
        <v>0.86</v>
      </c>
      <c r="M1110" s="122">
        <v>-2.97</v>
      </c>
      <c r="N1110" s="118">
        <v>2.98</v>
      </c>
      <c r="O1110" s="123" t="s">
        <v>2078</v>
      </c>
    </row>
    <row r="1111" spans="1:15" ht="28.8">
      <c r="A1111" s="118" t="s">
        <v>3413</v>
      </c>
      <c r="B1111" s="118" t="s">
        <v>1743</v>
      </c>
      <c r="C1111" s="118" t="s">
        <v>1744</v>
      </c>
      <c r="D1111" s="119">
        <v>44117</v>
      </c>
      <c r="E1111" s="118" t="s">
        <v>1798</v>
      </c>
      <c r="F1111" s="118" t="s">
        <v>1784</v>
      </c>
      <c r="G1111" s="124">
        <v>4</v>
      </c>
      <c r="H1111" s="124">
        <v>5</v>
      </c>
      <c r="I1111" s="118">
        <v>11.4</v>
      </c>
      <c r="J1111" s="118">
        <v>73.400000000000006</v>
      </c>
      <c r="K1111" s="118"/>
      <c r="L1111" s="122">
        <v>0.66</v>
      </c>
      <c r="M1111" s="122">
        <v>-2.9</v>
      </c>
      <c r="N1111" s="118">
        <v>2.68</v>
      </c>
      <c r="O1111" s="123" t="s">
        <v>2078</v>
      </c>
    </row>
    <row r="1112" spans="1:15" ht="28.8">
      <c r="A1112" s="118" t="s">
        <v>3414</v>
      </c>
      <c r="B1112" s="118" t="s">
        <v>1743</v>
      </c>
      <c r="C1112" s="118" t="s">
        <v>1744</v>
      </c>
      <c r="D1112" s="119">
        <v>44145</v>
      </c>
      <c r="E1112" s="118" t="s">
        <v>2336</v>
      </c>
      <c r="F1112" s="118" t="s">
        <v>1784</v>
      </c>
      <c r="G1112" s="124">
        <v>1</v>
      </c>
      <c r="H1112" s="124">
        <v>4</v>
      </c>
      <c r="I1112" s="118">
        <v>12</v>
      </c>
      <c r="J1112" s="118">
        <v>73.599999999999994</v>
      </c>
      <c r="K1112" s="118"/>
      <c r="L1112" s="122">
        <v>1.21</v>
      </c>
      <c r="M1112" s="122">
        <v>-2.57</v>
      </c>
      <c r="N1112" s="118">
        <v>3.16</v>
      </c>
      <c r="O1112" s="123" t="s">
        <v>2170</v>
      </c>
    </row>
    <row r="1113" spans="1:15" ht="28.8">
      <c r="A1113" s="118" t="s">
        <v>3415</v>
      </c>
      <c r="B1113" s="118" t="s">
        <v>1752</v>
      </c>
      <c r="C1113" s="118" t="s">
        <v>1744</v>
      </c>
      <c r="D1113" s="119">
        <v>44182</v>
      </c>
      <c r="E1113" s="118" t="s">
        <v>2036</v>
      </c>
      <c r="F1113" s="118" t="s">
        <v>1784</v>
      </c>
      <c r="G1113" s="124">
        <v>2</v>
      </c>
      <c r="H1113" s="124">
        <v>4</v>
      </c>
      <c r="I1113" s="118">
        <v>11.1</v>
      </c>
      <c r="J1113" s="118">
        <v>74.3</v>
      </c>
      <c r="K1113" s="118"/>
      <c r="L1113" s="122">
        <v>0.27</v>
      </c>
      <c r="M1113" s="122">
        <v>-2.69</v>
      </c>
      <c r="N1113" s="118">
        <v>2</v>
      </c>
      <c r="O1113" s="123" t="s">
        <v>1757</v>
      </c>
    </row>
    <row r="1114" spans="1:15" ht="28.8">
      <c r="A1114" s="118" t="s">
        <v>3416</v>
      </c>
      <c r="B1114" s="118" t="s">
        <v>1752</v>
      </c>
      <c r="C1114" s="118" t="s">
        <v>1755</v>
      </c>
      <c r="D1114" s="119">
        <v>44343</v>
      </c>
      <c r="E1114" s="118" t="s">
        <v>2324</v>
      </c>
      <c r="F1114" s="118" t="s">
        <v>1784</v>
      </c>
      <c r="G1114" s="124">
        <v>3</v>
      </c>
      <c r="H1114" s="124">
        <v>7</v>
      </c>
      <c r="I1114" s="118">
        <v>9.3000000000000007</v>
      </c>
      <c r="J1114" s="118">
        <v>63.4</v>
      </c>
      <c r="K1114" s="118"/>
      <c r="L1114" s="122">
        <v>-0.31</v>
      </c>
      <c r="M1114" s="122">
        <v>-5.15</v>
      </c>
      <c r="N1114" s="118">
        <v>3.51</v>
      </c>
      <c r="O1114" s="123" t="s">
        <v>2170</v>
      </c>
    </row>
    <row r="1115" spans="1:15" ht="43.2">
      <c r="A1115" s="118" t="s">
        <v>3417</v>
      </c>
      <c r="B1115" s="118" t="s">
        <v>1743</v>
      </c>
      <c r="C1115" s="118" t="s">
        <v>1755</v>
      </c>
      <c r="D1115" s="119">
        <v>44364</v>
      </c>
      <c r="E1115" s="118" t="s">
        <v>2843</v>
      </c>
      <c r="F1115" s="118" t="s">
        <v>1807</v>
      </c>
      <c r="G1115" s="124">
        <v>4</v>
      </c>
      <c r="H1115" s="124">
        <v>4</v>
      </c>
      <c r="I1115" s="118">
        <v>8.6</v>
      </c>
      <c r="J1115" s="118">
        <v>61.6</v>
      </c>
      <c r="K1115" s="118"/>
      <c r="L1115" s="122">
        <v>-0.16</v>
      </c>
      <c r="M1115" s="122">
        <v>-4.51</v>
      </c>
      <c r="N1115" s="118">
        <v>3.27</v>
      </c>
      <c r="O1115" s="123" t="s">
        <v>2170</v>
      </c>
    </row>
    <row r="1116" spans="1:15" ht="43.2">
      <c r="A1116" s="118" t="s">
        <v>3418</v>
      </c>
      <c r="B1116" s="118" t="s">
        <v>1743</v>
      </c>
      <c r="C1116" s="118" t="s">
        <v>1755</v>
      </c>
      <c r="D1116" s="119">
        <v>44443</v>
      </c>
      <c r="E1116" s="118" t="s">
        <v>2957</v>
      </c>
      <c r="F1116" s="118" t="s">
        <v>1807</v>
      </c>
      <c r="G1116" s="124">
        <v>5</v>
      </c>
      <c r="H1116" s="124">
        <v>2</v>
      </c>
      <c r="I1116" s="118">
        <v>8.3000000000000007</v>
      </c>
      <c r="J1116" s="118">
        <v>62.4</v>
      </c>
      <c r="K1116" s="118"/>
      <c r="L1116" s="122">
        <v>0.18</v>
      </c>
      <c r="M1116" s="122">
        <v>-3.01</v>
      </c>
      <c r="N1116" s="118">
        <v>2.6</v>
      </c>
      <c r="O1116" s="123" t="s">
        <v>2078</v>
      </c>
    </row>
    <row r="1117" spans="1:15" ht="43.2">
      <c r="A1117" s="118" t="s">
        <v>3419</v>
      </c>
      <c r="B1117" s="118" t="s">
        <v>1743</v>
      </c>
      <c r="C1117" s="118" t="s">
        <v>1749</v>
      </c>
      <c r="D1117" s="119">
        <v>43604</v>
      </c>
      <c r="E1117" s="118" t="s">
        <v>2345</v>
      </c>
      <c r="F1117" s="118" t="s">
        <v>1807</v>
      </c>
      <c r="G1117" s="124">
        <v>1</v>
      </c>
      <c r="H1117" s="124">
        <v>3</v>
      </c>
      <c r="I1117" s="118">
        <v>8.6999999999999993</v>
      </c>
      <c r="J1117" s="118">
        <v>87</v>
      </c>
      <c r="K1117" s="118"/>
      <c r="L1117" s="122">
        <v>-3.77</v>
      </c>
      <c r="M1117" s="122">
        <v>-2.12</v>
      </c>
      <c r="N1117" s="118">
        <v>-3.67</v>
      </c>
      <c r="O1117" s="123" t="s">
        <v>1790</v>
      </c>
    </row>
    <row r="1118" spans="1:15" ht="43.2">
      <c r="A1118" s="118" t="s">
        <v>3420</v>
      </c>
      <c r="B1118" s="118" t="s">
        <v>1752</v>
      </c>
      <c r="C1118" s="118" t="s">
        <v>1755</v>
      </c>
      <c r="D1118" s="119">
        <v>44475</v>
      </c>
      <c r="E1118" s="118" t="s">
        <v>3421</v>
      </c>
      <c r="F1118" s="118" t="s">
        <v>1807</v>
      </c>
      <c r="G1118" s="124">
        <v>11</v>
      </c>
      <c r="H1118" s="124">
        <v>3</v>
      </c>
      <c r="I1118" s="118">
        <v>6.9</v>
      </c>
      <c r="J1118" s="118">
        <v>60</v>
      </c>
      <c r="K1118" s="118"/>
      <c r="L1118" s="122">
        <v>-1.83</v>
      </c>
      <c r="M1118" s="122">
        <v>-4.4800000000000004</v>
      </c>
      <c r="N1118" s="118">
        <v>1.65</v>
      </c>
      <c r="O1118" s="123" t="s">
        <v>1757</v>
      </c>
    </row>
    <row r="1119" spans="1:15" ht="43.2">
      <c r="A1119" s="118" t="s">
        <v>3422</v>
      </c>
      <c r="B1119" s="118" t="s">
        <v>1752</v>
      </c>
      <c r="C1119" s="118" t="s">
        <v>2055</v>
      </c>
      <c r="D1119" s="119">
        <v>44704</v>
      </c>
      <c r="E1119" s="118" t="s">
        <v>3262</v>
      </c>
      <c r="F1119" s="118" t="s">
        <v>1807</v>
      </c>
      <c r="G1119" s="124">
        <v>7</v>
      </c>
      <c r="H1119" s="124">
        <v>1</v>
      </c>
      <c r="I1119" s="118">
        <v>3</v>
      </c>
      <c r="J1119" s="118">
        <v>49</v>
      </c>
      <c r="K1119" s="118"/>
      <c r="L1119" s="122">
        <v>-2.27</v>
      </c>
      <c r="M1119" s="122">
        <v>-2.06</v>
      </c>
      <c r="N1119" s="118">
        <v>-0.97</v>
      </c>
      <c r="O1119" s="123" t="s">
        <v>1760</v>
      </c>
    </row>
    <row r="1120" spans="1:15" ht="57.6">
      <c r="A1120" s="118" t="s">
        <v>3423</v>
      </c>
      <c r="B1120" s="118" t="s">
        <v>1752</v>
      </c>
      <c r="C1120" s="118" t="s">
        <v>2055</v>
      </c>
      <c r="D1120" s="119">
        <v>44712</v>
      </c>
      <c r="E1120" s="118" t="s">
        <v>3338</v>
      </c>
      <c r="F1120" s="118" t="s">
        <v>1807</v>
      </c>
      <c r="G1120" s="124">
        <v>7</v>
      </c>
      <c r="H1120" s="124">
        <v>1</v>
      </c>
      <c r="I1120" s="118">
        <v>3.1</v>
      </c>
      <c r="J1120" s="118">
        <v>49</v>
      </c>
      <c r="K1120" s="118"/>
      <c r="L1120" s="122">
        <v>-2.66</v>
      </c>
      <c r="M1120" s="122">
        <v>-2.62</v>
      </c>
      <c r="N1120" s="118">
        <v>-0.6</v>
      </c>
      <c r="O1120" s="123" t="s">
        <v>1760</v>
      </c>
    </row>
    <row r="1121" spans="1:15" ht="43.2">
      <c r="A1121" s="118" t="s">
        <v>3424</v>
      </c>
      <c r="B1121" s="118" t="s">
        <v>1752</v>
      </c>
      <c r="C1121" s="118" t="s">
        <v>2055</v>
      </c>
      <c r="D1121" s="119">
        <v>44705</v>
      </c>
      <c r="E1121" s="118" t="s">
        <v>2948</v>
      </c>
      <c r="F1121" s="118" t="s">
        <v>1807</v>
      </c>
      <c r="G1121" s="124">
        <v>8</v>
      </c>
      <c r="H1121" s="124">
        <v>2</v>
      </c>
      <c r="I1121" s="118">
        <v>2.9</v>
      </c>
      <c r="J1121" s="118">
        <v>49</v>
      </c>
      <c r="K1121" s="118"/>
      <c r="L1121" s="122">
        <v>-2.58</v>
      </c>
      <c r="M1121" s="122">
        <v>-2.13</v>
      </c>
      <c r="N1121" s="118">
        <v>-1.37</v>
      </c>
      <c r="O1121" s="123" t="s">
        <v>1760</v>
      </c>
    </row>
    <row r="1122" spans="1:15" ht="43.2">
      <c r="A1122" s="118" t="s">
        <v>3425</v>
      </c>
      <c r="B1122" s="118" t="s">
        <v>1752</v>
      </c>
      <c r="C1122" s="118" t="s">
        <v>1786</v>
      </c>
      <c r="D1122" s="119">
        <v>43364</v>
      </c>
      <c r="E1122" s="118" t="s">
        <v>2963</v>
      </c>
      <c r="F1122" s="118" t="s">
        <v>1807</v>
      </c>
      <c r="G1122" s="124">
        <v>3</v>
      </c>
      <c r="H1122" s="124">
        <v>2</v>
      </c>
      <c r="I1122" s="118">
        <v>10</v>
      </c>
      <c r="J1122" s="118">
        <v>79.3</v>
      </c>
      <c r="K1122" s="118">
        <v>12</v>
      </c>
      <c r="L1122" s="122">
        <v>-3.58</v>
      </c>
      <c r="M1122" s="122">
        <v>-5.52</v>
      </c>
      <c r="N1122" s="118">
        <v>-0.38</v>
      </c>
      <c r="O1122" s="123" t="s">
        <v>1760</v>
      </c>
    </row>
    <row r="1123" spans="1:15" ht="57.6">
      <c r="A1123" s="118" t="s">
        <v>3426</v>
      </c>
      <c r="B1123" s="118" t="s">
        <v>1743</v>
      </c>
      <c r="C1123" s="118" t="s">
        <v>1779</v>
      </c>
      <c r="D1123" s="119">
        <v>43191</v>
      </c>
      <c r="E1123" s="118" t="s">
        <v>2611</v>
      </c>
      <c r="F1123" s="118" t="s">
        <v>1807</v>
      </c>
      <c r="G1123" s="124">
        <v>1</v>
      </c>
      <c r="H1123" s="124">
        <v>4</v>
      </c>
      <c r="I1123" s="118">
        <v>8.9</v>
      </c>
      <c r="J1123" s="118">
        <v>86.5</v>
      </c>
      <c r="K1123" s="118">
        <v>12.5</v>
      </c>
      <c r="L1123" s="122">
        <v>-4.4400000000000004</v>
      </c>
      <c r="M1123" s="122">
        <v>-4.07</v>
      </c>
      <c r="N1123" s="118">
        <v>-3.12</v>
      </c>
      <c r="O1123" s="123" t="s">
        <v>1790</v>
      </c>
    </row>
    <row r="1124" spans="1:15" ht="43.2">
      <c r="A1124" s="118" t="s">
        <v>3427</v>
      </c>
      <c r="B1124" s="118" t="s">
        <v>1743</v>
      </c>
      <c r="C1124" s="118" t="s">
        <v>1779</v>
      </c>
      <c r="D1124" s="119">
        <v>43180</v>
      </c>
      <c r="E1124" s="118" t="s">
        <v>2955</v>
      </c>
      <c r="F1124" s="118" t="s">
        <v>1807</v>
      </c>
      <c r="G1124" s="124">
        <v>8</v>
      </c>
      <c r="H1124" s="124">
        <v>3</v>
      </c>
      <c r="I1124" s="118">
        <v>12.4</v>
      </c>
      <c r="J1124" s="118">
        <v>93.7</v>
      </c>
      <c r="K1124" s="118">
        <v>15.9</v>
      </c>
      <c r="L1124" s="122">
        <v>-2.08</v>
      </c>
      <c r="M1124" s="122">
        <v>-2.29</v>
      </c>
      <c r="N1124" s="118">
        <v>-1.02</v>
      </c>
      <c r="O1124" s="123" t="s">
        <v>1760</v>
      </c>
    </row>
    <row r="1125" spans="1:15" ht="43.2">
      <c r="A1125" s="118" t="s">
        <v>3428</v>
      </c>
      <c r="B1125" s="118" t="s">
        <v>1743</v>
      </c>
      <c r="C1125" s="118" t="s">
        <v>1749</v>
      </c>
      <c r="D1125" s="119">
        <v>43645</v>
      </c>
      <c r="E1125" s="118" t="s">
        <v>2951</v>
      </c>
      <c r="F1125" s="118" t="s">
        <v>1807</v>
      </c>
      <c r="G1125" s="124">
        <v>2</v>
      </c>
      <c r="H1125" s="124">
        <v>4</v>
      </c>
      <c r="I1125" s="118">
        <v>8.6999999999999993</v>
      </c>
      <c r="J1125" s="118">
        <v>82.8</v>
      </c>
      <c r="K1125" s="118"/>
      <c r="L1125" s="122">
        <v>-3.63</v>
      </c>
      <c r="M1125" s="122">
        <v>-2.98</v>
      </c>
      <c r="N1125" s="118">
        <v>-2.6</v>
      </c>
      <c r="O1125" s="123" t="s">
        <v>1747</v>
      </c>
    </row>
    <row r="1126" spans="1:15" ht="43.2">
      <c r="A1126" s="118" t="s">
        <v>3429</v>
      </c>
      <c r="B1126" s="118" t="s">
        <v>1752</v>
      </c>
      <c r="C1126" s="118" t="s">
        <v>1744</v>
      </c>
      <c r="D1126" s="119">
        <v>43986</v>
      </c>
      <c r="E1126" s="118" t="s">
        <v>2968</v>
      </c>
      <c r="F1126" s="118" t="s">
        <v>1807</v>
      </c>
      <c r="G1126" s="124">
        <v>3</v>
      </c>
      <c r="H1126" s="124">
        <v>1</v>
      </c>
      <c r="I1126" s="118">
        <v>12.7</v>
      </c>
      <c r="J1126" s="118">
        <v>80.400000000000006</v>
      </c>
      <c r="K1126" s="118">
        <v>14.6</v>
      </c>
      <c r="L1126" s="122">
        <v>0.5</v>
      </c>
      <c r="M1126" s="122">
        <v>-2.2400000000000002</v>
      </c>
      <c r="N1126" s="118">
        <v>2.19</v>
      </c>
      <c r="O1126" s="123" t="s">
        <v>2078</v>
      </c>
    </row>
    <row r="1127" spans="1:15" ht="28.8">
      <c r="A1127" s="118" t="s">
        <v>3430</v>
      </c>
      <c r="B1127" s="118" t="s">
        <v>1743</v>
      </c>
      <c r="C1127" s="118" t="s">
        <v>1749</v>
      </c>
      <c r="D1127" s="119">
        <v>43871</v>
      </c>
      <c r="E1127" s="118" t="s">
        <v>1750</v>
      </c>
      <c r="F1127" s="118" t="s">
        <v>1746</v>
      </c>
      <c r="G1127" s="124">
        <v>4</v>
      </c>
      <c r="H1127" s="124">
        <v>1</v>
      </c>
      <c r="I1127" s="118">
        <v>11.5</v>
      </c>
      <c r="J1127" s="118">
        <v>74</v>
      </c>
      <c r="K1127" s="118"/>
      <c r="L1127" s="122">
        <v>0.66</v>
      </c>
      <c r="M1127" s="122">
        <v>-2.58</v>
      </c>
      <c r="N1127" s="118">
        <v>2.4900000000000002</v>
      </c>
      <c r="O1127" s="123" t="s">
        <v>2078</v>
      </c>
    </row>
    <row r="1128" spans="1:15" ht="43.2">
      <c r="A1128" s="118" t="s">
        <v>3431</v>
      </c>
      <c r="B1128" s="118" t="s">
        <v>1743</v>
      </c>
      <c r="C1128" s="118" t="s">
        <v>1755</v>
      </c>
      <c r="D1128" s="119">
        <v>44329</v>
      </c>
      <c r="E1128" s="118" t="s">
        <v>3432</v>
      </c>
      <c r="F1128" s="118" t="s">
        <v>1746</v>
      </c>
      <c r="G1128" s="124">
        <v>7</v>
      </c>
      <c r="H1128" s="124">
        <v>3</v>
      </c>
      <c r="I1128" s="118">
        <v>9.6999999999999993</v>
      </c>
      <c r="J1128" s="118">
        <v>67</v>
      </c>
      <c r="K1128" s="118"/>
      <c r="L1128" s="122">
        <v>0.56999999999999995</v>
      </c>
      <c r="M1128" s="122">
        <v>-2.88</v>
      </c>
      <c r="N1128" s="118">
        <v>2.65</v>
      </c>
      <c r="O1128" s="123" t="s">
        <v>2078</v>
      </c>
    </row>
    <row r="1129" spans="1:15" ht="43.2">
      <c r="A1129" s="118" t="s">
        <v>3433</v>
      </c>
      <c r="B1129" s="118" t="s">
        <v>1752</v>
      </c>
      <c r="C1129" s="118" t="s">
        <v>1744</v>
      </c>
      <c r="D1129" s="119">
        <v>44218</v>
      </c>
      <c r="E1129" s="118" t="s">
        <v>2279</v>
      </c>
      <c r="F1129" s="118" t="s">
        <v>1746</v>
      </c>
      <c r="G1129" s="124">
        <v>3</v>
      </c>
      <c r="H1129" s="124">
        <v>11</v>
      </c>
      <c r="I1129" s="118">
        <v>9.4</v>
      </c>
      <c r="J1129" s="118">
        <v>68</v>
      </c>
      <c r="K1129" s="118"/>
      <c r="L1129" s="122">
        <v>-1.03</v>
      </c>
      <c r="M1129" s="122">
        <v>-4.7300000000000004</v>
      </c>
      <c r="N1129" s="118">
        <v>1.96</v>
      </c>
      <c r="O1129" s="123" t="s">
        <v>1757</v>
      </c>
    </row>
    <row r="1130" spans="1:15" ht="72">
      <c r="A1130" s="118" t="s">
        <v>3434</v>
      </c>
      <c r="B1130" s="118" t="s">
        <v>1752</v>
      </c>
      <c r="C1130" s="118" t="s">
        <v>1755</v>
      </c>
      <c r="D1130" s="119">
        <v>44326</v>
      </c>
      <c r="E1130" s="118" t="s">
        <v>2977</v>
      </c>
      <c r="F1130" s="118" t="s">
        <v>1746</v>
      </c>
      <c r="G1130" s="124">
        <v>2</v>
      </c>
      <c r="H1130" s="124">
        <v>1</v>
      </c>
      <c r="I1130" s="118">
        <v>9.6</v>
      </c>
      <c r="J1130" s="118">
        <v>68</v>
      </c>
      <c r="K1130" s="118"/>
      <c r="L1130" s="122">
        <v>-0.15</v>
      </c>
      <c r="M1130" s="122">
        <v>-3.47</v>
      </c>
      <c r="N1130" s="118">
        <v>2.2000000000000002</v>
      </c>
      <c r="O1130" s="123" t="s">
        <v>2078</v>
      </c>
    </row>
    <row r="1131" spans="1:15" ht="43.2">
      <c r="A1131" s="118" t="s">
        <v>3435</v>
      </c>
      <c r="B1131" s="118" t="s">
        <v>1752</v>
      </c>
      <c r="C1131" s="118" t="s">
        <v>1749</v>
      </c>
      <c r="D1131" s="119">
        <v>43832</v>
      </c>
      <c r="E1131" s="118" t="s">
        <v>3267</v>
      </c>
      <c r="F1131" s="118" t="s">
        <v>1746</v>
      </c>
      <c r="G1131" s="124">
        <v>8</v>
      </c>
      <c r="H1131" s="124">
        <v>3</v>
      </c>
      <c r="I1131" s="118">
        <v>11.9</v>
      </c>
      <c r="J1131" s="118">
        <v>73</v>
      </c>
      <c r="K1131" s="118"/>
      <c r="L1131" s="122">
        <v>-0.79</v>
      </c>
      <c r="M1131" s="122">
        <v>-5.59</v>
      </c>
      <c r="N1131" s="118">
        <v>3.12</v>
      </c>
      <c r="O1131" s="123" t="s">
        <v>2170</v>
      </c>
    </row>
    <row r="1132" spans="1:15" ht="43.2">
      <c r="A1132" s="118" t="s">
        <v>3436</v>
      </c>
      <c r="B1132" s="118" t="s">
        <v>1743</v>
      </c>
      <c r="C1132" s="118" t="s">
        <v>1749</v>
      </c>
      <c r="D1132" s="119">
        <v>43896</v>
      </c>
      <c r="E1132" s="118" t="s">
        <v>3203</v>
      </c>
      <c r="F1132" s="118" t="s">
        <v>1746</v>
      </c>
      <c r="G1132" s="124">
        <v>2</v>
      </c>
      <c r="H1132" s="124">
        <v>4</v>
      </c>
      <c r="I1132" s="118">
        <v>11.7</v>
      </c>
      <c r="J1132" s="118">
        <v>73.599999999999994</v>
      </c>
      <c r="K1132" s="118"/>
      <c r="L1132" s="122">
        <v>-0.21</v>
      </c>
      <c r="M1132" s="122">
        <v>-4.47</v>
      </c>
      <c r="N1132" s="118">
        <v>2.9</v>
      </c>
      <c r="O1132" s="123" t="s">
        <v>2078</v>
      </c>
    </row>
    <row r="1133" spans="1:15" ht="43.2">
      <c r="A1133" s="118" t="s">
        <v>3437</v>
      </c>
      <c r="B1133" s="118" t="s">
        <v>1743</v>
      </c>
      <c r="C1133" s="118" t="s">
        <v>1749</v>
      </c>
      <c r="D1133" s="119">
        <v>43939</v>
      </c>
      <c r="E1133" s="118" t="s">
        <v>3438</v>
      </c>
      <c r="F1133" s="118" t="s">
        <v>1746</v>
      </c>
      <c r="G1133" s="124">
        <v>4</v>
      </c>
      <c r="H1133" s="124">
        <v>6</v>
      </c>
      <c r="I1133" s="118">
        <v>12</v>
      </c>
      <c r="J1133" s="118">
        <v>73.900000000000006</v>
      </c>
      <c r="K1133" s="118"/>
      <c r="L1133" s="122">
        <v>0.19</v>
      </c>
      <c r="M1133" s="122">
        <v>-4.12</v>
      </c>
      <c r="N1133" s="118">
        <v>3.09</v>
      </c>
      <c r="O1133" s="123" t="s">
        <v>2170</v>
      </c>
    </row>
    <row r="1134" spans="1:15" ht="28.8">
      <c r="A1134" s="118" t="s">
        <v>3439</v>
      </c>
      <c r="B1134" s="118" t="s">
        <v>1752</v>
      </c>
      <c r="C1134" s="118" t="s">
        <v>1744</v>
      </c>
      <c r="D1134" s="119">
        <v>43966</v>
      </c>
      <c r="E1134" s="118" t="s">
        <v>3440</v>
      </c>
      <c r="F1134" s="118" t="s">
        <v>1746</v>
      </c>
      <c r="G1134" s="124">
        <v>8</v>
      </c>
      <c r="H1134" s="124">
        <v>9</v>
      </c>
      <c r="I1134" s="118">
        <v>11.9</v>
      </c>
      <c r="J1134" s="118">
        <v>73.099999999999994</v>
      </c>
      <c r="K1134" s="118"/>
      <c r="L1134" s="122">
        <v>-0.22</v>
      </c>
      <c r="M1134" s="122">
        <v>-4.87</v>
      </c>
      <c r="N1134" s="118">
        <v>3.09</v>
      </c>
      <c r="O1134" s="123" t="s">
        <v>2170</v>
      </c>
    </row>
    <row r="1135" spans="1:15" ht="28.8">
      <c r="A1135" s="118" t="s">
        <v>3441</v>
      </c>
      <c r="B1135" s="118" t="s">
        <v>1752</v>
      </c>
      <c r="C1135" s="118" t="s">
        <v>1744</v>
      </c>
      <c r="D1135" s="119">
        <v>44025</v>
      </c>
      <c r="E1135" s="118" t="s">
        <v>3442</v>
      </c>
      <c r="F1135" s="118" t="s">
        <v>1746</v>
      </c>
      <c r="G1135" s="124">
        <v>1</v>
      </c>
      <c r="H1135" s="124">
        <v>9</v>
      </c>
      <c r="I1135" s="118">
        <v>11.4</v>
      </c>
      <c r="J1135" s="118">
        <v>73.400000000000006</v>
      </c>
      <c r="K1135" s="118"/>
      <c r="L1135" s="122">
        <v>-0.32</v>
      </c>
      <c r="M1135" s="122">
        <v>-4.38</v>
      </c>
      <c r="N1135" s="118">
        <v>2.5299999999999998</v>
      </c>
      <c r="O1135" s="123" t="s">
        <v>2078</v>
      </c>
    </row>
    <row r="1136" spans="1:15" ht="28.8">
      <c r="A1136" s="118" t="s">
        <v>3443</v>
      </c>
      <c r="B1136" s="118" t="s">
        <v>1743</v>
      </c>
      <c r="C1136" s="118" t="s">
        <v>1744</v>
      </c>
      <c r="D1136" s="119">
        <v>44096</v>
      </c>
      <c r="E1136" s="118" t="s">
        <v>3444</v>
      </c>
      <c r="F1136" s="118" t="s">
        <v>1746</v>
      </c>
      <c r="G1136" s="124">
        <v>5</v>
      </c>
      <c r="H1136" s="124">
        <v>9</v>
      </c>
      <c r="I1136" s="118">
        <v>11.5</v>
      </c>
      <c r="J1136" s="118">
        <v>73.7</v>
      </c>
      <c r="K1136" s="118"/>
      <c r="L1136" s="122">
        <v>0.62</v>
      </c>
      <c r="M1136" s="122">
        <v>-2.99</v>
      </c>
      <c r="N1136" s="118">
        <v>2.7</v>
      </c>
      <c r="O1136" s="123" t="s">
        <v>2078</v>
      </c>
    </row>
    <row r="1137" spans="1:15" ht="43.2">
      <c r="A1137" s="118" t="s">
        <v>3445</v>
      </c>
      <c r="B1137" s="118" t="s">
        <v>1743</v>
      </c>
      <c r="C1137" s="118" t="s">
        <v>1744</v>
      </c>
      <c r="D1137" s="119">
        <v>44275</v>
      </c>
      <c r="E1137" s="118" t="s">
        <v>3446</v>
      </c>
      <c r="F1137" s="118" t="s">
        <v>1746</v>
      </c>
      <c r="G1137" s="124">
        <v>7</v>
      </c>
      <c r="H1137" s="124">
        <v>9</v>
      </c>
      <c r="I1137" s="118">
        <v>9.9</v>
      </c>
      <c r="J1137" s="118">
        <v>68.5</v>
      </c>
      <c r="K1137" s="118"/>
      <c r="L1137" s="122">
        <v>0.41</v>
      </c>
      <c r="M1137" s="122">
        <v>-2.98</v>
      </c>
      <c r="N1137" s="118">
        <v>2.44</v>
      </c>
      <c r="O1137" s="123" t="s">
        <v>2078</v>
      </c>
    </row>
    <row r="1138" spans="1:15" ht="43.2">
      <c r="A1138" s="118" t="s">
        <v>3447</v>
      </c>
      <c r="B1138" s="118" t="s">
        <v>1743</v>
      </c>
      <c r="C1138" s="118" t="s">
        <v>1744</v>
      </c>
      <c r="D1138" s="119">
        <v>44295</v>
      </c>
      <c r="E1138" s="118" t="s">
        <v>3448</v>
      </c>
      <c r="F1138" s="118" t="s">
        <v>1746</v>
      </c>
      <c r="G1138" s="124">
        <v>6</v>
      </c>
      <c r="H1138" s="124">
        <v>9</v>
      </c>
      <c r="I1138" s="118">
        <v>9</v>
      </c>
      <c r="J1138" s="118">
        <v>65</v>
      </c>
      <c r="K1138" s="118"/>
      <c r="L1138" s="122">
        <v>-0.24</v>
      </c>
      <c r="M1138" s="122">
        <v>-4.0599999999999996</v>
      </c>
      <c r="N1138" s="118">
        <v>2.5099999999999998</v>
      </c>
      <c r="O1138" s="123" t="s">
        <v>2078</v>
      </c>
    </row>
    <row r="1139" spans="1:15" ht="28.8">
      <c r="A1139" s="118" t="s">
        <v>3449</v>
      </c>
      <c r="B1139" s="118" t="s">
        <v>1743</v>
      </c>
      <c r="C1139" s="118" t="s">
        <v>1744</v>
      </c>
      <c r="D1139" s="119">
        <v>44302</v>
      </c>
      <c r="E1139" s="118" t="s">
        <v>1764</v>
      </c>
      <c r="F1139" s="118" t="s">
        <v>1746</v>
      </c>
      <c r="G1139" s="124">
        <v>4</v>
      </c>
      <c r="H1139" s="124">
        <v>7</v>
      </c>
      <c r="I1139" s="118">
        <v>9.5</v>
      </c>
      <c r="J1139" s="118">
        <v>65.7</v>
      </c>
      <c r="K1139" s="118"/>
      <c r="L1139" s="122">
        <v>0.24</v>
      </c>
      <c r="M1139" s="122">
        <v>-3.71</v>
      </c>
      <c r="N1139" s="118">
        <v>2.83</v>
      </c>
      <c r="O1139" s="123" t="s">
        <v>2078</v>
      </c>
    </row>
    <row r="1140" spans="1:15" ht="43.2">
      <c r="A1140" s="118" t="s">
        <v>3450</v>
      </c>
      <c r="B1140" s="118" t="s">
        <v>1743</v>
      </c>
      <c r="C1140" s="118" t="s">
        <v>1744</v>
      </c>
      <c r="D1140" s="119">
        <v>44303</v>
      </c>
      <c r="E1140" s="118" t="s">
        <v>2376</v>
      </c>
      <c r="F1140" s="118" t="s">
        <v>1746</v>
      </c>
      <c r="G1140" s="124">
        <v>4</v>
      </c>
      <c r="H1140" s="124">
        <v>1</v>
      </c>
      <c r="I1140" s="118">
        <v>9</v>
      </c>
      <c r="J1140" s="118">
        <v>65.5</v>
      </c>
      <c r="K1140" s="118"/>
      <c r="L1140" s="122">
        <v>-0.19</v>
      </c>
      <c r="M1140" s="122">
        <v>-3.77</v>
      </c>
      <c r="N1140" s="118">
        <v>2.35</v>
      </c>
      <c r="O1140" s="123" t="s">
        <v>2078</v>
      </c>
    </row>
    <row r="1141" spans="1:15" ht="43.2">
      <c r="A1141" s="118" t="s">
        <v>3451</v>
      </c>
      <c r="B1141" s="118" t="s">
        <v>1743</v>
      </c>
      <c r="C1141" s="118" t="s">
        <v>1755</v>
      </c>
      <c r="D1141" s="119">
        <v>44315</v>
      </c>
      <c r="E1141" s="118" t="s">
        <v>2742</v>
      </c>
      <c r="F1141" s="118" t="s">
        <v>1769</v>
      </c>
      <c r="G1141" s="124">
        <v>4</v>
      </c>
      <c r="H1141" s="124">
        <v>1</v>
      </c>
      <c r="I1141" s="118">
        <v>9</v>
      </c>
      <c r="J1141" s="118">
        <v>65.5</v>
      </c>
      <c r="K1141" s="118"/>
      <c r="L1141" s="122">
        <v>-0.12</v>
      </c>
      <c r="M1141" s="122">
        <v>-3.62</v>
      </c>
      <c r="N1141" s="118">
        <v>2.35</v>
      </c>
      <c r="O1141" s="123" t="s">
        <v>2078</v>
      </c>
    </row>
    <row r="1142" spans="1:15" ht="43.2">
      <c r="A1142" s="118" t="s">
        <v>3452</v>
      </c>
      <c r="B1142" s="118" t="s">
        <v>1743</v>
      </c>
      <c r="C1142" s="118" t="s">
        <v>1755</v>
      </c>
      <c r="D1142" s="119">
        <v>44319</v>
      </c>
      <c r="E1142" s="118" t="s">
        <v>2408</v>
      </c>
      <c r="F1142" s="118" t="s">
        <v>1769</v>
      </c>
      <c r="G1142" s="124">
        <v>8</v>
      </c>
      <c r="H1142" s="124">
        <v>1</v>
      </c>
      <c r="I1142" s="118">
        <v>9</v>
      </c>
      <c r="J1142" s="118">
        <v>63.4</v>
      </c>
      <c r="K1142" s="118"/>
      <c r="L1142" s="122">
        <v>-0.09</v>
      </c>
      <c r="M1142" s="122">
        <v>-4.38</v>
      </c>
      <c r="N1142" s="118">
        <v>3.05</v>
      </c>
      <c r="O1142" s="123" t="s">
        <v>2170</v>
      </c>
    </row>
    <row r="1143" spans="1:15" ht="43.2">
      <c r="A1143" s="118" t="s">
        <v>3453</v>
      </c>
      <c r="B1143" s="118" t="s">
        <v>1743</v>
      </c>
      <c r="C1143" s="118" t="s">
        <v>1755</v>
      </c>
      <c r="D1143" s="119">
        <v>44373</v>
      </c>
      <c r="E1143" s="118" t="s">
        <v>2999</v>
      </c>
      <c r="F1143" s="118" t="s">
        <v>1769</v>
      </c>
      <c r="G1143" s="124">
        <v>8</v>
      </c>
      <c r="H1143" s="124">
        <v>5</v>
      </c>
      <c r="I1143" s="118">
        <v>8.1999999999999993</v>
      </c>
      <c r="J1143" s="118">
        <v>61.5</v>
      </c>
      <c r="K1143" s="118"/>
      <c r="L1143" s="122">
        <v>-0.48</v>
      </c>
      <c r="M1143" s="122">
        <v>-4.43</v>
      </c>
      <c r="N1143" s="118">
        <v>2.82</v>
      </c>
      <c r="O1143" s="123" t="s">
        <v>2078</v>
      </c>
    </row>
    <row r="1144" spans="1:15" ht="43.2">
      <c r="A1144" s="118" t="s">
        <v>3454</v>
      </c>
      <c r="B1144" s="118" t="s">
        <v>1752</v>
      </c>
      <c r="C1144" s="118" t="s">
        <v>1786</v>
      </c>
      <c r="D1144" s="119">
        <v>43298</v>
      </c>
      <c r="E1144" s="118" t="s">
        <v>2398</v>
      </c>
      <c r="F1144" s="118" t="s">
        <v>1769</v>
      </c>
      <c r="G1144" s="124">
        <v>4</v>
      </c>
      <c r="H1144" s="124">
        <v>1</v>
      </c>
      <c r="I1144" s="118">
        <v>8.8000000000000007</v>
      </c>
      <c r="J1144" s="118">
        <v>84</v>
      </c>
      <c r="K1144" s="118"/>
      <c r="L1144" s="122">
        <v>-4.58</v>
      </c>
      <c r="M1144" s="122">
        <v>-4.45</v>
      </c>
      <c r="N1144" s="118">
        <v>-3.32</v>
      </c>
      <c r="O1144" s="123" t="s">
        <v>1790</v>
      </c>
    </row>
    <row r="1145" spans="1:15" ht="57.6">
      <c r="A1145" s="118" t="s">
        <v>3455</v>
      </c>
      <c r="B1145" s="118" t="s">
        <v>1743</v>
      </c>
      <c r="C1145" s="118" t="s">
        <v>1744</v>
      </c>
      <c r="D1145" s="119">
        <v>44044</v>
      </c>
      <c r="E1145" s="118" t="s">
        <v>3456</v>
      </c>
      <c r="F1145" s="118" t="s">
        <v>1769</v>
      </c>
      <c r="G1145" s="124">
        <v>2</v>
      </c>
      <c r="H1145" s="124">
        <v>1</v>
      </c>
      <c r="I1145" s="118">
        <v>11.25</v>
      </c>
      <c r="J1145" s="118">
        <v>76.5</v>
      </c>
      <c r="K1145" s="118"/>
      <c r="L1145" s="122">
        <v>0.2</v>
      </c>
      <c r="M1145" s="122">
        <v>-2.4900000000000002</v>
      </c>
      <c r="N1145" s="118">
        <v>1.9</v>
      </c>
      <c r="O1145" s="123" t="s">
        <v>1757</v>
      </c>
    </row>
    <row r="1146" spans="1:15" ht="43.2">
      <c r="A1146" s="118" t="s">
        <v>3457</v>
      </c>
      <c r="B1146" s="118" t="s">
        <v>1752</v>
      </c>
      <c r="C1146" s="118" t="s">
        <v>1749</v>
      </c>
      <c r="D1146" s="119">
        <v>43879</v>
      </c>
      <c r="E1146" s="118" t="s">
        <v>3274</v>
      </c>
      <c r="F1146" s="118" t="s">
        <v>1769</v>
      </c>
      <c r="G1146" s="124">
        <v>3</v>
      </c>
      <c r="H1146" s="124">
        <v>1</v>
      </c>
      <c r="I1146" s="118">
        <v>11.6</v>
      </c>
      <c r="J1146" s="118">
        <v>83</v>
      </c>
      <c r="K1146" s="118"/>
      <c r="L1146" s="122">
        <v>-0.81</v>
      </c>
      <c r="M1146" s="122">
        <v>-2.2599999999999998</v>
      </c>
      <c r="N1146" s="118">
        <v>0.59</v>
      </c>
      <c r="O1146" s="123" t="s">
        <v>1760</v>
      </c>
    </row>
    <row r="1147" spans="1:15" ht="43.2">
      <c r="A1147" s="118" t="s">
        <v>3458</v>
      </c>
      <c r="B1147" s="118" t="s">
        <v>1752</v>
      </c>
      <c r="C1147" s="118" t="s">
        <v>1744</v>
      </c>
      <c r="D1147" s="119">
        <v>44184</v>
      </c>
      <c r="E1147" s="118" t="s">
        <v>3459</v>
      </c>
      <c r="F1147" s="118" t="s">
        <v>1769</v>
      </c>
      <c r="G1147" s="124">
        <v>1</v>
      </c>
      <c r="H1147" s="124">
        <v>2</v>
      </c>
      <c r="I1147" s="118">
        <v>9.4</v>
      </c>
      <c r="J1147" s="118">
        <v>75.5</v>
      </c>
      <c r="K1147" s="118"/>
      <c r="L1147" s="122">
        <v>-1.19</v>
      </c>
      <c r="M1147" s="122">
        <v>-2.16</v>
      </c>
      <c r="N1147" s="118">
        <v>-0.26</v>
      </c>
      <c r="O1147" s="123" t="s">
        <v>1760</v>
      </c>
    </row>
    <row r="1148" spans="1:15" ht="43.2">
      <c r="A1148" s="118" t="s">
        <v>3460</v>
      </c>
      <c r="B1148" s="118" t="s">
        <v>1752</v>
      </c>
      <c r="C1148" s="118" t="s">
        <v>1749</v>
      </c>
      <c r="D1148" s="119">
        <v>43945</v>
      </c>
      <c r="E1148" s="118" t="s">
        <v>2867</v>
      </c>
      <c r="F1148" s="118" t="s">
        <v>1769</v>
      </c>
      <c r="G1148" s="124">
        <v>2</v>
      </c>
      <c r="H1148" s="124">
        <v>5</v>
      </c>
      <c r="I1148" s="118">
        <v>11</v>
      </c>
      <c r="J1148" s="118">
        <v>81</v>
      </c>
      <c r="K1148" s="118"/>
      <c r="L1148" s="122">
        <v>-0.98</v>
      </c>
      <c r="M1148" s="122">
        <v>-2.42</v>
      </c>
      <c r="N1148" s="118">
        <v>0.4</v>
      </c>
      <c r="O1148" s="123" t="s">
        <v>1760</v>
      </c>
    </row>
    <row r="1149" spans="1:15" ht="43.2">
      <c r="A1149" s="118" t="s">
        <v>3461</v>
      </c>
      <c r="B1149" s="118" t="s">
        <v>1752</v>
      </c>
      <c r="C1149" s="118" t="s">
        <v>2055</v>
      </c>
      <c r="D1149" s="119">
        <v>44691</v>
      </c>
      <c r="E1149" s="118" t="s">
        <v>1924</v>
      </c>
      <c r="F1149" s="118" t="s">
        <v>1769</v>
      </c>
      <c r="G1149" s="124">
        <v>4</v>
      </c>
      <c r="H1149" s="124">
        <v>8</v>
      </c>
      <c r="I1149" s="118">
        <v>3.2</v>
      </c>
      <c r="J1149" s="118">
        <v>46</v>
      </c>
      <c r="K1149" s="118"/>
      <c r="L1149" s="122">
        <v>-0.3</v>
      </c>
      <c r="M1149" s="122">
        <v>-2.0499999999999998</v>
      </c>
      <c r="N1149" s="118">
        <v>2.16</v>
      </c>
      <c r="O1149" s="123" t="s">
        <v>2078</v>
      </c>
    </row>
    <row r="1150" spans="1:15" ht="43.2">
      <c r="A1150" s="118" t="s">
        <v>3462</v>
      </c>
      <c r="B1150" s="118" t="s">
        <v>1743</v>
      </c>
      <c r="C1150" s="118" t="s">
        <v>1779</v>
      </c>
      <c r="D1150" s="119">
        <v>42857</v>
      </c>
      <c r="E1150" s="118" t="s">
        <v>3463</v>
      </c>
      <c r="F1150" s="118" t="s">
        <v>1769</v>
      </c>
      <c r="G1150" s="124">
        <v>2</v>
      </c>
      <c r="H1150" s="124">
        <v>10</v>
      </c>
      <c r="I1150" s="118">
        <v>14.4</v>
      </c>
      <c r="J1150" s="118">
        <v>95.7</v>
      </c>
      <c r="K1150" s="118"/>
      <c r="L1150" s="122">
        <v>-1.68</v>
      </c>
      <c r="M1150" s="122">
        <v>-2.92</v>
      </c>
      <c r="N1150" s="118">
        <v>0.26</v>
      </c>
      <c r="O1150" s="123" t="s">
        <v>1760</v>
      </c>
    </row>
    <row r="1151" spans="1:15" ht="43.2">
      <c r="A1151" s="118" t="s">
        <v>3464</v>
      </c>
      <c r="B1151" s="118" t="s">
        <v>1752</v>
      </c>
      <c r="C1151" s="118" t="s">
        <v>1744</v>
      </c>
      <c r="D1151" s="119">
        <v>43957</v>
      </c>
      <c r="E1151" s="118" t="s">
        <v>2158</v>
      </c>
      <c r="F1151" s="118" t="s">
        <v>1769</v>
      </c>
      <c r="G1151" s="124">
        <v>1</v>
      </c>
      <c r="H1151" s="124">
        <v>2</v>
      </c>
      <c r="I1151" s="118">
        <v>10.199999999999999</v>
      </c>
      <c r="J1151" s="118">
        <v>80</v>
      </c>
      <c r="K1151" s="118"/>
      <c r="L1151" s="122">
        <v>-1.57</v>
      </c>
      <c r="M1151" s="122">
        <v>-2.62</v>
      </c>
      <c r="N1151" s="118">
        <v>-0.28999999999999998</v>
      </c>
      <c r="O1151" s="123" t="s">
        <v>1760</v>
      </c>
    </row>
    <row r="1152" spans="1:15" ht="43.2">
      <c r="A1152" s="118" t="s">
        <v>3465</v>
      </c>
      <c r="B1152" s="118" t="s">
        <v>1752</v>
      </c>
      <c r="C1152" s="118" t="s">
        <v>2055</v>
      </c>
      <c r="D1152" s="119">
        <v>44696</v>
      </c>
      <c r="E1152" s="118" t="s">
        <v>2099</v>
      </c>
      <c r="F1152" s="118" t="s">
        <v>1769</v>
      </c>
      <c r="G1152" s="124">
        <v>9</v>
      </c>
      <c r="H1152" s="124">
        <v>5</v>
      </c>
      <c r="I1152" s="118">
        <v>2.8</v>
      </c>
      <c r="J1152" s="118">
        <v>47</v>
      </c>
      <c r="K1152" s="118"/>
      <c r="L1152" s="122">
        <v>-2.08</v>
      </c>
      <c r="M1152" s="122">
        <v>-2.5099999999999998</v>
      </c>
      <c r="N1152" s="118">
        <v>-0.37</v>
      </c>
      <c r="O1152" s="123" t="s">
        <v>1760</v>
      </c>
    </row>
    <row r="1153" spans="1:15" ht="43.2">
      <c r="A1153" s="118" t="s">
        <v>3466</v>
      </c>
      <c r="B1153" s="118" t="s">
        <v>1752</v>
      </c>
      <c r="C1153" s="118" t="s">
        <v>2055</v>
      </c>
      <c r="D1153" s="119">
        <v>44705</v>
      </c>
      <c r="E1153" s="118" t="s">
        <v>2219</v>
      </c>
      <c r="F1153" s="118" t="s">
        <v>1769</v>
      </c>
      <c r="G1153" s="124">
        <v>1</v>
      </c>
      <c r="H1153" s="124">
        <v>11</v>
      </c>
      <c r="I1153" s="118">
        <v>2.9</v>
      </c>
      <c r="J1153" s="118">
        <v>49</v>
      </c>
      <c r="K1153" s="118"/>
      <c r="L1153" s="122">
        <v>-2.58</v>
      </c>
      <c r="M1153" s="122">
        <v>-2.13</v>
      </c>
      <c r="N1153" s="118">
        <v>-1.37</v>
      </c>
      <c r="O1153" s="123" t="s">
        <v>1760</v>
      </c>
    </row>
    <row r="1154" spans="1:15" ht="43.2">
      <c r="A1154" s="118" t="s">
        <v>3467</v>
      </c>
      <c r="B1154" s="118" t="s">
        <v>1743</v>
      </c>
      <c r="C1154" s="118" t="s">
        <v>1749</v>
      </c>
      <c r="D1154" s="119">
        <v>43700</v>
      </c>
      <c r="E1154" s="118" t="s">
        <v>2499</v>
      </c>
      <c r="F1154" s="118" t="s">
        <v>1769</v>
      </c>
      <c r="G1154" s="124">
        <v>6</v>
      </c>
      <c r="H1154" s="124">
        <v>5</v>
      </c>
      <c r="I1154" s="118">
        <v>11.2</v>
      </c>
      <c r="J1154" s="118">
        <v>87.2</v>
      </c>
      <c r="K1154" s="118"/>
      <c r="L1154" s="122">
        <v>-2.5</v>
      </c>
      <c r="M1154" s="122">
        <v>-3.24</v>
      </c>
      <c r="N1154" s="118">
        <v>-0.73</v>
      </c>
      <c r="O1154" s="123" t="s">
        <v>1760</v>
      </c>
    </row>
    <row r="1155" spans="1:15" ht="72">
      <c r="A1155" s="118" t="s">
        <v>3468</v>
      </c>
      <c r="B1155" s="118" t="s">
        <v>1743</v>
      </c>
      <c r="C1155" s="118" t="s">
        <v>1786</v>
      </c>
      <c r="D1155" s="119">
        <v>43293</v>
      </c>
      <c r="E1155" s="118" t="s">
        <v>2656</v>
      </c>
      <c r="F1155" s="118" t="s">
        <v>1769</v>
      </c>
      <c r="G1155" s="124">
        <v>4</v>
      </c>
      <c r="H1155" s="124">
        <v>1</v>
      </c>
      <c r="I1155" s="118">
        <v>11.8</v>
      </c>
      <c r="J1155" s="118">
        <v>91.3</v>
      </c>
      <c r="K1155" s="118">
        <v>14.2</v>
      </c>
      <c r="L1155" s="122">
        <v>-3.06</v>
      </c>
      <c r="M1155" s="122">
        <v>-3.68</v>
      </c>
      <c r="N1155" s="118">
        <v>-1.08</v>
      </c>
      <c r="O1155" s="123" t="s">
        <v>1760</v>
      </c>
    </row>
    <row r="1156" spans="1:15" ht="57.6">
      <c r="A1156" s="118" t="s">
        <v>3469</v>
      </c>
      <c r="B1156" s="118" t="s">
        <v>1743</v>
      </c>
      <c r="C1156" s="118" t="s">
        <v>1744</v>
      </c>
      <c r="D1156" s="119">
        <v>43956</v>
      </c>
      <c r="E1156" s="118" t="s">
        <v>2636</v>
      </c>
      <c r="F1156" s="118" t="s">
        <v>1769</v>
      </c>
      <c r="G1156" s="124">
        <v>8</v>
      </c>
      <c r="H1156" s="124">
        <v>1</v>
      </c>
      <c r="I1156" s="118">
        <v>10.199999999999999</v>
      </c>
      <c r="J1156" s="118">
        <v>85.5</v>
      </c>
      <c r="K1156" s="118">
        <v>14</v>
      </c>
      <c r="L1156" s="122">
        <v>-2.5099999999999998</v>
      </c>
      <c r="M1156" s="122">
        <v>-2.72</v>
      </c>
      <c r="N1156" s="118">
        <v>-1.22</v>
      </c>
      <c r="O1156" s="123" t="s">
        <v>1760</v>
      </c>
    </row>
    <row r="1157" spans="1:15" ht="43.2">
      <c r="A1157" s="118" t="s">
        <v>3470</v>
      </c>
      <c r="B1157" s="118" t="s">
        <v>1752</v>
      </c>
      <c r="C1157" s="118" t="s">
        <v>1749</v>
      </c>
      <c r="D1157" s="119">
        <v>43647</v>
      </c>
      <c r="E1157" s="118" t="s">
        <v>2495</v>
      </c>
      <c r="F1157" s="118" t="s">
        <v>1769</v>
      </c>
      <c r="G1157" s="124">
        <v>6</v>
      </c>
      <c r="H1157" s="124">
        <v>5</v>
      </c>
      <c r="I1157" s="118">
        <v>12.4</v>
      </c>
      <c r="J1157" s="118">
        <v>94</v>
      </c>
      <c r="K1157" s="118">
        <v>14</v>
      </c>
      <c r="L1157" s="122">
        <v>-2.06</v>
      </c>
      <c r="M1157" s="122">
        <v>-2.0099999999999998</v>
      </c>
      <c r="N1157" s="118">
        <v>-1.38</v>
      </c>
      <c r="O1157" s="123" t="s">
        <v>1760</v>
      </c>
    </row>
    <row r="1158" spans="1:15" ht="43.2">
      <c r="A1158" s="118" t="s">
        <v>3471</v>
      </c>
      <c r="B1158" s="118" t="s">
        <v>1752</v>
      </c>
      <c r="C1158" s="118" t="s">
        <v>1749</v>
      </c>
      <c r="D1158" s="119">
        <v>43717</v>
      </c>
      <c r="E1158" s="118" t="s">
        <v>3472</v>
      </c>
      <c r="F1158" s="118" t="s">
        <v>1769</v>
      </c>
      <c r="G1158" s="124">
        <v>1</v>
      </c>
      <c r="H1158" s="124">
        <v>7</v>
      </c>
      <c r="I1158" s="118">
        <v>10.199999999999999</v>
      </c>
      <c r="J1158" s="118">
        <v>85</v>
      </c>
      <c r="K1158" s="118"/>
      <c r="L1158" s="122">
        <v>-3.46</v>
      </c>
      <c r="M1158" s="122">
        <v>-3.97</v>
      </c>
      <c r="N1158" s="118">
        <v>-1.69</v>
      </c>
      <c r="O1158" s="123" t="s">
        <v>1760</v>
      </c>
    </row>
    <row r="1159" spans="1:15" ht="43.2">
      <c r="A1159" s="118" t="s">
        <v>3473</v>
      </c>
      <c r="B1159" s="118" t="s">
        <v>1743</v>
      </c>
      <c r="C1159" s="118" t="s">
        <v>1744</v>
      </c>
      <c r="D1159" s="119">
        <v>44312</v>
      </c>
      <c r="E1159" s="118" t="s">
        <v>3143</v>
      </c>
      <c r="F1159" s="118" t="s">
        <v>1774</v>
      </c>
      <c r="G1159" s="124">
        <v>2</v>
      </c>
      <c r="H1159" s="124">
        <v>5</v>
      </c>
      <c r="I1159" s="118">
        <v>7.8</v>
      </c>
      <c r="J1159" s="118">
        <v>79.5</v>
      </c>
      <c r="K1159" s="118"/>
      <c r="L1159" s="122">
        <v>-3.34</v>
      </c>
      <c r="M1159" s="122">
        <v>-2.25</v>
      </c>
      <c r="N1159" s="118">
        <v>-2.9</v>
      </c>
      <c r="O1159" s="123" t="s">
        <v>1747</v>
      </c>
    </row>
    <row r="1160" spans="1:15" ht="43.2">
      <c r="A1160" s="118" t="s">
        <v>3474</v>
      </c>
      <c r="B1160" s="118" t="s">
        <v>1752</v>
      </c>
      <c r="C1160" s="118" t="s">
        <v>1744</v>
      </c>
      <c r="D1160" s="119">
        <v>44112</v>
      </c>
      <c r="E1160" s="118" t="s">
        <v>3040</v>
      </c>
      <c r="F1160" s="118" t="s">
        <v>1774</v>
      </c>
      <c r="G1160" s="124">
        <v>1</v>
      </c>
      <c r="H1160" s="124">
        <v>8</v>
      </c>
      <c r="I1160" s="118">
        <v>9.6</v>
      </c>
      <c r="J1160" s="118">
        <v>83</v>
      </c>
      <c r="K1160" s="118"/>
      <c r="L1160" s="122">
        <v>-2.89</v>
      </c>
      <c r="M1160" s="122">
        <v>-2.8</v>
      </c>
      <c r="N1160" s="118">
        <v>-1.92</v>
      </c>
      <c r="O1160" s="123" t="s">
        <v>1760</v>
      </c>
    </row>
    <row r="1161" spans="1:15" ht="43.2">
      <c r="A1161" s="118" t="s">
        <v>3475</v>
      </c>
      <c r="B1161" s="118" t="s">
        <v>1752</v>
      </c>
      <c r="C1161" s="118" t="s">
        <v>1786</v>
      </c>
      <c r="D1161" s="119">
        <v>43334</v>
      </c>
      <c r="E1161" s="118" t="s">
        <v>2509</v>
      </c>
      <c r="F1161" s="118" t="s">
        <v>1777</v>
      </c>
      <c r="G1161" s="124">
        <v>2</v>
      </c>
      <c r="H1161" s="124">
        <v>10</v>
      </c>
      <c r="I1161" s="118">
        <v>12.5</v>
      </c>
      <c r="J1161" s="118">
        <v>94</v>
      </c>
      <c r="K1161" s="118"/>
      <c r="L1161" s="122">
        <v>-2.71</v>
      </c>
      <c r="M1161" s="122">
        <v>-3.12</v>
      </c>
      <c r="N1161" s="118">
        <v>-1.27</v>
      </c>
      <c r="O1161" s="123" t="s">
        <v>1760</v>
      </c>
    </row>
    <row r="1162" spans="1:15" ht="43.2">
      <c r="A1162" s="118" t="s">
        <v>3476</v>
      </c>
      <c r="B1162" s="118" t="s">
        <v>1743</v>
      </c>
      <c r="C1162" s="118" t="s">
        <v>1786</v>
      </c>
      <c r="D1162" s="119">
        <v>43252</v>
      </c>
      <c r="E1162" s="118" t="s">
        <v>3157</v>
      </c>
      <c r="F1162" s="118" t="s">
        <v>1777</v>
      </c>
      <c r="G1162" s="124">
        <v>1</v>
      </c>
      <c r="H1162" s="124">
        <v>13</v>
      </c>
      <c r="I1162" s="118">
        <v>12.6</v>
      </c>
      <c r="J1162" s="118">
        <v>95.9</v>
      </c>
      <c r="K1162" s="118">
        <v>15.1</v>
      </c>
      <c r="L1162" s="122">
        <v>-2.64</v>
      </c>
      <c r="M1162" s="122">
        <v>-2.82</v>
      </c>
      <c r="N1162" s="118">
        <v>-1.3</v>
      </c>
      <c r="O1162" s="123" t="s">
        <v>1760</v>
      </c>
    </row>
    <row r="1163" spans="1:15" ht="43.2">
      <c r="A1163" s="118" t="s">
        <v>3477</v>
      </c>
      <c r="B1163" s="118" t="s">
        <v>1743</v>
      </c>
      <c r="C1163" s="118" t="s">
        <v>1744</v>
      </c>
      <c r="D1163" s="119">
        <v>44104</v>
      </c>
      <c r="E1163" s="118" t="s">
        <v>3478</v>
      </c>
      <c r="F1163" s="118" t="s">
        <v>1777</v>
      </c>
      <c r="G1163" s="124">
        <v>2</v>
      </c>
      <c r="H1163" s="124">
        <v>9</v>
      </c>
      <c r="I1163" s="118">
        <v>8.6</v>
      </c>
      <c r="J1163" s="118">
        <v>77</v>
      </c>
      <c r="K1163" s="118">
        <v>12.5</v>
      </c>
      <c r="L1163" s="122">
        <v>-3.46</v>
      </c>
      <c r="M1163" s="122">
        <v>-4.16</v>
      </c>
      <c r="N1163" s="118">
        <v>-1.31</v>
      </c>
      <c r="O1163" s="123" t="s">
        <v>1760</v>
      </c>
    </row>
    <row r="1164" spans="1:15" ht="43.2">
      <c r="A1164" s="118" t="s">
        <v>3479</v>
      </c>
      <c r="B1164" s="118" t="s">
        <v>1752</v>
      </c>
      <c r="C1164" s="118" t="s">
        <v>1749</v>
      </c>
      <c r="D1164" s="119">
        <v>43790</v>
      </c>
      <c r="E1164" s="118" t="s">
        <v>2898</v>
      </c>
      <c r="F1164" s="118" t="s">
        <v>1777</v>
      </c>
      <c r="G1164" s="124">
        <v>5</v>
      </c>
      <c r="H1164" s="124">
        <v>1</v>
      </c>
      <c r="I1164" s="118">
        <v>9.1999999999999993</v>
      </c>
      <c r="J1164" s="118">
        <v>88.3</v>
      </c>
      <c r="K1164" s="118">
        <v>13</v>
      </c>
      <c r="L1164" s="122">
        <v>-4.03</v>
      </c>
      <c r="M1164" s="122">
        <v>-2.87</v>
      </c>
      <c r="N1164" s="118">
        <v>-3.9</v>
      </c>
      <c r="O1164" s="123" t="s">
        <v>1790</v>
      </c>
    </row>
    <row r="1165" spans="1:15" ht="57.6">
      <c r="A1165" s="118" t="s">
        <v>3480</v>
      </c>
      <c r="B1165" s="118" t="s">
        <v>1752</v>
      </c>
      <c r="C1165" s="118" t="s">
        <v>1744</v>
      </c>
      <c r="D1165" s="119">
        <v>44169</v>
      </c>
      <c r="E1165" s="118" t="s">
        <v>3153</v>
      </c>
      <c r="F1165" s="118" t="s">
        <v>1777</v>
      </c>
      <c r="G1165" s="124">
        <v>4</v>
      </c>
      <c r="H1165" s="124">
        <v>2</v>
      </c>
      <c r="I1165" s="118">
        <v>8.3000000000000007</v>
      </c>
      <c r="J1165" s="118">
        <v>80.400000000000006</v>
      </c>
      <c r="K1165" s="118">
        <v>13.3</v>
      </c>
      <c r="L1165" s="122">
        <v>-3.89</v>
      </c>
      <c r="M1165" s="122">
        <v>-3.33</v>
      </c>
      <c r="N1165" s="118">
        <v>-3.14</v>
      </c>
      <c r="O1165" s="123" t="s">
        <v>1790</v>
      </c>
    </row>
    <row r="1166" spans="1:15" ht="43.2">
      <c r="A1166" s="118" t="s">
        <v>3481</v>
      </c>
      <c r="B1166" s="118" t="s">
        <v>1752</v>
      </c>
      <c r="C1166" s="118" t="s">
        <v>1749</v>
      </c>
      <c r="D1166" s="119">
        <v>43892</v>
      </c>
      <c r="E1166" s="118" t="s">
        <v>2019</v>
      </c>
      <c r="F1166" s="118" t="s">
        <v>1777</v>
      </c>
      <c r="G1166" s="124">
        <v>1</v>
      </c>
      <c r="H1166" s="124">
        <v>15</v>
      </c>
      <c r="I1166" s="118">
        <v>12</v>
      </c>
      <c r="J1166" s="118">
        <v>88</v>
      </c>
      <c r="K1166" s="118">
        <v>16</v>
      </c>
      <c r="L1166" s="122">
        <v>-1.69</v>
      </c>
      <c r="M1166" s="122">
        <v>-2.5099999999999998</v>
      </c>
      <c r="N1166" s="118">
        <v>-0.42</v>
      </c>
      <c r="O1166" s="123" t="s">
        <v>1760</v>
      </c>
    </row>
    <row r="1167" spans="1:15" ht="43.2">
      <c r="A1167" s="118" t="s">
        <v>3482</v>
      </c>
      <c r="B1167" s="118" t="s">
        <v>1743</v>
      </c>
      <c r="C1167" s="118" t="s">
        <v>1755</v>
      </c>
      <c r="D1167" s="119">
        <v>44624</v>
      </c>
      <c r="E1167" s="118" t="s">
        <v>3375</v>
      </c>
      <c r="F1167" s="118" t="s">
        <v>1777</v>
      </c>
      <c r="G1167" s="124">
        <v>3</v>
      </c>
      <c r="H1167" s="124">
        <v>9</v>
      </c>
      <c r="I1167" s="118">
        <v>6</v>
      </c>
      <c r="J1167" s="118">
        <v>65.5</v>
      </c>
      <c r="K1167" s="118">
        <v>12</v>
      </c>
      <c r="L1167" s="122">
        <v>-3.78</v>
      </c>
      <c r="M1167" s="122">
        <v>-4.1399999999999997</v>
      </c>
      <c r="N1167" s="118">
        <v>-2.06</v>
      </c>
      <c r="O1167" s="123" t="s">
        <v>1747</v>
      </c>
    </row>
    <row r="1168" spans="1:15" ht="43.2">
      <c r="A1168" s="118" t="s">
        <v>3483</v>
      </c>
      <c r="B1168" s="118" t="s">
        <v>1752</v>
      </c>
      <c r="C1168" s="118" t="s">
        <v>2609</v>
      </c>
      <c r="D1168" s="119">
        <v>45077</v>
      </c>
      <c r="E1168" s="118" t="s">
        <v>1891</v>
      </c>
      <c r="F1168" s="118" t="s">
        <v>1777</v>
      </c>
      <c r="G1168" s="124">
        <v>1</v>
      </c>
      <c r="H1168" s="124">
        <v>13</v>
      </c>
      <c r="I1168" s="118">
        <v>4</v>
      </c>
      <c r="J1168" s="118">
        <v>50</v>
      </c>
      <c r="K1168" s="118"/>
      <c r="L1168" s="122">
        <v>-0.86</v>
      </c>
      <c r="M1168" s="122">
        <v>-2.11</v>
      </c>
      <c r="N1168" s="118">
        <v>1.56</v>
      </c>
      <c r="O1168" s="123" t="s">
        <v>1757</v>
      </c>
    </row>
    <row r="1169" spans="1:15" ht="43.2">
      <c r="A1169" s="118" t="s">
        <v>3484</v>
      </c>
      <c r="B1169" s="118" t="s">
        <v>1752</v>
      </c>
      <c r="C1169" s="118" t="s">
        <v>1755</v>
      </c>
      <c r="D1169" s="119">
        <v>44651</v>
      </c>
      <c r="E1169" s="118" t="s">
        <v>3379</v>
      </c>
      <c r="F1169" s="118" t="s">
        <v>1777</v>
      </c>
      <c r="G1169" s="124">
        <v>3</v>
      </c>
      <c r="H1169" s="124">
        <v>15</v>
      </c>
      <c r="I1169" s="118">
        <v>6.64</v>
      </c>
      <c r="J1169" s="118">
        <v>66.5</v>
      </c>
      <c r="K1169" s="118"/>
      <c r="L1169" s="122">
        <v>-3.55</v>
      </c>
      <c r="M1169" s="122">
        <v>-4.32</v>
      </c>
      <c r="N1169" s="118">
        <v>-1.72</v>
      </c>
      <c r="O1169" s="123" t="s">
        <v>1760</v>
      </c>
    </row>
    <row r="1170" spans="1:15" ht="43.2">
      <c r="A1170" s="118" t="s">
        <v>3485</v>
      </c>
      <c r="B1170" s="118" t="s">
        <v>1752</v>
      </c>
      <c r="C1170" s="118" t="s">
        <v>1744</v>
      </c>
      <c r="D1170" s="119">
        <v>44004</v>
      </c>
      <c r="E1170" s="118" t="s">
        <v>3367</v>
      </c>
      <c r="F1170" s="118" t="s">
        <v>1777</v>
      </c>
      <c r="G1170" s="124">
        <v>2</v>
      </c>
      <c r="H1170" s="124">
        <v>8</v>
      </c>
      <c r="I1170" s="118">
        <v>10.3</v>
      </c>
      <c r="J1170" s="118">
        <v>86.9</v>
      </c>
      <c r="K1170" s="118"/>
      <c r="L1170" s="122">
        <v>-2.63</v>
      </c>
      <c r="M1170" s="122">
        <v>-2.44</v>
      </c>
      <c r="N1170" s="118">
        <v>-1.9</v>
      </c>
      <c r="O1170" s="123" t="s">
        <v>1760</v>
      </c>
    </row>
    <row r="1171" spans="1:15" ht="100.8">
      <c r="A1171" s="118" t="s">
        <v>3486</v>
      </c>
      <c r="B1171" s="118" t="s">
        <v>1752</v>
      </c>
      <c r="C1171" s="118" t="s">
        <v>1744</v>
      </c>
      <c r="D1171" s="119">
        <v>44051</v>
      </c>
      <c r="E1171" s="118" t="s">
        <v>3487</v>
      </c>
      <c r="F1171" s="118" t="s">
        <v>1777</v>
      </c>
      <c r="G1171" s="124">
        <v>3</v>
      </c>
      <c r="H1171" s="124">
        <v>8</v>
      </c>
      <c r="I1171" s="118">
        <v>10.8</v>
      </c>
      <c r="J1171" s="118">
        <v>85</v>
      </c>
      <c r="K1171" s="118">
        <v>13.8</v>
      </c>
      <c r="L1171" s="122">
        <v>-2.13</v>
      </c>
      <c r="M1171" s="122">
        <v>-2.63</v>
      </c>
      <c r="N1171" s="118">
        <v>-0.96</v>
      </c>
      <c r="O1171" s="123" t="s">
        <v>1760</v>
      </c>
    </row>
    <row r="1172" spans="1:15" ht="57.6">
      <c r="A1172" s="118" t="s">
        <v>3488</v>
      </c>
      <c r="B1172" s="118" t="s">
        <v>1752</v>
      </c>
      <c r="C1172" s="118" t="s">
        <v>1744</v>
      </c>
      <c r="D1172" s="119">
        <v>44217</v>
      </c>
      <c r="E1172" s="118" t="s">
        <v>2569</v>
      </c>
      <c r="F1172" s="118" t="s">
        <v>2190</v>
      </c>
      <c r="G1172" s="124">
        <v>3</v>
      </c>
      <c r="H1172" s="124">
        <v>1</v>
      </c>
      <c r="I1172" s="118">
        <v>13.9</v>
      </c>
      <c r="J1172" s="118">
        <v>82.5</v>
      </c>
      <c r="K1172" s="118"/>
      <c r="L1172" s="122">
        <v>0.68</v>
      </c>
      <c r="M1172" s="122">
        <v>-2.2999999999999998</v>
      </c>
      <c r="N1172" s="118">
        <v>2.64</v>
      </c>
      <c r="O1172" s="123" t="s">
        <v>2078</v>
      </c>
    </row>
    <row r="1173" spans="1:15" ht="43.2">
      <c r="A1173" s="118" t="s">
        <v>3489</v>
      </c>
      <c r="B1173" s="118" t="s">
        <v>1752</v>
      </c>
      <c r="C1173" s="118" t="s">
        <v>1755</v>
      </c>
      <c r="D1173" s="119">
        <v>44614</v>
      </c>
      <c r="E1173" s="118" t="s">
        <v>3069</v>
      </c>
      <c r="F1173" s="118" t="s">
        <v>2190</v>
      </c>
      <c r="G1173" s="124">
        <v>7</v>
      </c>
      <c r="H1173" s="124">
        <v>2</v>
      </c>
      <c r="I1173" s="118">
        <v>8</v>
      </c>
      <c r="J1173" s="118">
        <v>73</v>
      </c>
      <c r="K1173" s="118"/>
      <c r="L1173" s="122">
        <v>-2.1800000000000002</v>
      </c>
      <c r="M1173" s="122">
        <v>-2.19</v>
      </c>
      <c r="N1173" s="118">
        <v>-1.58</v>
      </c>
      <c r="O1173" s="123" t="s">
        <v>1760</v>
      </c>
    </row>
    <row r="1174" spans="1:15" ht="43.2">
      <c r="A1174" s="118" t="s">
        <v>3490</v>
      </c>
      <c r="B1174" s="118" t="s">
        <v>1743</v>
      </c>
      <c r="C1174" s="118" t="s">
        <v>1755</v>
      </c>
      <c r="D1174" s="119">
        <v>44433</v>
      </c>
      <c r="E1174" s="118" t="s">
        <v>3166</v>
      </c>
      <c r="F1174" s="118" t="s">
        <v>2190</v>
      </c>
      <c r="G1174" s="124">
        <v>3</v>
      </c>
      <c r="H1174" s="124">
        <v>2</v>
      </c>
      <c r="I1174" s="118">
        <v>8.9</v>
      </c>
      <c r="J1174" s="118">
        <v>73.5</v>
      </c>
      <c r="K1174" s="118"/>
      <c r="L1174" s="122">
        <v>-1.55</v>
      </c>
      <c r="M1174" s="122">
        <v>-3.14</v>
      </c>
      <c r="N1174" s="118">
        <v>0.05</v>
      </c>
      <c r="O1174" s="123" t="s">
        <v>1760</v>
      </c>
    </row>
    <row r="1175" spans="1:15" ht="43.2">
      <c r="A1175" s="118" t="s">
        <v>3491</v>
      </c>
      <c r="B1175" s="118" t="s">
        <v>1743</v>
      </c>
      <c r="C1175" s="118" t="s">
        <v>1744</v>
      </c>
      <c r="D1175" s="119">
        <v>44277</v>
      </c>
      <c r="E1175" s="118" t="s">
        <v>2287</v>
      </c>
      <c r="F1175" s="118" t="s">
        <v>2190</v>
      </c>
      <c r="G1175" s="124">
        <v>5</v>
      </c>
      <c r="H1175" s="124">
        <v>2</v>
      </c>
      <c r="I1175" s="118">
        <v>8.3000000000000007</v>
      </c>
      <c r="J1175" s="118">
        <v>78</v>
      </c>
      <c r="K1175" s="118">
        <v>13.2</v>
      </c>
      <c r="L1175" s="122">
        <v>-2.97</v>
      </c>
      <c r="M1175" s="122">
        <v>-2.72</v>
      </c>
      <c r="N1175" s="118">
        <v>-1.96</v>
      </c>
      <c r="O1175" s="123" t="s">
        <v>1760</v>
      </c>
    </row>
    <row r="1176" spans="1:15" ht="43.2">
      <c r="A1176" s="118" t="s">
        <v>3492</v>
      </c>
      <c r="B1176" s="118" t="s">
        <v>1743</v>
      </c>
      <c r="C1176" s="118" t="s">
        <v>1744</v>
      </c>
      <c r="D1176" s="119">
        <v>44265</v>
      </c>
      <c r="E1176" s="118" t="s">
        <v>3164</v>
      </c>
      <c r="F1176" s="118" t="s">
        <v>2190</v>
      </c>
      <c r="G1176" s="124">
        <v>4</v>
      </c>
      <c r="H1176" s="124">
        <v>6</v>
      </c>
      <c r="I1176" s="118">
        <v>8.75</v>
      </c>
      <c r="J1176" s="118">
        <v>80.599999999999994</v>
      </c>
      <c r="K1176" s="118"/>
      <c r="L1176" s="122">
        <v>-2.56</v>
      </c>
      <c r="M1176" s="122">
        <v>-2.02</v>
      </c>
      <c r="N1176" s="118">
        <v>-1.96</v>
      </c>
      <c r="O1176" s="123" t="s">
        <v>1760</v>
      </c>
    </row>
    <row r="1177" spans="1:15" ht="43.2">
      <c r="A1177" s="118" t="s">
        <v>3493</v>
      </c>
      <c r="B1177" s="118" t="s">
        <v>1752</v>
      </c>
      <c r="C1177" s="118" t="s">
        <v>1786</v>
      </c>
      <c r="D1177" s="119">
        <v>43231</v>
      </c>
      <c r="E1177" s="118" t="s">
        <v>3074</v>
      </c>
      <c r="F1177" s="118" t="s">
        <v>2190</v>
      </c>
      <c r="G1177" s="124">
        <v>1</v>
      </c>
      <c r="H1177" s="124">
        <v>6</v>
      </c>
      <c r="I1177" s="118">
        <v>13.4</v>
      </c>
      <c r="J1177" s="118">
        <v>98.2</v>
      </c>
      <c r="K1177" s="118"/>
      <c r="L1177" s="122">
        <v>-2.37</v>
      </c>
      <c r="M1177" s="122">
        <v>-2.5299999999999998</v>
      </c>
      <c r="N1177" s="118">
        <v>-1.3</v>
      </c>
      <c r="O1177" s="123" t="s">
        <v>1760</v>
      </c>
    </row>
    <row r="1178" spans="1:15" ht="43.2">
      <c r="A1178" s="118" t="s">
        <v>3494</v>
      </c>
      <c r="B1178" s="118" t="s">
        <v>1743</v>
      </c>
      <c r="C1178" s="118" t="s">
        <v>1786</v>
      </c>
      <c r="D1178" s="119">
        <v>43378</v>
      </c>
      <c r="E1178" s="118" t="s">
        <v>3076</v>
      </c>
      <c r="F1178" s="118" t="s">
        <v>2190</v>
      </c>
      <c r="G1178" s="124">
        <v>8</v>
      </c>
      <c r="H1178" s="124">
        <v>3</v>
      </c>
      <c r="I1178" s="118">
        <v>11</v>
      </c>
      <c r="J1178" s="118">
        <v>95</v>
      </c>
      <c r="K1178" s="118">
        <v>12.9</v>
      </c>
      <c r="L1178" s="122">
        <v>-3.4</v>
      </c>
      <c r="M1178" s="122">
        <v>-2.63</v>
      </c>
      <c r="N1178" s="118">
        <v>-2.72</v>
      </c>
      <c r="O1178" s="123" t="s">
        <v>1747</v>
      </c>
    </row>
    <row r="1179" spans="1:15" ht="43.2">
      <c r="A1179" s="118" t="s">
        <v>3495</v>
      </c>
      <c r="B1179" s="118" t="s">
        <v>1743</v>
      </c>
      <c r="C1179" s="118" t="s">
        <v>1786</v>
      </c>
      <c r="D1179" s="119">
        <v>43466</v>
      </c>
      <c r="E1179" s="118" t="s">
        <v>2816</v>
      </c>
      <c r="F1179" s="118" t="s">
        <v>2190</v>
      </c>
      <c r="G1179" s="124">
        <v>3</v>
      </c>
      <c r="H1179" s="124">
        <v>4</v>
      </c>
      <c r="I1179" s="118">
        <v>11</v>
      </c>
      <c r="J1179" s="118">
        <v>91.7</v>
      </c>
      <c r="K1179" s="118"/>
      <c r="L1179" s="122">
        <v>-3.2</v>
      </c>
      <c r="M1179" s="122">
        <v>-3.01</v>
      </c>
      <c r="N1179" s="118">
        <v>-1.99</v>
      </c>
      <c r="O1179" s="123" t="s">
        <v>1760</v>
      </c>
    </row>
    <row r="1180" spans="1:15" ht="43.2">
      <c r="A1180" s="118" t="s">
        <v>3496</v>
      </c>
      <c r="B1180" s="118" t="s">
        <v>1752</v>
      </c>
      <c r="C1180" s="118" t="s">
        <v>1786</v>
      </c>
      <c r="D1180" s="119">
        <v>43519</v>
      </c>
      <c r="E1180" s="118" t="s">
        <v>3497</v>
      </c>
      <c r="F1180" s="118" t="s">
        <v>2190</v>
      </c>
      <c r="G1180" s="124">
        <v>5</v>
      </c>
      <c r="H1180" s="124">
        <v>1</v>
      </c>
      <c r="I1180" s="118">
        <v>12.7</v>
      </c>
      <c r="J1180" s="118">
        <v>93.2</v>
      </c>
      <c r="K1180" s="118"/>
      <c r="L1180" s="122">
        <v>-2.1800000000000002</v>
      </c>
      <c r="M1180" s="122">
        <v>-2.68</v>
      </c>
      <c r="N1180" s="118">
        <v>-0.89</v>
      </c>
      <c r="O1180" s="123" t="s">
        <v>1760</v>
      </c>
    </row>
    <row r="1181" spans="1:15" ht="43.2">
      <c r="A1181" s="118" t="s">
        <v>3498</v>
      </c>
      <c r="B1181" s="118" t="s">
        <v>1752</v>
      </c>
      <c r="C1181" s="118" t="s">
        <v>1749</v>
      </c>
      <c r="D1181" s="119">
        <v>43586</v>
      </c>
      <c r="E1181" s="118" t="s">
        <v>2577</v>
      </c>
      <c r="F1181" s="118" t="s">
        <v>2190</v>
      </c>
      <c r="G1181" s="124">
        <v>7</v>
      </c>
      <c r="H1181" s="124">
        <v>2</v>
      </c>
      <c r="I1181" s="118">
        <v>16.5</v>
      </c>
      <c r="J1181" s="118">
        <v>94</v>
      </c>
      <c r="K1181" s="118"/>
      <c r="L1181" s="122">
        <v>0.05</v>
      </c>
      <c r="M1181" s="122">
        <v>-2.25</v>
      </c>
      <c r="N1181" s="118">
        <v>2.13</v>
      </c>
      <c r="O1181" s="123" t="s">
        <v>2078</v>
      </c>
    </row>
    <row r="1182" spans="1:15" ht="43.2">
      <c r="A1182" s="118" t="s">
        <v>3499</v>
      </c>
      <c r="B1182" s="118" t="s">
        <v>1752</v>
      </c>
      <c r="C1182" s="118" t="s">
        <v>1749</v>
      </c>
      <c r="D1182" s="119">
        <v>43759</v>
      </c>
      <c r="E1182" s="118" t="s">
        <v>3500</v>
      </c>
      <c r="F1182" s="118" t="s">
        <v>2190</v>
      </c>
      <c r="G1182" s="124">
        <v>3</v>
      </c>
      <c r="H1182" s="124">
        <v>4</v>
      </c>
      <c r="I1182" s="118">
        <v>11.3</v>
      </c>
      <c r="J1182" s="118">
        <v>90</v>
      </c>
      <c r="K1182" s="118">
        <v>15</v>
      </c>
      <c r="L1182" s="122">
        <v>-2.54</v>
      </c>
      <c r="M1182" s="122">
        <v>-2.5499999999999998</v>
      </c>
      <c r="N1182" s="118">
        <v>-1.67</v>
      </c>
      <c r="O1182" s="123" t="s">
        <v>1760</v>
      </c>
    </row>
    <row r="1183" spans="1:15" ht="43.2">
      <c r="A1183" s="118" t="s">
        <v>3501</v>
      </c>
      <c r="B1183" s="118" t="s">
        <v>1752</v>
      </c>
      <c r="C1183" s="118" t="s">
        <v>1744</v>
      </c>
      <c r="D1183" s="119">
        <v>43971</v>
      </c>
      <c r="E1183" s="118" t="s">
        <v>3502</v>
      </c>
      <c r="F1183" s="118" t="s">
        <v>2190</v>
      </c>
      <c r="G1183" s="124">
        <v>3</v>
      </c>
      <c r="H1183" s="124">
        <v>4</v>
      </c>
      <c r="I1183" s="118">
        <v>10.6</v>
      </c>
      <c r="J1183" s="118">
        <v>88</v>
      </c>
      <c r="K1183" s="118"/>
      <c r="L1183" s="122">
        <v>-2.4900000000000002</v>
      </c>
      <c r="M1183" s="122">
        <v>-2.12</v>
      </c>
      <c r="N1183" s="118">
        <v>-2.0099999999999998</v>
      </c>
      <c r="O1183" s="123" t="s">
        <v>1747</v>
      </c>
    </row>
    <row r="1184" spans="1:15" ht="43.2">
      <c r="A1184" s="118" t="s">
        <v>3503</v>
      </c>
      <c r="B1184" s="118" t="s">
        <v>1752</v>
      </c>
      <c r="C1184" s="118" t="s">
        <v>1744</v>
      </c>
      <c r="D1184" s="119">
        <v>43979</v>
      </c>
      <c r="E1184" s="118" t="s">
        <v>3074</v>
      </c>
      <c r="F1184" s="118" t="s">
        <v>2190</v>
      </c>
      <c r="G1184" s="124">
        <v>1</v>
      </c>
      <c r="H1184" s="124">
        <v>6</v>
      </c>
      <c r="I1184" s="118">
        <v>10.6</v>
      </c>
      <c r="J1184" s="118">
        <v>88</v>
      </c>
      <c r="K1184" s="118"/>
      <c r="L1184" s="122">
        <v>-2.46</v>
      </c>
      <c r="M1184" s="122">
        <v>-2.08</v>
      </c>
      <c r="N1184" s="118">
        <v>-2.0099999999999998</v>
      </c>
      <c r="O1184" s="123" t="s">
        <v>1747</v>
      </c>
    </row>
    <row r="1185" spans="1:15" ht="43.2">
      <c r="A1185" s="118" t="s">
        <v>3504</v>
      </c>
      <c r="B1185" s="118" t="s">
        <v>1743</v>
      </c>
      <c r="C1185" s="118" t="s">
        <v>1744</v>
      </c>
      <c r="D1185" s="119">
        <v>44145</v>
      </c>
      <c r="E1185" s="118" t="s">
        <v>3505</v>
      </c>
      <c r="F1185" s="118" t="s">
        <v>2190</v>
      </c>
      <c r="G1185" s="124">
        <v>4</v>
      </c>
      <c r="H1185" s="124">
        <v>1</v>
      </c>
      <c r="I1185" s="118">
        <v>10</v>
      </c>
      <c r="J1185" s="118">
        <v>83.5</v>
      </c>
      <c r="K1185" s="118">
        <v>14</v>
      </c>
      <c r="L1185" s="122">
        <v>-1.96</v>
      </c>
      <c r="M1185" s="122">
        <v>-2.0099999999999998</v>
      </c>
      <c r="N1185" s="118">
        <v>-1.1200000000000001</v>
      </c>
      <c r="O1185" s="123" t="s">
        <v>1760</v>
      </c>
    </row>
    <row r="1186" spans="1:15" ht="43.2">
      <c r="A1186" s="118" t="s">
        <v>3506</v>
      </c>
      <c r="B1186" s="118" t="s">
        <v>1752</v>
      </c>
      <c r="C1186" s="118" t="s">
        <v>1744</v>
      </c>
      <c r="D1186" s="119">
        <v>44154</v>
      </c>
      <c r="E1186" s="118" t="s">
        <v>3309</v>
      </c>
      <c r="F1186" s="118" t="s">
        <v>1781</v>
      </c>
      <c r="G1186" s="124"/>
      <c r="H1186" s="124">
        <v>3</v>
      </c>
      <c r="I1186" s="118">
        <v>9.1</v>
      </c>
      <c r="J1186" s="118">
        <v>82.8</v>
      </c>
      <c r="K1186" s="118">
        <v>12.5</v>
      </c>
      <c r="L1186" s="122">
        <v>-3.24</v>
      </c>
      <c r="M1186" s="122">
        <v>-2.7</v>
      </c>
      <c r="N1186" s="118">
        <v>-2.56</v>
      </c>
      <c r="O1186" s="123" t="s">
        <v>1747</v>
      </c>
    </row>
    <row r="1187" spans="1:15" ht="43.2">
      <c r="A1187" s="118" t="s">
        <v>3507</v>
      </c>
      <c r="B1187" s="118" t="s">
        <v>1752</v>
      </c>
      <c r="C1187" s="118" t="s">
        <v>1755</v>
      </c>
      <c r="D1187" s="119">
        <v>44494</v>
      </c>
      <c r="E1187" s="118" t="s">
        <v>3312</v>
      </c>
      <c r="F1187" s="118" t="s">
        <v>1781</v>
      </c>
      <c r="G1187" s="124"/>
      <c r="H1187" s="124">
        <v>3</v>
      </c>
      <c r="I1187" s="118">
        <v>7.8</v>
      </c>
      <c r="J1187" s="118">
        <v>77</v>
      </c>
      <c r="K1187" s="118">
        <v>13.5</v>
      </c>
      <c r="L1187" s="122">
        <v>-3.11</v>
      </c>
      <c r="M1187" s="122">
        <v>-2.12</v>
      </c>
      <c r="N1187" s="118">
        <v>-2.99</v>
      </c>
      <c r="O1187" s="123" t="s">
        <v>1747</v>
      </c>
    </row>
    <row r="1188" spans="1:15" ht="43.2">
      <c r="A1188" s="118" t="s">
        <v>3508</v>
      </c>
      <c r="B1188" s="118" t="s">
        <v>1752</v>
      </c>
      <c r="C1188" s="118" t="s">
        <v>1744</v>
      </c>
      <c r="D1188" s="119">
        <v>44252</v>
      </c>
      <c r="E1188" s="118" t="s">
        <v>2822</v>
      </c>
      <c r="F1188" s="118" t="s">
        <v>1781</v>
      </c>
      <c r="G1188" s="124">
        <v>2</v>
      </c>
      <c r="H1188" s="124">
        <v>12</v>
      </c>
      <c r="I1188" s="118">
        <v>8</v>
      </c>
      <c r="J1188" s="118">
        <v>79</v>
      </c>
      <c r="K1188" s="118">
        <v>12.3</v>
      </c>
      <c r="L1188" s="122">
        <v>-3.87</v>
      </c>
      <c r="M1188" s="122">
        <v>-3.4</v>
      </c>
      <c r="N1188" s="118">
        <v>-3.13</v>
      </c>
      <c r="O1188" s="123" t="s">
        <v>1790</v>
      </c>
    </row>
    <row r="1189" spans="1:15" ht="43.2">
      <c r="A1189" s="118" t="s">
        <v>3509</v>
      </c>
      <c r="B1189" s="118" t="s">
        <v>1752</v>
      </c>
      <c r="C1189" s="118" t="s">
        <v>1755</v>
      </c>
      <c r="D1189" s="119">
        <v>44567</v>
      </c>
      <c r="E1189" s="118" t="s">
        <v>2824</v>
      </c>
      <c r="F1189" s="118" t="s">
        <v>1781</v>
      </c>
      <c r="G1189" s="124">
        <v>1</v>
      </c>
      <c r="H1189" s="124">
        <v>3</v>
      </c>
      <c r="I1189" s="118">
        <v>7.8</v>
      </c>
      <c r="J1189" s="118">
        <v>71.5</v>
      </c>
      <c r="K1189" s="118">
        <v>15</v>
      </c>
      <c r="L1189" s="122">
        <v>-2.71</v>
      </c>
      <c r="M1189" s="122">
        <v>-3.4</v>
      </c>
      <c r="N1189" s="118">
        <v>-1.44</v>
      </c>
      <c r="O1189" s="123" t="s">
        <v>1760</v>
      </c>
    </row>
    <row r="1190" spans="1:15" ht="57.6">
      <c r="A1190" s="118" t="s">
        <v>3510</v>
      </c>
      <c r="B1190" s="118" t="s">
        <v>1743</v>
      </c>
      <c r="C1190" s="118" t="s">
        <v>1744</v>
      </c>
      <c r="D1190" s="119">
        <v>43951</v>
      </c>
      <c r="E1190" s="118" t="s">
        <v>1780</v>
      </c>
      <c r="F1190" s="118" t="s">
        <v>1781</v>
      </c>
      <c r="G1190" s="124">
        <v>3</v>
      </c>
      <c r="H1190" s="124">
        <v>10</v>
      </c>
      <c r="I1190" s="118">
        <v>10.9</v>
      </c>
      <c r="J1190" s="118">
        <v>83.5</v>
      </c>
      <c r="K1190" s="118">
        <v>15</v>
      </c>
      <c r="L1190" s="122">
        <v>-1.94</v>
      </c>
      <c r="M1190" s="122">
        <v>-3.05</v>
      </c>
      <c r="N1190" s="118">
        <v>-0.13</v>
      </c>
      <c r="O1190" s="123" t="s">
        <v>1760</v>
      </c>
    </row>
    <row r="1191" spans="1:15" ht="43.2">
      <c r="A1191" s="118" t="s">
        <v>3511</v>
      </c>
      <c r="B1191" s="118" t="s">
        <v>1743</v>
      </c>
      <c r="C1191" s="118" t="s">
        <v>1749</v>
      </c>
      <c r="D1191" s="119">
        <v>43593</v>
      </c>
      <c r="E1191" s="118" t="s">
        <v>2596</v>
      </c>
      <c r="F1191" s="118" t="s">
        <v>1781</v>
      </c>
      <c r="G1191" s="124">
        <v>2</v>
      </c>
      <c r="H1191" s="124">
        <v>13</v>
      </c>
      <c r="I1191" s="118">
        <v>12.5</v>
      </c>
      <c r="J1191" s="118">
        <v>92</v>
      </c>
      <c r="K1191" s="118">
        <v>16</v>
      </c>
      <c r="L1191" s="122">
        <v>-1.89</v>
      </c>
      <c r="M1191" s="122">
        <v>-2.5</v>
      </c>
      <c r="N1191" s="118">
        <v>-0.56999999999999995</v>
      </c>
      <c r="O1191" s="123" t="s">
        <v>1760</v>
      </c>
    </row>
    <row r="1192" spans="1:15" ht="43.2">
      <c r="A1192" s="118" t="s">
        <v>3512</v>
      </c>
      <c r="B1192" s="118" t="s">
        <v>1743</v>
      </c>
      <c r="C1192" s="118" t="s">
        <v>1744</v>
      </c>
      <c r="D1192" s="119">
        <v>44272</v>
      </c>
      <c r="E1192" s="118" t="s">
        <v>3306</v>
      </c>
      <c r="F1192" s="118" t="s">
        <v>1781</v>
      </c>
      <c r="G1192" s="124">
        <v>4</v>
      </c>
      <c r="H1192" s="124">
        <v>1</v>
      </c>
      <c r="I1192" s="118">
        <v>8.1999999999999993</v>
      </c>
      <c r="J1192" s="118">
        <v>75.5</v>
      </c>
      <c r="K1192" s="118">
        <v>13</v>
      </c>
      <c r="L1192" s="122">
        <v>-3.12</v>
      </c>
      <c r="M1192" s="122">
        <v>-3.75</v>
      </c>
      <c r="N1192" s="118">
        <v>-1.36</v>
      </c>
      <c r="O1192" s="123" t="s">
        <v>1760</v>
      </c>
    </row>
    <row r="1193" spans="1:15" ht="43.2">
      <c r="A1193" s="118" t="s">
        <v>3513</v>
      </c>
      <c r="B1193" s="118" t="s">
        <v>1752</v>
      </c>
      <c r="C1193" s="118" t="s">
        <v>1786</v>
      </c>
      <c r="D1193" s="119">
        <v>43487</v>
      </c>
      <c r="E1193" s="118" t="s">
        <v>3318</v>
      </c>
      <c r="F1193" s="118" t="s">
        <v>1781</v>
      </c>
      <c r="G1193" s="124">
        <v>0</v>
      </c>
      <c r="H1193" s="124">
        <v>3</v>
      </c>
      <c r="I1193" s="118">
        <v>14.2</v>
      </c>
      <c r="J1193" s="118">
        <v>96</v>
      </c>
      <c r="K1193" s="118">
        <v>15</v>
      </c>
      <c r="L1193" s="122">
        <v>-1.37</v>
      </c>
      <c r="M1193" s="122">
        <v>-2.15</v>
      </c>
      <c r="N1193" s="118">
        <v>-0.09</v>
      </c>
      <c r="O1193" s="123" t="s">
        <v>1760</v>
      </c>
    </row>
    <row r="1194" spans="1:15" ht="43.2">
      <c r="A1194" s="118" t="s">
        <v>3514</v>
      </c>
      <c r="B1194" s="118" t="s">
        <v>1752</v>
      </c>
      <c r="C1194" s="118" t="s">
        <v>1744</v>
      </c>
      <c r="D1194" s="119">
        <v>44119</v>
      </c>
      <c r="E1194" s="118" t="s">
        <v>2591</v>
      </c>
      <c r="F1194" s="118" t="s">
        <v>1781</v>
      </c>
      <c r="G1194" s="124">
        <v>1</v>
      </c>
      <c r="H1194" s="124">
        <v>11</v>
      </c>
      <c r="I1194" s="118">
        <v>9.09</v>
      </c>
      <c r="J1194" s="118">
        <v>79.099999999999994</v>
      </c>
      <c r="K1194" s="118">
        <v>14.6</v>
      </c>
      <c r="L1194" s="122">
        <v>-3.3</v>
      </c>
      <c r="M1194" s="122">
        <v>-3.86</v>
      </c>
      <c r="N1194" s="118">
        <v>-1.67</v>
      </c>
      <c r="O1194" s="123" t="s">
        <v>1760</v>
      </c>
    </row>
    <row r="1195" spans="1:15" ht="43.2">
      <c r="A1195" s="118" t="s">
        <v>3515</v>
      </c>
      <c r="B1195" s="118" t="s">
        <v>1743</v>
      </c>
      <c r="C1195" s="118" t="s">
        <v>1744</v>
      </c>
      <c r="D1195" s="119">
        <v>44130</v>
      </c>
      <c r="E1195" s="118" t="s">
        <v>2119</v>
      </c>
      <c r="F1195" s="118" t="s">
        <v>1781</v>
      </c>
      <c r="G1195" s="124">
        <v>2</v>
      </c>
      <c r="H1195" s="124">
        <v>2</v>
      </c>
      <c r="I1195" s="118">
        <v>9.1999999999999993</v>
      </c>
      <c r="J1195" s="118">
        <v>83.1</v>
      </c>
      <c r="K1195" s="118">
        <v>14</v>
      </c>
      <c r="L1195" s="122">
        <v>-2.73</v>
      </c>
      <c r="M1195" s="122">
        <v>-2.2000000000000002</v>
      </c>
      <c r="N1195" s="118">
        <v>-2</v>
      </c>
      <c r="O1195" s="123" t="s">
        <v>1760</v>
      </c>
    </row>
    <row r="1196" spans="1:15" ht="43.2">
      <c r="A1196" s="118" t="s">
        <v>3516</v>
      </c>
      <c r="B1196" s="118" t="s">
        <v>1752</v>
      </c>
      <c r="C1196" s="118" t="s">
        <v>1749</v>
      </c>
      <c r="D1196" s="119">
        <v>43888</v>
      </c>
      <c r="E1196" s="118" t="s">
        <v>2320</v>
      </c>
      <c r="F1196" s="118" t="s">
        <v>1781</v>
      </c>
      <c r="G1196" s="124">
        <v>3</v>
      </c>
      <c r="H1196" s="124">
        <v>11</v>
      </c>
      <c r="I1196" s="118">
        <v>8.4</v>
      </c>
      <c r="J1196" s="118">
        <v>85.1</v>
      </c>
      <c r="K1196" s="118">
        <v>11.8</v>
      </c>
      <c r="L1196" s="122">
        <v>-4.42</v>
      </c>
      <c r="M1196" s="122">
        <v>-3.26</v>
      </c>
      <c r="N1196" s="118">
        <v>-4.16</v>
      </c>
      <c r="O1196" s="123" t="s">
        <v>1790</v>
      </c>
    </row>
    <row r="1197" spans="1:15" ht="43.2">
      <c r="A1197" s="118" t="s">
        <v>3517</v>
      </c>
      <c r="B1197" s="118" t="s">
        <v>1743</v>
      </c>
      <c r="C1197" s="118" t="s">
        <v>1749</v>
      </c>
      <c r="D1197" s="119">
        <v>43821</v>
      </c>
      <c r="E1197" s="118" t="s">
        <v>2310</v>
      </c>
      <c r="F1197" s="118" t="s">
        <v>1781</v>
      </c>
      <c r="G1197" s="124">
        <v>1</v>
      </c>
      <c r="H1197" s="124">
        <v>11</v>
      </c>
      <c r="I1197" s="118">
        <v>8.4</v>
      </c>
      <c r="J1197" s="118">
        <v>85.1</v>
      </c>
      <c r="K1197" s="118">
        <v>11.8</v>
      </c>
      <c r="L1197" s="122">
        <v>-4.37</v>
      </c>
      <c r="M1197" s="122">
        <v>-3.32</v>
      </c>
      <c r="N1197" s="118">
        <v>-3.6</v>
      </c>
      <c r="O1197" s="123" t="s">
        <v>1790</v>
      </c>
    </row>
    <row r="1198" spans="1:15" ht="43.2">
      <c r="A1198" s="118" t="s">
        <v>3518</v>
      </c>
      <c r="B1198" s="118" t="s">
        <v>1743</v>
      </c>
      <c r="C1198" s="118" t="s">
        <v>1749</v>
      </c>
      <c r="D1198" s="119">
        <v>43646</v>
      </c>
      <c r="E1198" s="118" t="s">
        <v>3404</v>
      </c>
      <c r="F1198" s="118" t="s">
        <v>1781</v>
      </c>
      <c r="G1198" s="124">
        <v>3</v>
      </c>
      <c r="H1198" s="124">
        <v>2</v>
      </c>
      <c r="I1198" s="118">
        <v>12.7</v>
      </c>
      <c r="J1198" s="118">
        <v>91.6</v>
      </c>
      <c r="K1198" s="118">
        <v>15.4</v>
      </c>
      <c r="L1198" s="122">
        <v>-1.62</v>
      </c>
      <c r="M1198" s="122">
        <v>-2.37</v>
      </c>
      <c r="N1198" s="118">
        <v>-0.3</v>
      </c>
      <c r="O1198" s="123" t="s">
        <v>1760</v>
      </c>
    </row>
    <row r="1199" spans="1:15" ht="43.2">
      <c r="A1199" s="118" t="s">
        <v>3519</v>
      </c>
      <c r="B1199" s="118" t="s">
        <v>1752</v>
      </c>
      <c r="C1199" s="118" t="s">
        <v>1749</v>
      </c>
      <c r="D1199" s="119">
        <v>43848</v>
      </c>
      <c r="E1199" s="118" t="s">
        <v>2313</v>
      </c>
      <c r="F1199" s="118" t="s">
        <v>1781</v>
      </c>
      <c r="G1199" s="124">
        <v>2</v>
      </c>
      <c r="H1199" s="124">
        <v>11</v>
      </c>
      <c r="I1199" s="118">
        <v>10</v>
      </c>
      <c r="J1199" s="118">
        <v>86.9</v>
      </c>
      <c r="K1199" s="118">
        <v>14.3</v>
      </c>
      <c r="L1199" s="122">
        <v>-3.3</v>
      </c>
      <c r="M1199" s="122">
        <v>-2.99</v>
      </c>
      <c r="N1199" s="118">
        <v>-2.48</v>
      </c>
      <c r="O1199" s="123" t="s">
        <v>1747</v>
      </c>
    </row>
    <row r="1200" spans="1:15" ht="43.2">
      <c r="A1200" s="118" t="s">
        <v>3520</v>
      </c>
      <c r="B1200" s="118" t="s">
        <v>1743</v>
      </c>
      <c r="C1200" s="118" t="s">
        <v>1786</v>
      </c>
      <c r="D1200" s="119">
        <v>43229</v>
      </c>
      <c r="E1200" s="118" t="s">
        <v>2308</v>
      </c>
      <c r="F1200" s="118" t="s">
        <v>1781</v>
      </c>
      <c r="G1200" s="124">
        <v>4</v>
      </c>
      <c r="H1200" s="124">
        <v>2</v>
      </c>
      <c r="I1200" s="118">
        <v>13.95</v>
      </c>
      <c r="J1200" s="118">
        <v>97.7</v>
      </c>
      <c r="K1200" s="118">
        <v>15.5</v>
      </c>
      <c r="L1200" s="122">
        <v>-1.89</v>
      </c>
      <c r="M1200" s="122">
        <v>-2.4700000000000002</v>
      </c>
      <c r="N1200" s="118">
        <v>-0.5</v>
      </c>
      <c r="O1200" s="123" t="s">
        <v>1760</v>
      </c>
    </row>
    <row r="1201" spans="1:15" ht="43.2">
      <c r="A1201" s="118" t="s">
        <v>3521</v>
      </c>
      <c r="B1201" s="118" t="s">
        <v>1752</v>
      </c>
      <c r="C1201" s="118" t="s">
        <v>1786</v>
      </c>
      <c r="D1201" s="119">
        <v>43333</v>
      </c>
      <c r="E1201" s="118" t="s">
        <v>1907</v>
      </c>
      <c r="F1201" s="118" t="s">
        <v>1784</v>
      </c>
      <c r="G1201" s="124">
        <v>3</v>
      </c>
      <c r="H1201" s="124">
        <v>2</v>
      </c>
      <c r="I1201" s="118">
        <v>12.75</v>
      </c>
      <c r="J1201" s="118">
        <v>96.2</v>
      </c>
      <c r="K1201" s="118">
        <v>15.3</v>
      </c>
      <c r="L1201" s="122">
        <v>-2.56</v>
      </c>
      <c r="M1201" s="122">
        <v>-2.64</v>
      </c>
      <c r="N1201" s="118">
        <v>-1.5</v>
      </c>
      <c r="O1201" s="123" t="s">
        <v>1760</v>
      </c>
    </row>
    <row r="1202" spans="1:15" ht="28.8">
      <c r="A1202" s="118" t="s">
        <v>3522</v>
      </c>
      <c r="B1202" s="118" t="s">
        <v>1743</v>
      </c>
      <c r="C1202" s="118" t="s">
        <v>2055</v>
      </c>
      <c r="D1202" s="119">
        <v>44889</v>
      </c>
      <c r="E1202" s="118" t="s">
        <v>3097</v>
      </c>
      <c r="F1202" s="118" t="s">
        <v>1784</v>
      </c>
      <c r="G1202" s="124">
        <v>5</v>
      </c>
      <c r="H1202" s="124">
        <v>6</v>
      </c>
      <c r="I1202" s="118">
        <v>5.8</v>
      </c>
      <c r="J1202" s="118">
        <v>59</v>
      </c>
      <c r="K1202" s="118">
        <v>14</v>
      </c>
      <c r="L1202" s="122">
        <v>-1.58</v>
      </c>
      <c r="M1202" s="122">
        <v>-2.5099999999999998</v>
      </c>
      <c r="N1202" s="118">
        <v>0.35</v>
      </c>
      <c r="O1202" s="123" t="s">
        <v>1760</v>
      </c>
    </row>
    <row r="1203" spans="1:15" ht="28.8">
      <c r="A1203" s="118" t="s">
        <v>3523</v>
      </c>
      <c r="B1203" s="118" t="s">
        <v>1743</v>
      </c>
      <c r="C1203" s="118" t="s">
        <v>1755</v>
      </c>
      <c r="D1203" s="119">
        <v>44541</v>
      </c>
      <c r="E1203" s="118" t="s">
        <v>3524</v>
      </c>
      <c r="F1203" s="118" t="s">
        <v>1784</v>
      </c>
      <c r="G1203" s="124">
        <v>4</v>
      </c>
      <c r="H1203" s="124">
        <v>5</v>
      </c>
      <c r="I1203" s="118">
        <v>8.3000000000000007</v>
      </c>
      <c r="J1203" s="118">
        <v>72</v>
      </c>
      <c r="K1203" s="118">
        <v>15</v>
      </c>
      <c r="L1203" s="122">
        <v>-1.53</v>
      </c>
      <c r="M1203" s="122">
        <v>-2.61</v>
      </c>
      <c r="N1203" s="118">
        <v>-0.35</v>
      </c>
      <c r="O1203" s="123" t="s">
        <v>1760</v>
      </c>
    </row>
    <row r="1204" spans="1:15" ht="28.8">
      <c r="A1204" s="118" t="s">
        <v>3525</v>
      </c>
      <c r="B1204" s="118" t="s">
        <v>1752</v>
      </c>
      <c r="C1204" s="118" t="s">
        <v>1755</v>
      </c>
      <c r="D1204" s="119">
        <v>44522</v>
      </c>
      <c r="E1204" s="118" t="s">
        <v>3526</v>
      </c>
      <c r="F1204" s="118" t="s">
        <v>1784</v>
      </c>
      <c r="G1204" s="124">
        <v>1</v>
      </c>
      <c r="H1204" s="124">
        <v>4</v>
      </c>
      <c r="I1204" s="118">
        <v>8.0399999999999991</v>
      </c>
      <c r="J1204" s="118">
        <v>72.900000000000006</v>
      </c>
      <c r="K1204" s="118">
        <v>13.5</v>
      </c>
      <c r="L1204" s="122">
        <v>-2.66</v>
      </c>
      <c r="M1204" s="122">
        <v>-3.28</v>
      </c>
      <c r="N1204" s="118">
        <v>-1.48</v>
      </c>
      <c r="O1204" s="123" t="s">
        <v>1760</v>
      </c>
    </row>
    <row r="1205" spans="1:15" ht="43.2">
      <c r="A1205" s="118" t="s">
        <v>3527</v>
      </c>
      <c r="B1205" s="118" t="s">
        <v>1743</v>
      </c>
      <c r="C1205" s="118" t="s">
        <v>1755</v>
      </c>
      <c r="D1205" s="119">
        <v>44502</v>
      </c>
      <c r="E1205" s="118" t="s">
        <v>3528</v>
      </c>
      <c r="F1205" s="118" t="s">
        <v>1784</v>
      </c>
      <c r="G1205" s="124">
        <v>1</v>
      </c>
      <c r="H1205" s="124">
        <v>8</v>
      </c>
      <c r="I1205" s="118">
        <v>7.92</v>
      </c>
      <c r="J1205" s="118">
        <v>74.8</v>
      </c>
      <c r="K1205" s="118">
        <v>13.5</v>
      </c>
      <c r="L1205" s="122">
        <v>-2.16</v>
      </c>
      <c r="M1205" s="122">
        <v>-2.0499999999999998</v>
      </c>
      <c r="N1205" s="118">
        <v>-1.6</v>
      </c>
      <c r="O1205" s="123" t="s">
        <v>1760</v>
      </c>
    </row>
    <row r="1206" spans="1:15" ht="28.8">
      <c r="A1206" s="118" t="s">
        <v>3529</v>
      </c>
      <c r="B1206" s="118" t="s">
        <v>1752</v>
      </c>
      <c r="C1206" s="118" t="s">
        <v>1755</v>
      </c>
      <c r="D1206" s="119">
        <v>44364</v>
      </c>
      <c r="E1206" s="118" t="s">
        <v>3188</v>
      </c>
      <c r="F1206" s="118" t="s">
        <v>1784</v>
      </c>
      <c r="G1206" s="124">
        <v>5</v>
      </c>
      <c r="H1206" s="124">
        <v>6</v>
      </c>
      <c r="I1206" s="118">
        <v>8.9</v>
      </c>
      <c r="J1206" s="118">
        <v>78</v>
      </c>
      <c r="K1206" s="118">
        <v>14</v>
      </c>
      <c r="L1206" s="122">
        <v>-2.54</v>
      </c>
      <c r="M1206" s="122">
        <v>-2.88</v>
      </c>
      <c r="N1206" s="118">
        <v>-1.53</v>
      </c>
      <c r="O1206" s="123" t="s">
        <v>1760</v>
      </c>
    </row>
    <row r="1207" spans="1:15" ht="43.2">
      <c r="A1207" s="118" t="s">
        <v>3530</v>
      </c>
      <c r="B1207" s="118" t="s">
        <v>1743</v>
      </c>
      <c r="C1207" s="118" t="s">
        <v>1744</v>
      </c>
      <c r="D1207" s="119">
        <v>43992</v>
      </c>
      <c r="E1207" s="118" t="s">
        <v>3326</v>
      </c>
      <c r="F1207" s="118" t="s">
        <v>1784</v>
      </c>
      <c r="G1207" s="124">
        <v>1</v>
      </c>
      <c r="H1207" s="124">
        <v>2</v>
      </c>
      <c r="I1207" s="118">
        <v>11.15</v>
      </c>
      <c r="J1207" s="118">
        <v>84.8</v>
      </c>
      <c r="K1207" s="118">
        <v>13.2</v>
      </c>
      <c r="L1207" s="122">
        <v>-1.61</v>
      </c>
      <c r="M1207" s="122">
        <v>-2.5099999999999998</v>
      </c>
      <c r="N1207" s="118">
        <v>-0.19</v>
      </c>
      <c r="O1207" s="123" t="s">
        <v>1760</v>
      </c>
    </row>
    <row r="1208" spans="1:15" ht="28.8">
      <c r="A1208" s="118" t="s">
        <v>3531</v>
      </c>
      <c r="B1208" s="118" t="s">
        <v>1743</v>
      </c>
      <c r="C1208" s="118" t="s">
        <v>1744</v>
      </c>
      <c r="D1208" s="119">
        <v>43992</v>
      </c>
      <c r="E1208" s="118" t="s">
        <v>3532</v>
      </c>
      <c r="F1208" s="118" t="s">
        <v>1784</v>
      </c>
      <c r="G1208" s="124">
        <v>4</v>
      </c>
      <c r="H1208" s="124">
        <v>5</v>
      </c>
      <c r="I1208" s="118">
        <v>10.199999999999999</v>
      </c>
      <c r="J1208" s="118">
        <v>83</v>
      </c>
      <c r="K1208" s="118">
        <v>14</v>
      </c>
      <c r="L1208" s="122">
        <v>-2.36</v>
      </c>
      <c r="M1208" s="122">
        <v>-2.99</v>
      </c>
      <c r="N1208" s="118">
        <v>-0.76</v>
      </c>
      <c r="O1208" s="123" t="s">
        <v>1760</v>
      </c>
    </row>
    <row r="1209" spans="1:15" ht="43.2">
      <c r="A1209" s="118" t="s">
        <v>3533</v>
      </c>
      <c r="B1209" s="118" t="s">
        <v>1752</v>
      </c>
      <c r="C1209" s="118" t="s">
        <v>1749</v>
      </c>
      <c r="D1209" s="119">
        <v>43841</v>
      </c>
      <c r="E1209" s="118" t="s">
        <v>1907</v>
      </c>
      <c r="F1209" s="118" t="s">
        <v>1784</v>
      </c>
      <c r="G1209" s="124">
        <v>3</v>
      </c>
      <c r="H1209" s="124">
        <v>2</v>
      </c>
      <c r="I1209" s="118">
        <v>11</v>
      </c>
      <c r="J1209" s="118">
        <v>90</v>
      </c>
      <c r="K1209" s="118">
        <v>14.5</v>
      </c>
      <c r="L1209" s="122">
        <v>-2.54</v>
      </c>
      <c r="M1209" s="122">
        <v>-2.19</v>
      </c>
      <c r="N1209" s="118">
        <v>-2.0299999999999998</v>
      </c>
      <c r="O1209" s="123" t="s">
        <v>1747</v>
      </c>
    </row>
    <row r="1210" spans="1:15" ht="28.8">
      <c r="A1210" s="118" t="s">
        <v>3534</v>
      </c>
      <c r="B1210" s="118" t="s">
        <v>1752</v>
      </c>
      <c r="C1210" s="118" t="s">
        <v>1749</v>
      </c>
      <c r="D1210" s="119">
        <v>43703</v>
      </c>
      <c r="E1210" s="118" t="s">
        <v>2832</v>
      </c>
      <c r="F1210" s="118" t="s">
        <v>1784</v>
      </c>
      <c r="G1210" s="124">
        <v>2</v>
      </c>
      <c r="H1210" s="124">
        <v>4</v>
      </c>
      <c r="I1210" s="118">
        <v>11.1</v>
      </c>
      <c r="J1210" s="118">
        <v>92.3</v>
      </c>
      <c r="K1210" s="118">
        <v>13.5</v>
      </c>
      <c r="L1210" s="122">
        <v>-2.83</v>
      </c>
      <c r="M1210" s="122">
        <v>-2.2000000000000002</v>
      </c>
      <c r="N1210" s="118">
        <v>-2.4500000000000002</v>
      </c>
      <c r="O1210" s="123" t="s">
        <v>1747</v>
      </c>
    </row>
    <row r="1211" spans="1:15" ht="28.8">
      <c r="A1211" s="118" t="s">
        <v>3535</v>
      </c>
      <c r="B1211" s="118" t="s">
        <v>1752</v>
      </c>
      <c r="C1211" s="118" t="s">
        <v>1749</v>
      </c>
      <c r="D1211" s="119">
        <v>43659</v>
      </c>
      <c r="E1211" s="118" t="s">
        <v>3536</v>
      </c>
      <c r="F1211" s="118" t="s">
        <v>1784</v>
      </c>
      <c r="G1211" s="124">
        <v>3</v>
      </c>
      <c r="H1211" s="124">
        <v>1</v>
      </c>
      <c r="I1211" s="118">
        <v>12</v>
      </c>
      <c r="J1211" s="118">
        <v>91.6</v>
      </c>
      <c r="K1211" s="118">
        <v>14.7</v>
      </c>
      <c r="L1211" s="122">
        <v>-2.35</v>
      </c>
      <c r="M1211" s="122">
        <v>-2.61</v>
      </c>
      <c r="N1211" s="118">
        <v>-1.27</v>
      </c>
      <c r="O1211" s="123" t="s">
        <v>1760</v>
      </c>
    </row>
    <row r="1212" spans="1:15" ht="28.8">
      <c r="A1212" s="118" t="s">
        <v>3537</v>
      </c>
      <c r="B1212" s="118" t="s">
        <v>1752</v>
      </c>
      <c r="C1212" s="118" t="s">
        <v>1786</v>
      </c>
      <c r="D1212" s="119">
        <v>43364</v>
      </c>
      <c r="E1212" s="118" t="s">
        <v>3332</v>
      </c>
      <c r="F1212" s="118" t="s">
        <v>1784</v>
      </c>
      <c r="G1212" s="124">
        <v>5</v>
      </c>
      <c r="H1212" s="124">
        <v>1</v>
      </c>
      <c r="I1212" s="118">
        <v>11.65</v>
      </c>
      <c r="J1212" s="118">
        <v>89.4</v>
      </c>
      <c r="K1212" s="118">
        <v>15</v>
      </c>
      <c r="L1212" s="122">
        <v>-3.19</v>
      </c>
      <c r="M1212" s="122">
        <v>-4.04</v>
      </c>
      <c r="N1212" s="118">
        <v>-1.1299999999999999</v>
      </c>
      <c r="O1212" s="123" t="s">
        <v>1760</v>
      </c>
    </row>
    <row r="1213" spans="1:15" ht="28.8">
      <c r="A1213" s="118" t="s">
        <v>3538</v>
      </c>
      <c r="B1213" s="118" t="s">
        <v>1752</v>
      </c>
      <c r="C1213" s="118" t="s">
        <v>1786</v>
      </c>
      <c r="D1213" s="119">
        <v>43298</v>
      </c>
      <c r="E1213" s="118" t="s">
        <v>1798</v>
      </c>
      <c r="F1213" s="118" t="s">
        <v>1784</v>
      </c>
      <c r="G1213" s="124">
        <v>4</v>
      </c>
      <c r="H1213" s="124">
        <v>5</v>
      </c>
      <c r="I1213" s="118">
        <v>11</v>
      </c>
      <c r="J1213" s="118">
        <v>92.5</v>
      </c>
      <c r="K1213" s="118">
        <v>14.2</v>
      </c>
      <c r="L1213" s="122">
        <v>-3.7</v>
      </c>
      <c r="M1213" s="122">
        <v>-3.55</v>
      </c>
      <c r="N1213" s="118">
        <v>-2.62</v>
      </c>
      <c r="O1213" s="123" t="s">
        <v>1747</v>
      </c>
    </row>
    <row r="1214" spans="1:15" ht="28.8">
      <c r="A1214" s="118" t="s">
        <v>3539</v>
      </c>
      <c r="B1214" s="118" t="s">
        <v>1752</v>
      </c>
      <c r="C1214" s="118" t="s">
        <v>1749</v>
      </c>
      <c r="D1214" s="119">
        <v>43706</v>
      </c>
      <c r="E1214" s="118" t="s">
        <v>3540</v>
      </c>
      <c r="F1214" s="118" t="s">
        <v>1784</v>
      </c>
      <c r="G1214" s="124">
        <v>3</v>
      </c>
      <c r="H1214" s="124">
        <v>5</v>
      </c>
      <c r="I1214" s="118">
        <v>13.2</v>
      </c>
      <c r="J1214" s="118">
        <v>94</v>
      </c>
      <c r="K1214" s="118"/>
      <c r="L1214" s="122">
        <v>-1.46</v>
      </c>
      <c r="M1214" s="122">
        <v>-2.0299999999999998</v>
      </c>
      <c r="N1214" s="118">
        <v>-0.43</v>
      </c>
      <c r="O1214" s="123" t="s">
        <v>1760</v>
      </c>
    </row>
    <row r="1215" spans="1:15" ht="43.2">
      <c r="A1215" s="118" t="s">
        <v>3541</v>
      </c>
      <c r="B1215" s="118" t="s">
        <v>1743</v>
      </c>
      <c r="C1215" s="118" t="s">
        <v>1755</v>
      </c>
      <c r="D1215" s="119">
        <v>44443</v>
      </c>
      <c r="E1215" s="118" t="s">
        <v>3409</v>
      </c>
      <c r="F1215" s="118" t="s">
        <v>1784</v>
      </c>
      <c r="G1215" s="124">
        <v>3</v>
      </c>
      <c r="H1215" s="124">
        <v>2</v>
      </c>
      <c r="I1215" s="118">
        <v>8.4</v>
      </c>
      <c r="J1215" s="118">
        <v>75</v>
      </c>
      <c r="K1215" s="118">
        <v>12.1</v>
      </c>
      <c r="L1215" s="122">
        <v>-2.0099999999999998</v>
      </c>
      <c r="M1215" s="122">
        <v>-2.6</v>
      </c>
      <c r="N1215" s="118">
        <v>-0.96</v>
      </c>
      <c r="O1215" s="123" t="s">
        <v>1760</v>
      </c>
    </row>
    <row r="1216" spans="1:15" ht="28.8">
      <c r="A1216" s="118" t="s">
        <v>3542</v>
      </c>
      <c r="B1216" s="118" t="s">
        <v>1752</v>
      </c>
      <c r="C1216" s="118" t="s">
        <v>1755</v>
      </c>
      <c r="D1216" s="119">
        <v>44370</v>
      </c>
      <c r="E1216" s="118" t="s">
        <v>3543</v>
      </c>
      <c r="F1216" s="118" t="s">
        <v>1784</v>
      </c>
      <c r="G1216" s="124">
        <v>1</v>
      </c>
      <c r="H1216" s="124">
        <v>1</v>
      </c>
      <c r="I1216" s="118">
        <v>8.1999999999999993</v>
      </c>
      <c r="J1216" s="118">
        <v>78.900000000000006</v>
      </c>
      <c r="K1216" s="118">
        <v>14.8</v>
      </c>
      <c r="L1216" s="122">
        <v>-3.25</v>
      </c>
      <c r="M1216" s="122">
        <v>-2.59</v>
      </c>
      <c r="N1216" s="118">
        <v>-2.79</v>
      </c>
      <c r="O1216" s="123" t="s">
        <v>1747</v>
      </c>
    </row>
    <row r="1217" spans="1:15" ht="28.8">
      <c r="A1217" s="118" t="s">
        <v>3544</v>
      </c>
      <c r="B1217" s="118" t="s">
        <v>1752</v>
      </c>
      <c r="C1217" s="118" t="s">
        <v>1744</v>
      </c>
      <c r="D1217" s="119">
        <v>44296</v>
      </c>
      <c r="E1217" s="118" t="s">
        <v>2326</v>
      </c>
      <c r="F1217" s="118" t="s">
        <v>1784</v>
      </c>
      <c r="G1217" s="124">
        <v>7</v>
      </c>
      <c r="H1217" s="124">
        <v>7</v>
      </c>
      <c r="I1217" s="118">
        <v>9.5</v>
      </c>
      <c r="J1217" s="118">
        <v>72.099999999999994</v>
      </c>
      <c r="K1217" s="118"/>
      <c r="L1217" s="122">
        <v>-2.29</v>
      </c>
      <c r="M1217" s="122">
        <v>-5.32</v>
      </c>
      <c r="N1217" s="118">
        <v>0.79</v>
      </c>
      <c r="O1217" s="123" t="s">
        <v>1760</v>
      </c>
    </row>
    <row r="1218" spans="1:15" ht="43.2">
      <c r="A1218" s="118" t="s">
        <v>3545</v>
      </c>
      <c r="B1218" s="118" t="s">
        <v>1752</v>
      </c>
      <c r="C1218" s="118" t="s">
        <v>1744</v>
      </c>
      <c r="D1218" s="119">
        <v>44144</v>
      </c>
      <c r="E1218" s="118" t="s">
        <v>2334</v>
      </c>
      <c r="F1218" s="118" t="s">
        <v>1784</v>
      </c>
      <c r="G1218" s="124">
        <v>1</v>
      </c>
      <c r="H1218" s="124">
        <v>4</v>
      </c>
      <c r="I1218" s="118">
        <v>8.6999999999999993</v>
      </c>
      <c r="J1218" s="118">
        <v>77.5</v>
      </c>
      <c r="K1218" s="118">
        <v>14.5</v>
      </c>
      <c r="L1218" s="122">
        <v>-3.58</v>
      </c>
      <c r="M1218" s="122">
        <v>-4.24</v>
      </c>
      <c r="N1218" s="118">
        <v>-1.87</v>
      </c>
      <c r="O1218" s="123" t="s">
        <v>1760</v>
      </c>
    </row>
    <row r="1219" spans="1:15" ht="28.8">
      <c r="A1219" s="118" t="s">
        <v>3546</v>
      </c>
      <c r="B1219" s="118" t="s">
        <v>1752</v>
      </c>
      <c r="C1219" s="118" t="s">
        <v>1749</v>
      </c>
      <c r="D1219" s="119">
        <v>43909</v>
      </c>
      <c r="E1219" s="118" t="s">
        <v>3547</v>
      </c>
      <c r="F1219" s="118" t="s">
        <v>1784</v>
      </c>
      <c r="G1219" s="124">
        <v>3</v>
      </c>
      <c r="H1219" s="124">
        <v>1</v>
      </c>
      <c r="I1219" s="118">
        <v>10.9</v>
      </c>
      <c r="J1219" s="118">
        <v>87.2</v>
      </c>
      <c r="K1219" s="118">
        <v>14.2</v>
      </c>
      <c r="L1219" s="122">
        <v>-2.41</v>
      </c>
      <c r="M1219" s="122">
        <v>-2.6</v>
      </c>
      <c r="N1219" s="118">
        <v>-1.44</v>
      </c>
      <c r="O1219" s="123" t="s">
        <v>1760</v>
      </c>
    </row>
    <row r="1220" spans="1:15" ht="28.8">
      <c r="A1220" s="118" t="s">
        <v>3548</v>
      </c>
      <c r="B1220" s="118" t="s">
        <v>1743</v>
      </c>
      <c r="C1220" s="118" t="s">
        <v>1749</v>
      </c>
      <c r="D1220" s="119">
        <v>43799</v>
      </c>
      <c r="E1220" s="118" t="s">
        <v>3549</v>
      </c>
      <c r="F1220" s="118" t="s">
        <v>1784</v>
      </c>
      <c r="G1220" s="124">
        <v>4</v>
      </c>
      <c r="H1220" s="124">
        <v>1</v>
      </c>
      <c r="I1220" s="118">
        <v>11.7</v>
      </c>
      <c r="J1220" s="118">
        <v>88.3</v>
      </c>
      <c r="K1220" s="118">
        <v>15.1</v>
      </c>
      <c r="L1220" s="122">
        <v>-1.86</v>
      </c>
      <c r="M1220" s="122">
        <v>-2.56</v>
      </c>
      <c r="N1220" s="118">
        <v>-0.5</v>
      </c>
      <c r="O1220" s="123" t="s">
        <v>1760</v>
      </c>
    </row>
    <row r="1221" spans="1:15" ht="28.8">
      <c r="A1221" s="118" t="s">
        <v>3550</v>
      </c>
      <c r="B1221" s="118" t="s">
        <v>1752</v>
      </c>
      <c r="C1221" s="118" t="s">
        <v>1749</v>
      </c>
      <c r="D1221" s="119">
        <v>43694</v>
      </c>
      <c r="E1221" s="118" t="s">
        <v>2036</v>
      </c>
      <c r="F1221" s="118" t="s">
        <v>1784</v>
      </c>
      <c r="G1221" s="124">
        <v>2</v>
      </c>
      <c r="H1221" s="124">
        <v>4</v>
      </c>
      <c r="I1221" s="118">
        <v>14.6</v>
      </c>
      <c r="J1221" s="118">
        <v>93</v>
      </c>
      <c r="K1221" s="118">
        <v>15.3</v>
      </c>
      <c r="L1221" s="122">
        <v>-0.61</v>
      </c>
      <c r="M1221" s="122">
        <v>-2.0499999999999998</v>
      </c>
      <c r="N1221" s="118">
        <v>0.88</v>
      </c>
      <c r="O1221" s="123" t="s">
        <v>1760</v>
      </c>
    </row>
    <row r="1222" spans="1:15" ht="28.8">
      <c r="A1222" s="118" t="s">
        <v>3551</v>
      </c>
      <c r="B1222" s="118" t="s">
        <v>1752</v>
      </c>
      <c r="C1222" s="118" t="s">
        <v>1749</v>
      </c>
      <c r="D1222" s="119">
        <v>43589</v>
      </c>
      <c r="E1222" s="118" t="s">
        <v>2324</v>
      </c>
      <c r="F1222" s="118" t="s">
        <v>1784</v>
      </c>
      <c r="G1222" s="124">
        <v>3</v>
      </c>
      <c r="H1222" s="124">
        <v>7</v>
      </c>
      <c r="I1222" s="118">
        <v>11.7</v>
      </c>
      <c r="J1222" s="118">
        <v>91.4</v>
      </c>
      <c r="K1222" s="118">
        <v>14.5</v>
      </c>
      <c r="L1222" s="122">
        <v>-2.69</v>
      </c>
      <c r="M1222" s="122">
        <v>-2.87</v>
      </c>
      <c r="N1222" s="118">
        <v>-1.55</v>
      </c>
      <c r="O1222" s="123" t="s">
        <v>1760</v>
      </c>
    </row>
    <row r="1223" spans="1:15" ht="28.8">
      <c r="A1223" s="118" t="s">
        <v>3552</v>
      </c>
      <c r="B1223" s="118" t="s">
        <v>1743</v>
      </c>
      <c r="C1223" s="118" t="s">
        <v>1744</v>
      </c>
      <c r="D1223" s="119">
        <v>44069</v>
      </c>
      <c r="E1223" s="118" t="s">
        <v>3553</v>
      </c>
      <c r="F1223" s="118" t="s">
        <v>1784</v>
      </c>
      <c r="G1223" s="124">
        <v>2</v>
      </c>
      <c r="H1223" s="124">
        <v>1</v>
      </c>
      <c r="I1223" s="118">
        <v>11</v>
      </c>
      <c r="J1223" s="118">
        <v>84.9</v>
      </c>
      <c r="K1223" s="118"/>
      <c r="L1223" s="122">
        <v>-1.52</v>
      </c>
      <c r="M1223" s="122">
        <v>-2.1800000000000002</v>
      </c>
      <c r="N1223" s="118">
        <v>-0.37</v>
      </c>
      <c r="O1223" s="123" t="s">
        <v>1760</v>
      </c>
    </row>
    <row r="1224" spans="1:15" ht="28.8">
      <c r="A1224" s="118" t="s">
        <v>3554</v>
      </c>
      <c r="B1224" s="118" t="s">
        <v>1752</v>
      </c>
      <c r="C1224" s="118" t="s">
        <v>1744</v>
      </c>
      <c r="D1224" s="119">
        <v>44124</v>
      </c>
      <c r="E1224" s="118" t="s">
        <v>2077</v>
      </c>
      <c r="F1224" s="118" t="s">
        <v>1784</v>
      </c>
      <c r="G1224" s="124">
        <v>2</v>
      </c>
      <c r="H1224" s="124">
        <v>4</v>
      </c>
      <c r="I1224" s="118">
        <v>9.3000000000000007</v>
      </c>
      <c r="J1224" s="118">
        <v>72</v>
      </c>
      <c r="K1224" s="118"/>
      <c r="L1224" s="122">
        <v>-1.76</v>
      </c>
      <c r="M1224" s="122">
        <v>-4.3099999999999996</v>
      </c>
      <c r="N1224" s="118">
        <v>0.56999999999999995</v>
      </c>
      <c r="O1224" s="123" t="s">
        <v>1760</v>
      </c>
    </row>
    <row r="1225" spans="1:15" ht="28.8">
      <c r="A1225" s="118" t="s">
        <v>3555</v>
      </c>
      <c r="B1225" s="118" t="s">
        <v>1752</v>
      </c>
      <c r="C1225" s="118" t="s">
        <v>1744</v>
      </c>
      <c r="D1225" s="119">
        <v>43950</v>
      </c>
      <c r="E1225" s="118" t="s">
        <v>3101</v>
      </c>
      <c r="F1225" s="118" t="s">
        <v>1784</v>
      </c>
      <c r="G1225" s="124">
        <v>3</v>
      </c>
      <c r="H1225" s="124">
        <v>4</v>
      </c>
      <c r="I1225" s="118">
        <v>10</v>
      </c>
      <c r="J1225" s="118">
        <v>81.5</v>
      </c>
      <c r="K1225" s="118"/>
      <c r="L1225" s="122">
        <v>-1.9</v>
      </c>
      <c r="M1225" s="122">
        <v>-2.17</v>
      </c>
      <c r="N1225" s="118">
        <v>-1.03</v>
      </c>
      <c r="O1225" s="123" t="s">
        <v>1760</v>
      </c>
    </row>
    <row r="1226" spans="1:15" ht="28.8">
      <c r="A1226" s="118" t="s">
        <v>3556</v>
      </c>
      <c r="B1226" s="118" t="s">
        <v>1743</v>
      </c>
      <c r="C1226" s="118" t="s">
        <v>1755</v>
      </c>
      <c r="D1226" s="119">
        <v>44319</v>
      </c>
      <c r="E1226" s="118" t="s">
        <v>3557</v>
      </c>
      <c r="F1226" s="118" t="s">
        <v>1784</v>
      </c>
      <c r="G1226" s="124">
        <v>4</v>
      </c>
      <c r="H1226" s="124">
        <v>4</v>
      </c>
      <c r="I1226" s="118">
        <v>10</v>
      </c>
      <c r="J1226" s="118">
        <v>67</v>
      </c>
      <c r="K1226" s="118"/>
      <c r="L1226" s="122">
        <v>0.62</v>
      </c>
      <c r="M1226" s="122">
        <v>-3.29</v>
      </c>
      <c r="N1226" s="118">
        <v>2.96</v>
      </c>
      <c r="O1226" s="123" t="s">
        <v>2078</v>
      </c>
    </row>
    <row r="1227" spans="1:15" ht="28.8">
      <c r="A1227" s="118" t="s">
        <v>3558</v>
      </c>
      <c r="B1227" s="118" t="s">
        <v>1743</v>
      </c>
      <c r="C1227" s="118" t="s">
        <v>1744</v>
      </c>
      <c r="D1227" s="119">
        <v>43989</v>
      </c>
      <c r="E1227" s="118" t="s">
        <v>3559</v>
      </c>
      <c r="F1227" s="118" t="s">
        <v>1784</v>
      </c>
      <c r="G1227" s="124">
        <v>3</v>
      </c>
      <c r="H1227" s="124">
        <v>5</v>
      </c>
      <c r="I1227" s="118">
        <v>12.7</v>
      </c>
      <c r="J1227" s="118">
        <v>73.5</v>
      </c>
      <c r="K1227" s="118"/>
      <c r="L1227" s="122">
        <v>0.76</v>
      </c>
      <c r="M1227" s="122">
        <v>-4.0599999999999996</v>
      </c>
      <c r="N1227" s="118">
        <v>3.81</v>
      </c>
      <c r="O1227" s="123" t="s">
        <v>2170</v>
      </c>
    </row>
    <row r="1228" spans="1:15" ht="28.8">
      <c r="A1228" s="118" t="s">
        <v>3560</v>
      </c>
      <c r="B1228" s="118" t="s">
        <v>1752</v>
      </c>
      <c r="C1228" s="118" t="s">
        <v>1755</v>
      </c>
      <c r="D1228" s="119">
        <v>44442</v>
      </c>
      <c r="E1228" s="118" t="s">
        <v>3561</v>
      </c>
      <c r="F1228" s="118" t="s">
        <v>1784</v>
      </c>
      <c r="G1228" s="124">
        <v>2</v>
      </c>
      <c r="H1228" s="124">
        <v>5</v>
      </c>
      <c r="I1228" s="118">
        <v>8.9</v>
      </c>
      <c r="J1228" s="118">
        <v>66</v>
      </c>
      <c r="K1228" s="118"/>
      <c r="L1228" s="122">
        <v>-0.11</v>
      </c>
      <c r="M1228" s="122">
        <v>-2.87</v>
      </c>
      <c r="N1228" s="118">
        <v>2.02</v>
      </c>
      <c r="O1228" s="123" t="s">
        <v>2078</v>
      </c>
    </row>
    <row r="1229" spans="1:15" ht="28.8">
      <c r="A1229" s="118" t="s">
        <v>3562</v>
      </c>
      <c r="B1229" s="118" t="s">
        <v>1743</v>
      </c>
      <c r="C1229" s="118" t="s">
        <v>1744</v>
      </c>
      <c r="D1229" s="119">
        <v>43952</v>
      </c>
      <c r="E1229" s="118" t="s">
        <v>3563</v>
      </c>
      <c r="F1229" s="118" t="s">
        <v>1784</v>
      </c>
      <c r="G1229" s="124">
        <v>2</v>
      </c>
      <c r="H1229" s="124">
        <v>5</v>
      </c>
      <c r="I1229" s="118">
        <v>12</v>
      </c>
      <c r="J1229" s="118">
        <v>78</v>
      </c>
      <c r="K1229" s="118"/>
      <c r="L1229" s="122">
        <v>0.14000000000000001</v>
      </c>
      <c r="M1229" s="122">
        <v>-2.94</v>
      </c>
      <c r="N1229" s="118">
        <v>2.2799999999999998</v>
      </c>
      <c r="O1229" s="123" t="s">
        <v>2078</v>
      </c>
    </row>
    <row r="1230" spans="1:15" ht="28.8">
      <c r="A1230" s="118" t="s">
        <v>3564</v>
      </c>
      <c r="B1230" s="118" t="s">
        <v>1752</v>
      </c>
      <c r="C1230" s="118" t="s">
        <v>2055</v>
      </c>
      <c r="D1230" s="119">
        <v>44740</v>
      </c>
      <c r="E1230" s="118" t="s">
        <v>3565</v>
      </c>
      <c r="F1230" s="118" t="s">
        <v>1784</v>
      </c>
      <c r="G1230" s="124">
        <v>2</v>
      </c>
      <c r="H1230" s="124">
        <v>5</v>
      </c>
      <c r="I1230" s="118">
        <v>3</v>
      </c>
      <c r="J1230" s="118">
        <v>49</v>
      </c>
      <c r="K1230" s="118"/>
      <c r="L1230" s="122">
        <v>-2.66</v>
      </c>
      <c r="M1230" s="122">
        <v>-2.41</v>
      </c>
      <c r="N1230" s="118">
        <v>-0.97</v>
      </c>
      <c r="O1230" s="123" t="s">
        <v>1760</v>
      </c>
    </row>
    <row r="1231" spans="1:15" ht="43.2">
      <c r="A1231" s="118" t="s">
        <v>3566</v>
      </c>
      <c r="B1231" s="118" t="s">
        <v>1752</v>
      </c>
      <c r="C1231" s="118" t="s">
        <v>1744</v>
      </c>
      <c r="D1231" s="119">
        <v>44298</v>
      </c>
      <c r="E1231" s="118" t="s">
        <v>3421</v>
      </c>
      <c r="F1231" s="118" t="s">
        <v>1807</v>
      </c>
      <c r="G1231" s="124">
        <v>11</v>
      </c>
      <c r="H1231" s="124">
        <v>3</v>
      </c>
      <c r="I1231" s="118">
        <v>8.5</v>
      </c>
      <c r="J1231" s="118">
        <v>72</v>
      </c>
      <c r="K1231" s="118"/>
      <c r="L1231" s="122">
        <v>-1.51</v>
      </c>
      <c r="M1231" s="122">
        <v>-2.33</v>
      </c>
      <c r="N1231" s="118">
        <v>-0.52</v>
      </c>
      <c r="O1231" s="123" t="s">
        <v>1760</v>
      </c>
    </row>
    <row r="1232" spans="1:15" ht="43.2">
      <c r="A1232" s="118" t="s">
        <v>3567</v>
      </c>
      <c r="B1232" s="118" t="s">
        <v>1752</v>
      </c>
      <c r="C1232" s="118" t="s">
        <v>1755</v>
      </c>
      <c r="D1232" s="119">
        <v>44449</v>
      </c>
      <c r="E1232" s="118" t="s">
        <v>2345</v>
      </c>
      <c r="F1232" s="118" t="s">
        <v>1807</v>
      </c>
      <c r="G1232" s="124">
        <v>1</v>
      </c>
      <c r="H1232" s="124">
        <v>3</v>
      </c>
      <c r="I1232" s="118">
        <v>8</v>
      </c>
      <c r="J1232" s="118">
        <v>67</v>
      </c>
      <c r="K1232" s="118"/>
      <c r="L1232" s="122">
        <v>-1.02</v>
      </c>
      <c r="M1232" s="122">
        <v>-2.31</v>
      </c>
      <c r="N1232" s="118">
        <v>0.4</v>
      </c>
      <c r="O1232" s="123" t="s">
        <v>1760</v>
      </c>
    </row>
    <row r="1233" spans="1:15" ht="43.2">
      <c r="A1233" s="118" t="s">
        <v>3568</v>
      </c>
      <c r="B1233" s="118" t="s">
        <v>1743</v>
      </c>
      <c r="C1233" s="118" t="s">
        <v>2055</v>
      </c>
      <c r="D1233" s="119">
        <v>44742</v>
      </c>
      <c r="E1233" s="118" t="s">
        <v>2843</v>
      </c>
      <c r="F1233" s="118" t="s">
        <v>1807</v>
      </c>
      <c r="G1233" s="124">
        <v>4</v>
      </c>
      <c r="H1233" s="124">
        <v>4</v>
      </c>
      <c r="I1233" s="118">
        <v>2.8</v>
      </c>
      <c r="J1233" s="118">
        <v>48</v>
      </c>
      <c r="K1233" s="118"/>
      <c r="L1233" s="122">
        <v>-2.8</v>
      </c>
      <c r="M1233" s="122">
        <v>-2.5299999999999998</v>
      </c>
      <c r="N1233" s="118">
        <v>-1.1499999999999999</v>
      </c>
      <c r="O1233" s="123" t="s">
        <v>1760</v>
      </c>
    </row>
    <row r="1234" spans="1:15" ht="43.2">
      <c r="A1234" s="118" t="s">
        <v>3569</v>
      </c>
      <c r="B1234" s="118" t="s">
        <v>1743</v>
      </c>
      <c r="C1234" s="118" t="s">
        <v>1755</v>
      </c>
      <c r="D1234" s="119">
        <v>44512</v>
      </c>
      <c r="E1234" s="118" t="s">
        <v>2957</v>
      </c>
      <c r="F1234" s="118" t="s">
        <v>1807</v>
      </c>
      <c r="G1234" s="124">
        <v>5</v>
      </c>
      <c r="H1234" s="124">
        <v>2</v>
      </c>
      <c r="I1234" s="118">
        <v>6.6</v>
      </c>
      <c r="J1234" s="118">
        <v>62.7</v>
      </c>
      <c r="K1234" s="118"/>
      <c r="L1234" s="122">
        <v>-1.27</v>
      </c>
      <c r="M1234" s="122">
        <v>-2.08</v>
      </c>
      <c r="N1234" s="118">
        <v>0.09</v>
      </c>
      <c r="O1234" s="123" t="s">
        <v>1760</v>
      </c>
    </row>
    <row r="1235" spans="1:15" ht="57.6">
      <c r="A1235" s="118" t="s">
        <v>3570</v>
      </c>
      <c r="B1235" s="118" t="s">
        <v>1752</v>
      </c>
      <c r="C1235" s="118" t="s">
        <v>1744</v>
      </c>
      <c r="D1235" s="119">
        <v>44154</v>
      </c>
      <c r="E1235" s="118" t="s">
        <v>3338</v>
      </c>
      <c r="F1235" s="118" t="s">
        <v>1807</v>
      </c>
      <c r="G1235" s="124">
        <v>7</v>
      </c>
      <c r="H1235" s="124">
        <v>1</v>
      </c>
      <c r="I1235" s="118">
        <v>10.4</v>
      </c>
      <c r="J1235" s="118">
        <v>77.2</v>
      </c>
      <c r="K1235" s="118"/>
      <c r="L1235" s="122">
        <v>-0.64</v>
      </c>
      <c r="M1235" s="122">
        <v>-2.2400000000000002</v>
      </c>
      <c r="N1235" s="118">
        <v>0.55000000000000004</v>
      </c>
      <c r="O1235" s="123" t="s">
        <v>1760</v>
      </c>
    </row>
    <row r="1236" spans="1:15" ht="43.2">
      <c r="A1236" s="118" t="s">
        <v>3571</v>
      </c>
      <c r="B1236" s="118" t="s">
        <v>1743</v>
      </c>
      <c r="C1236" s="118" t="s">
        <v>1749</v>
      </c>
      <c r="D1236" s="119">
        <v>43864</v>
      </c>
      <c r="E1236" s="118" t="s">
        <v>2948</v>
      </c>
      <c r="F1236" s="118" t="s">
        <v>1807</v>
      </c>
      <c r="G1236" s="124">
        <v>8</v>
      </c>
      <c r="H1236" s="124">
        <v>2</v>
      </c>
      <c r="I1236" s="118">
        <v>11.2</v>
      </c>
      <c r="J1236" s="118">
        <v>82.2</v>
      </c>
      <c r="K1236" s="118"/>
      <c r="L1236" s="122">
        <v>-0.85</v>
      </c>
      <c r="M1236" s="122">
        <v>-2.15</v>
      </c>
      <c r="N1236" s="118">
        <v>0.49</v>
      </c>
      <c r="O1236" s="123" t="s">
        <v>1760</v>
      </c>
    </row>
    <row r="1237" spans="1:15" ht="43.2">
      <c r="A1237" s="118" t="s">
        <v>3572</v>
      </c>
      <c r="B1237" s="118" t="s">
        <v>1752</v>
      </c>
      <c r="C1237" s="118" t="s">
        <v>1755</v>
      </c>
      <c r="D1237" s="119">
        <v>44474</v>
      </c>
      <c r="E1237" s="118" t="s">
        <v>2963</v>
      </c>
      <c r="F1237" s="118" t="s">
        <v>1807</v>
      </c>
      <c r="G1237" s="124">
        <v>3</v>
      </c>
      <c r="H1237" s="124">
        <v>2</v>
      </c>
      <c r="I1237" s="118">
        <v>7.2</v>
      </c>
      <c r="J1237" s="118">
        <v>66.5</v>
      </c>
      <c r="K1237" s="118"/>
      <c r="L1237" s="122">
        <v>-1.83</v>
      </c>
      <c r="M1237" s="122">
        <v>-2.2400000000000002</v>
      </c>
      <c r="N1237" s="118">
        <v>-0.7</v>
      </c>
      <c r="O1237" s="123" t="s">
        <v>1760</v>
      </c>
    </row>
    <row r="1238" spans="1:15" ht="43.2">
      <c r="A1238" s="118" t="s">
        <v>3573</v>
      </c>
      <c r="B1238" s="118" t="s">
        <v>1743</v>
      </c>
      <c r="C1238" s="118" t="s">
        <v>1749</v>
      </c>
      <c r="D1238" s="119">
        <v>43604</v>
      </c>
      <c r="E1238" s="118" t="s">
        <v>3262</v>
      </c>
      <c r="F1238" s="118" t="s">
        <v>1807</v>
      </c>
      <c r="G1238" s="124">
        <v>7</v>
      </c>
      <c r="H1238" s="124">
        <v>1</v>
      </c>
      <c r="I1238" s="118">
        <v>8.9</v>
      </c>
      <c r="J1238" s="118">
        <v>87.2</v>
      </c>
      <c r="K1238" s="118"/>
      <c r="L1238" s="122">
        <v>-3.7</v>
      </c>
      <c r="M1238" s="122">
        <v>-2.25</v>
      </c>
      <c r="N1238" s="118">
        <v>-3.46</v>
      </c>
      <c r="O1238" s="123" t="s">
        <v>1790</v>
      </c>
    </row>
    <row r="1239" spans="1:15" ht="43.2">
      <c r="A1239" s="118" t="s">
        <v>3574</v>
      </c>
      <c r="B1239" s="118" t="s">
        <v>1743</v>
      </c>
      <c r="C1239" s="118" t="s">
        <v>1755</v>
      </c>
      <c r="D1239" s="119">
        <v>44443</v>
      </c>
      <c r="E1239" s="118" t="s">
        <v>3575</v>
      </c>
      <c r="F1239" s="118" t="s">
        <v>1807</v>
      </c>
      <c r="G1239" s="124">
        <v>3</v>
      </c>
      <c r="H1239" s="124">
        <v>3</v>
      </c>
      <c r="I1239" s="118">
        <v>8.5</v>
      </c>
      <c r="J1239" s="118">
        <v>62.6</v>
      </c>
      <c r="K1239" s="118"/>
      <c r="L1239" s="122">
        <v>0.1</v>
      </c>
      <c r="M1239" s="122">
        <v>-3.44</v>
      </c>
      <c r="N1239" s="118">
        <v>2.76</v>
      </c>
      <c r="O1239" s="123" t="s">
        <v>2078</v>
      </c>
    </row>
    <row r="1240" spans="1:15" ht="43.2">
      <c r="A1240" s="118" t="s">
        <v>3576</v>
      </c>
      <c r="B1240" s="118" t="s">
        <v>1743</v>
      </c>
      <c r="C1240" s="118" t="s">
        <v>1744</v>
      </c>
      <c r="D1240" s="119">
        <v>44145</v>
      </c>
      <c r="E1240" s="118" t="s">
        <v>3577</v>
      </c>
      <c r="F1240" s="118" t="s">
        <v>1807</v>
      </c>
      <c r="G1240" s="124">
        <v>7</v>
      </c>
      <c r="H1240" s="124">
        <v>1</v>
      </c>
      <c r="I1240" s="118">
        <v>12.2</v>
      </c>
      <c r="J1240" s="118">
        <v>73.8</v>
      </c>
      <c r="K1240" s="118"/>
      <c r="L1240" s="122">
        <v>1.17</v>
      </c>
      <c r="M1240" s="122">
        <v>-2.8</v>
      </c>
      <c r="N1240" s="118">
        <v>3.29</v>
      </c>
      <c r="O1240" s="123" t="s">
        <v>2170</v>
      </c>
    </row>
    <row r="1241" spans="1:15" ht="57.6">
      <c r="A1241" s="118" t="s">
        <v>3578</v>
      </c>
      <c r="B1241" s="118" t="s">
        <v>1752</v>
      </c>
      <c r="C1241" s="118" t="s">
        <v>1755</v>
      </c>
      <c r="D1241" s="119">
        <v>44475</v>
      </c>
      <c r="E1241" s="118" t="s">
        <v>2611</v>
      </c>
      <c r="F1241" s="118" t="s">
        <v>1807</v>
      </c>
      <c r="G1241" s="124">
        <v>1</v>
      </c>
      <c r="H1241" s="124">
        <v>4</v>
      </c>
      <c r="I1241" s="118">
        <v>7.5</v>
      </c>
      <c r="J1241" s="118">
        <v>65</v>
      </c>
      <c r="K1241" s="118"/>
      <c r="L1241" s="122">
        <v>-1.36</v>
      </c>
      <c r="M1241" s="122">
        <v>-2.72</v>
      </c>
      <c r="N1241" s="118">
        <v>0.38</v>
      </c>
      <c r="O1241" s="123" t="s">
        <v>1760</v>
      </c>
    </row>
    <row r="1242" spans="1:15" ht="43.2">
      <c r="A1242" s="118" t="s">
        <v>3579</v>
      </c>
      <c r="B1242" s="118" t="s">
        <v>1752</v>
      </c>
      <c r="C1242" s="118" t="s">
        <v>2055</v>
      </c>
      <c r="D1242" s="119">
        <v>44729</v>
      </c>
      <c r="E1242" s="118" t="s">
        <v>2953</v>
      </c>
      <c r="F1242" s="118" t="s">
        <v>1807</v>
      </c>
      <c r="G1242" s="124">
        <v>8</v>
      </c>
      <c r="H1242" s="124">
        <v>3</v>
      </c>
      <c r="I1242" s="118">
        <v>3</v>
      </c>
      <c r="J1242" s="118">
        <v>48</v>
      </c>
      <c r="K1242" s="118"/>
      <c r="L1242" s="122">
        <v>-1.78</v>
      </c>
      <c r="M1242" s="122">
        <v>-2.14</v>
      </c>
      <c r="N1242" s="118">
        <v>-0.27</v>
      </c>
      <c r="O1242" s="123" t="s">
        <v>1760</v>
      </c>
    </row>
    <row r="1243" spans="1:15" ht="43.2">
      <c r="A1243" s="118" t="s">
        <v>3580</v>
      </c>
      <c r="B1243" s="118" t="s">
        <v>1752</v>
      </c>
      <c r="C1243" s="118" t="s">
        <v>1779</v>
      </c>
      <c r="D1243" s="119">
        <v>43198</v>
      </c>
      <c r="E1243" s="118" t="s">
        <v>3581</v>
      </c>
      <c r="F1243" s="118" t="s">
        <v>1807</v>
      </c>
      <c r="G1243" s="124">
        <v>4</v>
      </c>
      <c r="H1243" s="124">
        <v>1</v>
      </c>
      <c r="I1243" s="118">
        <v>13.5</v>
      </c>
      <c r="J1243" s="118">
        <v>96</v>
      </c>
      <c r="K1243" s="118"/>
      <c r="L1243" s="122">
        <v>-1.7</v>
      </c>
      <c r="M1243" s="122">
        <v>-2.0299999999999998</v>
      </c>
      <c r="N1243" s="118">
        <v>-0.72</v>
      </c>
      <c r="O1243" s="123" t="s">
        <v>1760</v>
      </c>
    </row>
    <row r="1244" spans="1:15" ht="43.2">
      <c r="A1244" s="118" t="s">
        <v>3582</v>
      </c>
      <c r="B1244" s="118" t="s">
        <v>1752</v>
      </c>
      <c r="C1244" s="118" t="s">
        <v>2055</v>
      </c>
      <c r="D1244" s="119">
        <v>44723</v>
      </c>
      <c r="E1244" s="118" t="s">
        <v>3583</v>
      </c>
      <c r="F1244" s="118" t="s">
        <v>1807</v>
      </c>
      <c r="G1244" s="124">
        <v>7</v>
      </c>
      <c r="H1244" s="124">
        <v>1</v>
      </c>
      <c r="I1244" s="118">
        <v>2.8</v>
      </c>
      <c r="J1244" s="118">
        <v>47</v>
      </c>
      <c r="K1244" s="118"/>
      <c r="L1244" s="122">
        <v>-1.76</v>
      </c>
      <c r="M1244" s="122">
        <v>-2.16</v>
      </c>
      <c r="N1244" s="118">
        <v>-0.37</v>
      </c>
      <c r="O1244" s="123" t="s">
        <v>1760</v>
      </c>
    </row>
    <row r="1245" spans="1:15" ht="43.2">
      <c r="A1245" s="118" t="s">
        <v>3584</v>
      </c>
      <c r="B1245" s="118" t="s">
        <v>1752</v>
      </c>
      <c r="C1245" s="118" t="s">
        <v>2055</v>
      </c>
      <c r="D1245" s="119">
        <v>44731</v>
      </c>
      <c r="E1245" s="118" t="s">
        <v>2951</v>
      </c>
      <c r="F1245" s="118" t="s">
        <v>1807</v>
      </c>
      <c r="G1245" s="124">
        <v>2</v>
      </c>
      <c r="H1245" s="124">
        <v>4</v>
      </c>
      <c r="I1245" s="118">
        <v>4.8</v>
      </c>
      <c r="J1245" s="118">
        <v>48</v>
      </c>
      <c r="K1245" s="118"/>
      <c r="L1245" s="122">
        <v>1.4</v>
      </c>
      <c r="M1245" s="122">
        <v>-2.29</v>
      </c>
      <c r="N1245" s="118">
        <v>4.91</v>
      </c>
      <c r="O1245" s="123" t="s">
        <v>2170</v>
      </c>
    </row>
    <row r="1246" spans="1:15" ht="43.2">
      <c r="A1246" s="118" t="s">
        <v>3585</v>
      </c>
      <c r="B1246" s="118" t="s">
        <v>1752</v>
      </c>
      <c r="C1246" s="118" t="s">
        <v>2055</v>
      </c>
      <c r="D1246" s="119">
        <v>44737</v>
      </c>
      <c r="E1246" s="118" t="s">
        <v>2968</v>
      </c>
      <c r="F1246" s="118" t="s">
        <v>1807</v>
      </c>
      <c r="G1246" s="124">
        <v>3</v>
      </c>
      <c r="H1246" s="124">
        <v>1</v>
      </c>
      <c r="I1246" s="118">
        <v>2.8</v>
      </c>
      <c r="J1246" s="118">
        <v>47</v>
      </c>
      <c r="K1246" s="118"/>
      <c r="L1246" s="122">
        <v>-2.9</v>
      </c>
      <c r="M1246" s="122">
        <v>-3.24</v>
      </c>
      <c r="N1246" s="118">
        <v>-0.37</v>
      </c>
      <c r="O1246" s="123" t="s">
        <v>1760</v>
      </c>
    </row>
    <row r="1247" spans="1:15" ht="72">
      <c r="A1247" s="118" t="s">
        <v>3586</v>
      </c>
      <c r="B1247" s="118" t="s">
        <v>1752</v>
      </c>
      <c r="C1247" s="118" t="s">
        <v>1786</v>
      </c>
      <c r="D1247" s="119">
        <v>43298</v>
      </c>
      <c r="E1247" s="118" t="s">
        <v>2970</v>
      </c>
      <c r="F1247" s="118" t="s">
        <v>1746</v>
      </c>
      <c r="G1247" s="124">
        <v>5</v>
      </c>
      <c r="H1247" s="124">
        <v>3</v>
      </c>
      <c r="I1247" s="118">
        <v>9</v>
      </c>
      <c r="J1247" s="118">
        <v>84.2</v>
      </c>
      <c r="K1247" s="118"/>
      <c r="L1247" s="122">
        <v>-4.46</v>
      </c>
      <c r="M1247" s="122">
        <v>-4.45</v>
      </c>
      <c r="N1247" s="118">
        <v>-3.1</v>
      </c>
      <c r="O1247" s="123" t="s">
        <v>1790</v>
      </c>
    </row>
    <row r="1248" spans="1:15" ht="43.2">
      <c r="A1248" s="118" t="s">
        <v>3587</v>
      </c>
      <c r="B1248" s="118" t="s">
        <v>1743</v>
      </c>
      <c r="C1248" s="118" t="s">
        <v>1779</v>
      </c>
      <c r="D1248" s="119">
        <v>43191</v>
      </c>
      <c r="E1248" s="118" t="s">
        <v>3438</v>
      </c>
      <c r="F1248" s="118" t="s">
        <v>1746</v>
      </c>
      <c r="G1248" s="124">
        <v>4</v>
      </c>
      <c r="H1248" s="124">
        <v>6</v>
      </c>
      <c r="I1248" s="118">
        <v>9.1999999999999993</v>
      </c>
      <c r="J1248" s="118">
        <v>86.7</v>
      </c>
      <c r="K1248" s="118"/>
      <c r="L1248" s="122">
        <v>-4.29</v>
      </c>
      <c r="M1248" s="122">
        <v>-4.12</v>
      </c>
      <c r="N1248" s="118">
        <v>-2.77</v>
      </c>
      <c r="O1248" s="123" t="s">
        <v>1747</v>
      </c>
    </row>
    <row r="1249" spans="1:15" ht="28.8">
      <c r="A1249" s="118" t="s">
        <v>3588</v>
      </c>
      <c r="B1249" s="118" t="s">
        <v>1743</v>
      </c>
      <c r="C1249" s="118" t="s">
        <v>1749</v>
      </c>
      <c r="D1249" s="119">
        <v>43645</v>
      </c>
      <c r="E1249" s="118" t="s">
        <v>2354</v>
      </c>
      <c r="F1249" s="118" t="s">
        <v>1746</v>
      </c>
      <c r="G1249" s="124">
        <v>1</v>
      </c>
      <c r="H1249" s="124">
        <v>7</v>
      </c>
      <c r="I1249" s="118">
        <v>8.9</v>
      </c>
      <c r="J1249" s="118">
        <v>83</v>
      </c>
      <c r="K1249" s="118"/>
      <c r="L1249" s="122">
        <v>-3.55</v>
      </c>
      <c r="M1249" s="122">
        <v>-3.27</v>
      </c>
      <c r="N1249" s="118">
        <v>-2.19</v>
      </c>
      <c r="O1249" s="123" t="s">
        <v>1747</v>
      </c>
    </row>
    <row r="1250" spans="1:15" ht="28.8">
      <c r="A1250" s="118" t="s">
        <v>3589</v>
      </c>
      <c r="B1250" s="118" t="s">
        <v>1743</v>
      </c>
      <c r="C1250" s="118" t="s">
        <v>1779</v>
      </c>
      <c r="D1250" s="119">
        <v>43180</v>
      </c>
      <c r="E1250" s="118" t="s">
        <v>1764</v>
      </c>
      <c r="F1250" s="118" t="s">
        <v>1746</v>
      </c>
      <c r="G1250" s="124">
        <v>4</v>
      </c>
      <c r="H1250" s="124">
        <v>7</v>
      </c>
      <c r="I1250" s="118">
        <v>12.6</v>
      </c>
      <c r="J1250" s="118">
        <v>94</v>
      </c>
      <c r="K1250" s="118"/>
      <c r="L1250" s="122">
        <v>-2.0299999999999998</v>
      </c>
      <c r="M1250" s="122">
        <v>-2.34</v>
      </c>
      <c r="N1250" s="118">
        <v>-0.9</v>
      </c>
      <c r="O1250" s="123" t="s">
        <v>1760</v>
      </c>
    </row>
    <row r="1251" spans="1:15" ht="43.2">
      <c r="A1251" s="118" t="s">
        <v>3590</v>
      </c>
      <c r="B1251" s="118" t="s">
        <v>1752</v>
      </c>
      <c r="C1251" s="118" t="s">
        <v>1744</v>
      </c>
      <c r="D1251" s="119">
        <v>43986</v>
      </c>
      <c r="E1251" s="118" t="s">
        <v>2376</v>
      </c>
      <c r="F1251" s="118" t="s">
        <v>1746</v>
      </c>
      <c r="G1251" s="124">
        <v>4</v>
      </c>
      <c r="H1251" s="124">
        <v>1</v>
      </c>
      <c r="I1251" s="118">
        <v>12.9</v>
      </c>
      <c r="J1251" s="118">
        <v>80.599999999999994</v>
      </c>
      <c r="K1251" s="118"/>
      <c r="L1251" s="122">
        <v>0.49</v>
      </c>
      <c r="M1251" s="122">
        <v>-2.42</v>
      </c>
      <c r="N1251" s="118">
        <v>2.33</v>
      </c>
      <c r="O1251" s="123" t="s">
        <v>2078</v>
      </c>
    </row>
    <row r="1252" spans="1:15" ht="43.2">
      <c r="A1252" s="118" t="s">
        <v>3591</v>
      </c>
      <c r="B1252" s="118" t="s">
        <v>1743</v>
      </c>
      <c r="C1252" s="118" t="s">
        <v>1755</v>
      </c>
      <c r="D1252" s="119">
        <v>44329</v>
      </c>
      <c r="E1252" s="118" t="s">
        <v>3592</v>
      </c>
      <c r="F1252" s="118" t="s">
        <v>1746</v>
      </c>
      <c r="G1252" s="124">
        <v>1</v>
      </c>
      <c r="H1252" s="124">
        <v>7</v>
      </c>
      <c r="I1252" s="118">
        <v>10</v>
      </c>
      <c r="J1252" s="118">
        <v>70</v>
      </c>
      <c r="K1252" s="118"/>
      <c r="L1252" s="122">
        <v>0.68</v>
      </c>
      <c r="M1252" s="122">
        <v>-2.0299999999999998</v>
      </c>
      <c r="N1252" s="118">
        <v>2.15</v>
      </c>
      <c r="O1252" s="123" t="s">
        <v>2078</v>
      </c>
    </row>
    <row r="1253" spans="1:15" ht="43.2">
      <c r="A1253" s="118" t="s">
        <v>3593</v>
      </c>
      <c r="B1253" s="118" t="s">
        <v>1743</v>
      </c>
      <c r="C1253" s="118" t="s">
        <v>1755</v>
      </c>
      <c r="D1253" s="119">
        <v>44319</v>
      </c>
      <c r="E1253" s="118" t="s">
        <v>2398</v>
      </c>
      <c r="F1253" s="118" t="s">
        <v>1769</v>
      </c>
      <c r="G1253" s="124">
        <v>4</v>
      </c>
      <c r="H1253" s="124">
        <v>1</v>
      </c>
      <c r="I1253" s="118">
        <v>9.5</v>
      </c>
      <c r="J1253" s="118">
        <v>65</v>
      </c>
      <c r="K1253" s="118"/>
      <c r="L1253" s="122">
        <v>0.2</v>
      </c>
      <c r="M1253" s="122">
        <v>-4.04</v>
      </c>
      <c r="N1253" s="118">
        <v>3.05</v>
      </c>
      <c r="O1253" s="123" t="s">
        <v>2170</v>
      </c>
    </row>
    <row r="1254" spans="1:15" ht="57.6">
      <c r="A1254" s="118" t="s">
        <v>3594</v>
      </c>
      <c r="B1254" s="118" t="s">
        <v>1743</v>
      </c>
      <c r="C1254" s="118" t="s">
        <v>2055</v>
      </c>
      <c r="D1254" s="119">
        <v>44735</v>
      </c>
      <c r="E1254" s="118" t="s">
        <v>3456</v>
      </c>
      <c r="F1254" s="118" t="s">
        <v>1769</v>
      </c>
      <c r="G1254" s="124">
        <v>2</v>
      </c>
      <c r="H1254" s="124">
        <v>1</v>
      </c>
      <c r="I1254" s="118">
        <v>4.8</v>
      </c>
      <c r="J1254" s="118">
        <v>48</v>
      </c>
      <c r="K1254" s="118"/>
      <c r="L1254" s="122">
        <v>1.49</v>
      </c>
      <c r="M1254" s="122">
        <v>-2.09</v>
      </c>
      <c r="N1254" s="118">
        <v>4.72</v>
      </c>
      <c r="O1254" s="123" t="s">
        <v>2170</v>
      </c>
    </row>
    <row r="1255" spans="1:15" ht="43.2">
      <c r="A1255" s="118" t="s">
        <v>3595</v>
      </c>
      <c r="B1255" s="118" t="s">
        <v>1743</v>
      </c>
      <c r="C1255" s="118" t="s">
        <v>1744</v>
      </c>
      <c r="D1255" s="119">
        <v>43956</v>
      </c>
      <c r="E1255" s="118" t="s">
        <v>3459</v>
      </c>
      <c r="F1255" s="118" t="s">
        <v>1769</v>
      </c>
      <c r="G1255" s="124">
        <v>1</v>
      </c>
      <c r="H1255" s="124">
        <v>2</v>
      </c>
      <c r="I1255" s="118">
        <v>10.5</v>
      </c>
      <c r="J1255" s="118">
        <v>86</v>
      </c>
      <c r="K1255" s="118">
        <v>15</v>
      </c>
      <c r="L1255" s="122">
        <v>-2.37</v>
      </c>
      <c r="M1255" s="122">
        <v>-2.56</v>
      </c>
      <c r="N1255" s="118">
        <v>-1.19</v>
      </c>
      <c r="O1255" s="123" t="s">
        <v>1760</v>
      </c>
    </row>
    <row r="1256" spans="1:15" ht="43.2">
      <c r="A1256" s="118" t="s">
        <v>3596</v>
      </c>
      <c r="B1256" s="118" t="s">
        <v>1752</v>
      </c>
      <c r="C1256" s="118" t="s">
        <v>1744</v>
      </c>
      <c r="D1256" s="119">
        <v>44112</v>
      </c>
      <c r="E1256" s="118" t="s">
        <v>2158</v>
      </c>
      <c r="F1256" s="118" t="s">
        <v>1769</v>
      </c>
      <c r="G1256" s="124">
        <v>1</v>
      </c>
      <c r="H1256" s="124">
        <v>2</v>
      </c>
      <c r="I1256" s="118">
        <v>10</v>
      </c>
      <c r="J1256" s="118">
        <v>84</v>
      </c>
      <c r="K1256" s="118">
        <v>13</v>
      </c>
      <c r="L1256" s="122">
        <v>-2.65</v>
      </c>
      <c r="M1256" s="122">
        <v>-2.69</v>
      </c>
      <c r="N1256" s="118">
        <v>-1.67</v>
      </c>
      <c r="O1256" s="123" t="s">
        <v>1760</v>
      </c>
    </row>
    <row r="1257" spans="1:15" ht="43.2">
      <c r="A1257" s="118" t="s">
        <v>3597</v>
      </c>
      <c r="B1257" s="118" t="s">
        <v>1743</v>
      </c>
      <c r="C1257" s="118" t="s">
        <v>1749</v>
      </c>
      <c r="D1257" s="119">
        <v>43664</v>
      </c>
      <c r="E1257" s="118" t="s">
        <v>2999</v>
      </c>
      <c r="F1257" s="118" t="s">
        <v>1769</v>
      </c>
      <c r="G1257" s="124">
        <v>8</v>
      </c>
      <c r="H1257" s="124">
        <v>5</v>
      </c>
      <c r="I1257" s="118">
        <v>11.2</v>
      </c>
      <c r="J1257" s="118">
        <v>91</v>
      </c>
      <c r="K1257" s="118">
        <v>15</v>
      </c>
      <c r="L1257" s="122">
        <v>-2.67</v>
      </c>
      <c r="M1257" s="122">
        <v>-2.59</v>
      </c>
      <c r="N1257" s="118">
        <v>-1.62</v>
      </c>
      <c r="O1257" s="123" t="s">
        <v>1760</v>
      </c>
    </row>
    <row r="1258" spans="1:15" ht="43.2">
      <c r="A1258" s="118" t="s">
        <v>3598</v>
      </c>
      <c r="B1258" s="118" t="s">
        <v>1752</v>
      </c>
      <c r="C1258" s="118" t="s">
        <v>1749</v>
      </c>
      <c r="D1258" s="119">
        <v>43647</v>
      </c>
      <c r="E1258" s="118" t="s">
        <v>2412</v>
      </c>
      <c r="F1258" s="118" t="s">
        <v>1769</v>
      </c>
      <c r="G1258" s="124">
        <v>4</v>
      </c>
      <c r="H1258" s="124">
        <v>8</v>
      </c>
      <c r="I1258" s="118">
        <v>12.6</v>
      </c>
      <c r="J1258" s="118">
        <v>94.4</v>
      </c>
      <c r="K1258" s="118">
        <v>15</v>
      </c>
      <c r="L1258" s="122">
        <v>-2</v>
      </c>
      <c r="M1258" s="122">
        <v>-2.19</v>
      </c>
      <c r="N1258" s="118">
        <v>-1.1000000000000001</v>
      </c>
      <c r="O1258" s="123" t="s">
        <v>1760</v>
      </c>
    </row>
    <row r="1259" spans="1:15" ht="43.2">
      <c r="A1259" s="118" t="s">
        <v>3599</v>
      </c>
      <c r="B1259" s="118" t="s">
        <v>1743</v>
      </c>
      <c r="C1259" s="118" t="s">
        <v>1744</v>
      </c>
      <c r="D1259" s="119">
        <v>44125</v>
      </c>
      <c r="E1259" s="118" t="s">
        <v>1924</v>
      </c>
      <c r="F1259" s="118" t="s">
        <v>1769</v>
      </c>
      <c r="G1259" s="124">
        <v>4</v>
      </c>
      <c r="H1259" s="124">
        <v>8</v>
      </c>
      <c r="I1259" s="118">
        <v>9.1</v>
      </c>
      <c r="J1259" s="118">
        <v>84.5</v>
      </c>
      <c r="K1259" s="118"/>
      <c r="L1259" s="122">
        <v>-3.01</v>
      </c>
      <c r="M1259" s="122">
        <v>-2.08</v>
      </c>
      <c r="N1259" s="118">
        <v>-2.5</v>
      </c>
      <c r="O1259" s="123" t="s">
        <v>1747</v>
      </c>
    </row>
    <row r="1260" spans="1:15" ht="43.2">
      <c r="A1260" s="118" t="s">
        <v>3600</v>
      </c>
      <c r="B1260" s="118" t="s">
        <v>1743</v>
      </c>
      <c r="C1260" s="118" t="s">
        <v>2055</v>
      </c>
      <c r="D1260" s="119">
        <v>44768</v>
      </c>
      <c r="E1260" s="118" t="s">
        <v>1771</v>
      </c>
      <c r="F1260" s="118" t="s">
        <v>1769</v>
      </c>
      <c r="G1260" s="124">
        <v>2</v>
      </c>
      <c r="H1260" s="124">
        <v>8</v>
      </c>
      <c r="I1260" s="118">
        <v>5</v>
      </c>
      <c r="J1260" s="118">
        <v>66.5</v>
      </c>
      <c r="K1260" s="118"/>
      <c r="L1260" s="122">
        <v>-4.38</v>
      </c>
      <c r="M1260" s="122">
        <v>-2.25</v>
      </c>
      <c r="N1260" s="118">
        <v>-4.4400000000000004</v>
      </c>
      <c r="O1260" s="123" t="s">
        <v>1790</v>
      </c>
    </row>
    <row r="1261" spans="1:15" ht="43.2">
      <c r="A1261" s="118" t="s">
        <v>3601</v>
      </c>
      <c r="B1261" s="118" t="s">
        <v>1743</v>
      </c>
      <c r="C1261" s="118" t="s">
        <v>1744</v>
      </c>
      <c r="D1261" s="119">
        <v>44256</v>
      </c>
      <c r="E1261" s="118" t="s">
        <v>3463</v>
      </c>
      <c r="F1261" s="118" t="s">
        <v>1769</v>
      </c>
      <c r="G1261" s="124">
        <v>2</v>
      </c>
      <c r="H1261" s="124">
        <v>10</v>
      </c>
      <c r="I1261" s="118">
        <v>9</v>
      </c>
      <c r="J1261" s="118">
        <v>78</v>
      </c>
      <c r="K1261" s="118">
        <v>15</v>
      </c>
      <c r="L1261" s="122">
        <v>-2.5499999999999998</v>
      </c>
      <c r="M1261" s="122">
        <v>-3.33</v>
      </c>
      <c r="N1261" s="118">
        <v>-0.85</v>
      </c>
      <c r="O1261" s="123" t="s">
        <v>1760</v>
      </c>
    </row>
    <row r="1262" spans="1:15" ht="43.2">
      <c r="A1262" s="118" t="s">
        <v>3602</v>
      </c>
      <c r="B1262" s="118" t="s">
        <v>1743</v>
      </c>
      <c r="C1262" s="118" t="s">
        <v>1749</v>
      </c>
      <c r="D1262" s="119">
        <v>43700</v>
      </c>
      <c r="E1262" s="118" t="s">
        <v>2219</v>
      </c>
      <c r="F1262" s="118" t="s">
        <v>1769</v>
      </c>
      <c r="G1262" s="124">
        <v>1</v>
      </c>
      <c r="H1262" s="124">
        <v>11</v>
      </c>
      <c r="I1262" s="118">
        <v>11.2</v>
      </c>
      <c r="J1262" s="118">
        <v>87.2</v>
      </c>
      <c r="K1262" s="118">
        <v>15</v>
      </c>
      <c r="L1262" s="122">
        <v>-2.59</v>
      </c>
      <c r="M1262" s="122">
        <v>-3.36</v>
      </c>
      <c r="N1262" s="118">
        <v>-0.73</v>
      </c>
      <c r="O1262" s="123" t="s">
        <v>1760</v>
      </c>
    </row>
    <row r="1263" spans="1:15" ht="43.2">
      <c r="A1263" s="118" t="s">
        <v>3603</v>
      </c>
      <c r="B1263" s="118" t="s">
        <v>1743</v>
      </c>
      <c r="C1263" s="118" t="s">
        <v>1786</v>
      </c>
      <c r="D1263" s="119">
        <v>43293</v>
      </c>
      <c r="E1263" s="118" t="s">
        <v>2408</v>
      </c>
      <c r="F1263" s="118" t="s">
        <v>1769</v>
      </c>
      <c r="G1263" s="124">
        <v>8</v>
      </c>
      <c r="H1263" s="124">
        <v>1</v>
      </c>
      <c r="I1263" s="118">
        <v>12.1</v>
      </c>
      <c r="J1263" s="118">
        <v>92.3</v>
      </c>
      <c r="K1263" s="118">
        <v>16</v>
      </c>
      <c r="L1263" s="122">
        <v>-2.91</v>
      </c>
      <c r="M1263" s="122">
        <v>-3.52</v>
      </c>
      <c r="N1263" s="118">
        <v>-1</v>
      </c>
      <c r="O1263" s="123" t="s">
        <v>1760</v>
      </c>
    </row>
    <row r="1264" spans="1:15" ht="72">
      <c r="A1264" s="118" t="s">
        <v>3604</v>
      </c>
      <c r="B1264" s="118" t="s">
        <v>1752</v>
      </c>
      <c r="C1264" s="118" t="s">
        <v>1749</v>
      </c>
      <c r="D1264" s="119">
        <v>43717</v>
      </c>
      <c r="E1264" s="118" t="s">
        <v>2885</v>
      </c>
      <c r="F1264" s="118" t="s">
        <v>1774</v>
      </c>
      <c r="G1264" s="124">
        <v>4</v>
      </c>
      <c r="H1264" s="124">
        <v>7</v>
      </c>
      <c r="I1264" s="118">
        <v>10.5</v>
      </c>
      <c r="J1264" s="118">
        <v>85.5</v>
      </c>
      <c r="K1264" s="118"/>
      <c r="L1264" s="122">
        <v>-3.32</v>
      </c>
      <c r="M1264" s="122">
        <v>-4.13</v>
      </c>
      <c r="N1264" s="118">
        <v>-1.27</v>
      </c>
      <c r="O1264" s="123" t="s">
        <v>1760</v>
      </c>
    </row>
    <row r="1265" spans="1:15" ht="43.2">
      <c r="A1265" s="118" t="s">
        <v>3605</v>
      </c>
      <c r="B1265" s="118" t="s">
        <v>1752</v>
      </c>
      <c r="C1265" s="118" t="s">
        <v>1749</v>
      </c>
      <c r="D1265" s="119">
        <v>43669</v>
      </c>
      <c r="E1265" s="118" t="s">
        <v>3143</v>
      </c>
      <c r="F1265" s="118" t="s">
        <v>1774</v>
      </c>
      <c r="G1265" s="124">
        <v>2</v>
      </c>
      <c r="H1265" s="124">
        <v>5</v>
      </c>
      <c r="I1265" s="118">
        <v>10.9</v>
      </c>
      <c r="J1265" s="118">
        <v>90.5</v>
      </c>
      <c r="K1265" s="118"/>
      <c r="L1265" s="122">
        <v>-3.14</v>
      </c>
      <c r="M1265" s="122">
        <v>-3.08</v>
      </c>
      <c r="N1265" s="118">
        <v>-2.1</v>
      </c>
      <c r="O1265" s="123" t="s">
        <v>1747</v>
      </c>
    </row>
    <row r="1266" spans="1:15" ht="43.2">
      <c r="A1266" s="118" t="s">
        <v>3606</v>
      </c>
      <c r="B1266" s="118" t="s">
        <v>1743</v>
      </c>
      <c r="C1266" s="118" t="s">
        <v>1744</v>
      </c>
      <c r="D1266" s="119">
        <v>44312</v>
      </c>
      <c r="E1266" s="118" t="s">
        <v>3040</v>
      </c>
      <c r="F1266" s="118" t="s">
        <v>1774</v>
      </c>
      <c r="G1266" s="124">
        <v>1</v>
      </c>
      <c r="H1266" s="124">
        <v>8</v>
      </c>
      <c r="I1266" s="118">
        <v>7.4</v>
      </c>
      <c r="J1266" s="118">
        <v>76.5</v>
      </c>
      <c r="K1266" s="118"/>
      <c r="L1266" s="122">
        <v>-3.89</v>
      </c>
      <c r="M1266" s="122">
        <v>-3.4</v>
      </c>
      <c r="N1266" s="118">
        <v>-2.82</v>
      </c>
      <c r="O1266" s="123" t="s">
        <v>1747</v>
      </c>
    </row>
    <row r="1267" spans="1:15" ht="43.2">
      <c r="A1267" s="118" t="s">
        <v>3607</v>
      </c>
      <c r="B1267" s="118" t="s">
        <v>1752</v>
      </c>
      <c r="C1267" s="118" t="s">
        <v>1786</v>
      </c>
      <c r="D1267" s="119">
        <v>43334</v>
      </c>
      <c r="E1267" s="118" t="s">
        <v>2509</v>
      </c>
      <c r="F1267" s="118" t="s">
        <v>1777</v>
      </c>
      <c r="G1267" s="124">
        <v>2</v>
      </c>
      <c r="H1267" s="124">
        <v>10</v>
      </c>
      <c r="I1267" s="118">
        <v>12.8</v>
      </c>
      <c r="J1267" s="118">
        <v>95</v>
      </c>
      <c r="K1267" s="118"/>
      <c r="L1267" s="122">
        <v>-2.59</v>
      </c>
      <c r="M1267" s="122">
        <v>-3.01</v>
      </c>
      <c r="N1267" s="118">
        <v>-1.18</v>
      </c>
      <c r="O1267" s="123" t="s">
        <v>1760</v>
      </c>
    </row>
    <row r="1268" spans="1:15" ht="43.2">
      <c r="A1268" s="118" t="s">
        <v>3608</v>
      </c>
      <c r="B1268" s="118" t="s">
        <v>1743</v>
      </c>
      <c r="C1268" s="118" t="s">
        <v>1755</v>
      </c>
      <c r="D1268" s="119">
        <v>44624</v>
      </c>
      <c r="E1268" s="118" t="s">
        <v>3157</v>
      </c>
      <c r="F1268" s="118" t="s">
        <v>1777</v>
      </c>
      <c r="G1268" s="124">
        <v>1</v>
      </c>
      <c r="H1268" s="124">
        <v>13</v>
      </c>
      <c r="I1268" s="118">
        <v>6.1</v>
      </c>
      <c r="J1268" s="118">
        <v>66.5</v>
      </c>
      <c r="K1268" s="118">
        <v>12</v>
      </c>
      <c r="L1268" s="122">
        <v>-3.78</v>
      </c>
      <c r="M1268" s="122">
        <v>-4.01</v>
      </c>
      <c r="N1268" s="118">
        <v>-2.23</v>
      </c>
      <c r="O1268" s="123" t="s">
        <v>1747</v>
      </c>
    </row>
    <row r="1269" spans="1:15" ht="43.2">
      <c r="A1269" s="118" t="s">
        <v>3609</v>
      </c>
      <c r="B1269" s="118" t="s">
        <v>1752</v>
      </c>
      <c r="C1269" s="118" t="s">
        <v>1749</v>
      </c>
      <c r="D1269" s="119">
        <v>43790</v>
      </c>
      <c r="E1269" s="118" t="s">
        <v>3478</v>
      </c>
      <c r="F1269" s="118" t="s">
        <v>1777</v>
      </c>
      <c r="G1269" s="124">
        <v>2</v>
      </c>
      <c r="H1269" s="124">
        <v>9</v>
      </c>
      <c r="I1269" s="118">
        <v>9.6</v>
      </c>
      <c r="J1269" s="118">
        <v>88.5</v>
      </c>
      <c r="K1269" s="118">
        <v>13</v>
      </c>
      <c r="L1269" s="122">
        <v>-3.79</v>
      </c>
      <c r="M1269" s="122">
        <v>-2.91</v>
      </c>
      <c r="N1269" s="118">
        <v>-3.43</v>
      </c>
      <c r="O1269" s="123" t="s">
        <v>1790</v>
      </c>
    </row>
    <row r="1270" spans="1:15" ht="43.2">
      <c r="A1270" s="118" t="s">
        <v>3610</v>
      </c>
      <c r="B1270" s="118" t="s">
        <v>1752</v>
      </c>
      <c r="C1270" s="118" t="s">
        <v>1744</v>
      </c>
      <c r="D1270" s="119">
        <v>44169</v>
      </c>
      <c r="E1270" s="118" t="s">
        <v>2898</v>
      </c>
      <c r="F1270" s="118" t="s">
        <v>1777</v>
      </c>
      <c r="G1270" s="124">
        <v>5</v>
      </c>
      <c r="H1270" s="124">
        <v>1</v>
      </c>
      <c r="I1270" s="118">
        <v>8.3000000000000007</v>
      </c>
      <c r="J1270" s="118">
        <v>80.5</v>
      </c>
      <c r="K1270" s="118">
        <v>13.5</v>
      </c>
      <c r="L1270" s="122">
        <v>-3.94</v>
      </c>
      <c r="M1270" s="122">
        <v>-3.39</v>
      </c>
      <c r="N1270" s="118">
        <v>-3.16</v>
      </c>
      <c r="O1270" s="123" t="s">
        <v>1790</v>
      </c>
    </row>
    <row r="1271" spans="1:15" ht="57.6">
      <c r="A1271" s="118" t="s">
        <v>3611</v>
      </c>
      <c r="B1271" s="118" t="s">
        <v>1743</v>
      </c>
      <c r="C1271" s="118" t="s">
        <v>1744</v>
      </c>
      <c r="D1271" s="119">
        <v>44104</v>
      </c>
      <c r="E1271" s="118" t="s">
        <v>3153</v>
      </c>
      <c r="F1271" s="118" t="s">
        <v>1777</v>
      </c>
      <c r="G1271" s="124">
        <v>4</v>
      </c>
      <c r="H1271" s="124">
        <v>2</v>
      </c>
      <c r="I1271" s="118">
        <v>8.8000000000000007</v>
      </c>
      <c r="J1271" s="118">
        <v>77.599999999999994</v>
      </c>
      <c r="K1271" s="118">
        <v>12.5</v>
      </c>
      <c r="L1271" s="122">
        <v>-3.34</v>
      </c>
      <c r="M1271" s="122">
        <v>-4.07</v>
      </c>
      <c r="N1271" s="118">
        <v>-1.18</v>
      </c>
      <c r="O1271" s="123" t="s">
        <v>1760</v>
      </c>
    </row>
    <row r="1272" spans="1:15" ht="43.2">
      <c r="A1272" s="118" t="s">
        <v>3612</v>
      </c>
      <c r="B1272" s="118" t="s">
        <v>1743</v>
      </c>
      <c r="C1272" s="118" t="s">
        <v>1755</v>
      </c>
      <c r="D1272" s="119">
        <v>44326</v>
      </c>
      <c r="E1272" s="118" t="s">
        <v>1891</v>
      </c>
      <c r="F1272" s="118" t="s">
        <v>1777</v>
      </c>
      <c r="G1272" s="124">
        <v>1</v>
      </c>
      <c r="H1272" s="124">
        <v>13</v>
      </c>
      <c r="I1272" s="118">
        <v>9.4</v>
      </c>
      <c r="J1272" s="118">
        <v>78.900000000000006</v>
      </c>
      <c r="K1272" s="118">
        <v>16</v>
      </c>
      <c r="L1272" s="122">
        <v>-1.78</v>
      </c>
      <c r="M1272" s="122">
        <v>-2.29</v>
      </c>
      <c r="N1272" s="118">
        <v>-0.71</v>
      </c>
      <c r="O1272" s="123" t="s">
        <v>1760</v>
      </c>
    </row>
    <row r="1273" spans="1:15" ht="43.2">
      <c r="A1273" s="118" t="s">
        <v>3613</v>
      </c>
      <c r="B1273" s="118" t="s">
        <v>1752</v>
      </c>
      <c r="C1273" s="118" t="s">
        <v>1749</v>
      </c>
      <c r="D1273" s="119">
        <v>43892</v>
      </c>
      <c r="E1273" s="118" t="s">
        <v>3379</v>
      </c>
      <c r="F1273" s="118" t="s">
        <v>1777</v>
      </c>
      <c r="G1273" s="124">
        <v>3</v>
      </c>
      <c r="H1273" s="124">
        <v>15</v>
      </c>
      <c r="I1273" s="118">
        <v>12</v>
      </c>
      <c r="J1273" s="118">
        <v>89</v>
      </c>
      <c r="K1273" s="118">
        <v>16</v>
      </c>
      <c r="L1273" s="122">
        <v>-1.78</v>
      </c>
      <c r="M1273" s="122">
        <v>-2.39</v>
      </c>
      <c r="N1273" s="118">
        <v>-0.66</v>
      </c>
      <c r="O1273" s="123" t="s">
        <v>1760</v>
      </c>
    </row>
    <row r="1274" spans="1:15" ht="57.6">
      <c r="A1274" s="118" t="s">
        <v>3614</v>
      </c>
      <c r="B1274" s="118" t="s">
        <v>1752</v>
      </c>
      <c r="C1274" s="118" t="s">
        <v>1744</v>
      </c>
      <c r="D1274" s="119">
        <v>44004</v>
      </c>
      <c r="E1274" s="118" t="s">
        <v>2569</v>
      </c>
      <c r="F1274" s="118" t="s">
        <v>2190</v>
      </c>
      <c r="G1274" s="124">
        <v>3</v>
      </c>
      <c r="H1274" s="124">
        <v>1</v>
      </c>
      <c r="I1274" s="118">
        <v>10.5</v>
      </c>
      <c r="J1274" s="118">
        <v>87.3</v>
      </c>
      <c r="K1274" s="118"/>
      <c r="L1274" s="122">
        <v>-2.5499999999999998</v>
      </c>
      <c r="M1274" s="122">
        <v>-2.4700000000000002</v>
      </c>
      <c r="N1274" s="118">
        <v>-1.76</v>
      </c>
      <c r="O1274" s="123" t="s">
        <v>1760</v>
      </c>
    </row>
    <row r="1275" spans="1:15" ht="43.2">
      <c r="A1275" s="118" t="s">
        <v>3615</v>
      </c>
      <c r="B1275" s="118" t="s">
        <v>1752</v>
      </c>
      <c r="C1275" s="118" t="s">
        <v>1744</v>
      </c>
      <c r="D1275" s="119">
        <v>44051</v>
      </c>
      <c r="E1275" s="118" t="s">
        <v>2777</v>
      </c>
      <c r="F1275" s="118" t="s">
        <v>2190</v>
      </c>
      <c r="G1275" s="124">
        <v>1</v>
      </c>
      <c r="H1275" s="124">
        <v>2</v>
      </c>
      <c r="I1275" s="118">
        <v>11</v>
      </c>
      <c r="J1275" s="118">
        <v>85.2</v>
      </c>
      <c r="K1275" s="118">
        <v>14</v>
      </c>
      <c r="L1275" s="122">
        <v>-2.0099999999999998</v>
      </c>
      <c r="M1275" s="122">
        <v>-2.62</v>
      </c>
      <c r="N1275" s="118">
        <v>-0.79</v>
      </c>
      <c r="O1275" s="123" t="s">
        <v>1760</v>
      </c>
    </row>
    <row r="1276" spans="1:15" ht="43.2">
      <c r="A1276" s="118" t="s">
        <v>3616</v>
      </c>
      <c r="B1276" s="118" t="s">
        <v>1752</v>
      </c>
      <c r="C1276" s="118" t="s">
        <v>1744</v>
      </c>
      <c r="D1276" s="119">
        <v>44217</v>
      </c>
      <c r="E1276" s="118" t="s">
        <v>2287</v>
      </c>
      <c r="F1276" s="118" t="s">
        <v>2190</v>
      </c>
      <c r="G1276" s="124">
        <v>5</v>
      </c>
      <c r="H1276" s="124">
        <v>2</v>
      </c>
      <c r="I1276" s="118">
        <v>14.1</v>
      </c>
      <c r="J1276" s="118">
        <v>83.5</v>
      </c>
      <c r="K1276" s="118"/>
      <c r="L1276" s="122">
        <v>0.69</v>
      </c>
      <c r="M1276" s="122">
        <v>-2.1800000000000002</v>
      </c>
      <c r="N1276" s="118">
        <v>2.58</v>
      </c>
      <c r="O1276" s="123" t="s">
        <v>2078</v>
      </c>
    </row>
    <row r="1277" spans="1:15" ht="43.2">
      <c r="A1277" s="118" t="s">
        <v>3617</v>
      </c>
      <c r="B1277" s="118" t="s">
        <v>1752</v>
      </c>
      <c r="C1277" s="118" t="s">
        <v>1755</v>
      </c>
      <c r="D1277" s="119">
        <v>44651</v>
      </c>
      <c r="E1277" s="118" t="s">
        <v>2816</v>
      </c>
      <c r="F1277" s="118" t="s">
        <v>2190</v>
      </c>
      <c r="G1277" s="124">
        <v>3</v>
      </c>
      <c r="H1277" s="124">
        <v>4</v>
      </c>
      <c r="I1277" s="118">
        <v>6.7</v>
      </c>
      <c r="J1277" s="118">
        <v>67</v>
      </c>
      <c r="K1277" s="118"/>
      <c r="L1277" s="122">
        <v>-3.65</v>
      </c>
      <c r="M1277" s="122">
        <v>-4.49</v>
      </c>
      <c r="N1277" s="118">
        <v>-1.8</v>
      </c>
      <c r="O1277" s="123" t="s">
        <v>1760</v>
      </c>
    </row>
    <row r="1278" spans="1:15" ht="43.2">
      <c r="A1278" s="118" t="s">
        <v>3618</v>
      </c>
      <c r="B1278" s="118" t="s">
        <v>1743</v>
      </c>
      <c r="C1278" s="118" t="s">
        <v>1786</v>
      </c>
      <c r="D1278" s="119">
        <v>43378</v>
      </c>
      <c r="E1278" s="118" t="s">
        <v>3074</v>
      </c>
      <c r="F1278" s="118" t="s">
        <v>2190</v>
      </c>
      <c r="G1278" s="124">
        <v>1</v>
      </c>
      <c r="H1278" s="124">
        <v>6</v>
      </c>
      <c r="I1278" s="118">
        <v>11</v>
      </c>
      <c r="J1278" s="118">
        <v>95</v>
      </c>
      <c r="K1278" s="118"/>
      <c r="L1278" s="122">
        <v>-3.43</v>
      </c>
      <c r="M1278" s="122">
        <v>-2.68</v>
      </c>
      <c r="N1278" s="118">
        <v>-2.72</v>
      </c>
      <c r="O1278" s="123" t="s">
        <v>1747</v>
      </c>
    </row>
    <row r="1279" spans="1:15" ht="43.2">
      <c r="A1279" s="118" t="s">
        <v>3619</v>
      </c>
      <c r="B1279" s="118" t="s">
        <v>1743</v>
      </c>
      <c r="C1279" s="118" t="s">
        <v>1786</v>
      </c>
      <c r="D1279" s="119">
        <v>43466</v>
      </c>
      <c r="E1279" s="118" t="s">
        <v>3076</v>
      </c>
      <c r="F1279" s="118" t="s">
        <v>2190</v>
      </c>
      <c r="G1279" s="124">
        <v>8</v>
      </c>
      <c r="H1279" s="124">
        <v>3</v>
      </c>
      <c r="I1279" s="118">
        <v>11.1</v>
      </c>
      <c r="J1279" s="118">
        <v>92.8</v>
      </c>
      <c r="K1279" s="118"/>
      <c r="L1279" s="122">
        <v>-3.2</v>
      </c>
      <c r="M1279" s="122">
        <v>-2.87</v>
      </c>
      <c r="N1279" s="118">
        <v>-2.13</v>
      </c>
      <c r="O1279" s="123" t="s">
        <v>1747</v>
      </c>
    </row>
    <row r="1280" spans="1:15" ht="43.2">
      <c r="A1280" s="118" t="s">
        <v>3620</v>
      </c>
      <c r="B1280" s="118" t="s">
        <v>1752</v>
      </c>
      <c r="C1280" s="118" t="s">
        <v>1786</v>
      </c>
      <c r="D1280" s="119">
        <v>43519</v>
      </c>
      <c r="E1280" s="118" t="s">
        <v>3166</v>
      </c>
      <c r="F1280" s="118" t="s">
        <v>2190</v>
      </c>
      <c r="G1280" s="124">
        <v>3</v>
      </c>
      <c r="H1280" s="124">
        <v>2</v>
      </c>
      <c r="I1280" s="118">
        <v>12.9</v>
      </c>
      <c r="J1280" s="118">
        <v>93.7</v>
      </c>
      <c r="K1280" s="118"/>
      <c r="L1280" s="122">
        <v>-2.13</v>
      </c>
      <c r="M1280" s="122">
        <v>-2.68</v>
      </c>
      <c r="N1280" s="118">
        <v>-0.8</v>
      </c>
      <c r="O1280" s="123" t="s">
        <v>1760</v>
      </c>
    </row>
    <row r="1281" spans="1:15" ht="43.2">
      <c r="A1281" s="118" t="s">
        <v>3621</v>
      </c>
      <c r="B1281" s="118" t="s">
        <v>1752</v>
      </c>
      <c r="C1281" s="118" t="s">
        <v>1749</v>
      </c>
      <c r="D1281" s="119">
        <v>43586</v>
      </c>
      <c r="E1281" s="118" t="s">
        <v>3164</v>
      </c>
      <c r="F1281" s="118" t="s">
        <v>2190</v>
      </c>
      <c r="G1281" s="124">
        <v>4</v>
      </c>
      <c r="H1281" s="124">
        <v>6</v>
      </c>
      <c r="I1281" s="118">
        <v>16.7</v>
      </c>
      <c r="J1281" s="118">
        <v>95.2</v>
      </c>
      <c r="K1281" s="118"/>
      <c r="L1281" s="122">
        <v>0.06</v>
      </c>
      <c r="M1281" s="122">
        <v>-2.09</v>
      </c>
      <c r="N1281" s="118">
        <v>2.0299999999999998</v>
      </c>
      <c r="O1281" s="123" t="s">
        <v>2078</v>
      </c>
    </row>
    <row r="1282" spans="1:15" ht="43.2">
      <c r="A1282" s="118" t="s">
        <v>3622</v>
      </c>
      <c r="B1282" s="118" t="s">
        <v>1752</v>
      </c>
      <c r="C1282" s="118" t="s">
        <v>1749</v>
      </c>
      <c r="D1282" s="119">
        <v>43759</v>
      </c>
      <c r="E1282" s="118" t="s">
        <v>3623</v>
      </c>
      <c r="F1282" s="118" t="s">
        <v>2190</v>
      </c>
      <c r="G1282" s="124">
        <v>1</v>
      </c>
      <c r="H1282" s="124">
        <v>4</v>
      </c>
      <c r="I1282" s="118">
        <v>11.6</v>
      </c>
      <c r="J1282" s="118">
        <v>90.5</v>
      </c>
      <c r="K1282" s="118"/>
      <c r="L1282" s="122">
        <v>-2.41</v>
      </c>
      <c r="M1282" s="122">
        <v>-2.56</v>
      </c>
      <c r="N1282" s="118">
        <v>-1.45</v>
      </c>
      <c r="O1282" s="123" t="s">
        <v>1760</v>
      </c>
    </row>
    <row r="1283" spans="1:15" ht="43.2">
      <c r="A1283" s="118" t="s">
        <v>3624</v>
      </c>
      <c r="B1283" s="118" t="s">
        <v>1743</v>
      </c>
      <c r="C1283" s="118" t="s">
        <v>1744</v>
      </c>
      <c r="D1283" s="119">
        <v>43958</v>
      </c>
      <c r="E1283" s="118" t="s">
        <v>3625</v>
      </c>
      <c r="F1283" s="118" t="s">
        <v>2190</v>
      </c>
      <c r="G1283" s="124">
        <v>2</v>
      </c>
      <c r="H1283" s="124">
        <v>4</v>
      </c>
      <c r="I1283" s="118">
        <v>10.199999999999999</v>
      </c>
      <c r="J1283" s="118">
        <v>82</v>
      </c>
      <c r="K1283" s="118"/>
      <c r="L1283" s="122">
        <v>-2.6</v>
      </c>
      <c r="M1283" s="122">
        <v>-3.58</v>
      </c>
      <c r="N1283" s="118">
        <v>-0.51</v>
      </c>
      <c r="O1283" s="123" t="s">
        <v>1760</v>
      </c>
    </row>
    <row r="1284" spans="1:15" ht="43.2">
      <c r="A1284" s="118" t="s">
        <v>3626</v>
      </c>
      <c r="B1284" s="118" t="s">
        <v>1752</v>
      </c>
      <c r="C1284" s="118" t="s">
        <v>1744</v>
      </c>
      <c r="D1284" s="119">
        <v>43971</v>
      </c>
      <c r="E1284" s="118" t="s">
        <v>3627</v>
      </c>
      <c r="F1284" s="118" t="s">
        <v>2190</v>
      </c>
      <c r="G1284" s="124">
        <v>4</v>
      </c>
      <c r="H1284" s="124">
        <v>4</v>
      </c>
      <c r="I1284" s="118">
        <v>10.7</v>
      </c>
      <c r="J1284" s="118">
        <v>88.6</v>
      </c>
      <c r="K1284" s="118"/>
      <c r="L1284" s="122">
        <v>-2.5</v>
      </c>
      <c r="M1284" s="122">
        <v>-2.12</v>
      </c>
      <c r="N1284" s="118">
        <v>-2.04</v>
      </c>
      <c r="O1284" s="123" t="s">
        <v>1747</v>
      </c>
    </row>
    <row r="1285" spans="1:15" ht="57.6">
      <c r="A1285" s="118" t="s">
        <v>3628</v>
      </c>
      <c r="B1285" s="118" t="s">
        <v>1752</v>
      </c>
      <c r="C1285" s="118" t="s">
        <v>1744</v>
      </c>
      <c r="D1285" s="119">
        <v>43979</v>
      </c>
      <c r="E1285" s="118" t="s">
        <v>3629</v>
      </c>
      <c r="F1285" s="118" t="s">
        <v>1781</v>
      </c>
      <c r="G1285" s="124">
        <v>8</v>
      </c>
      <c r="H1285" s="124">
        <v>14</v>
      </c>
      <c r="I1285" s="118">
        <v>10.8</v>
      </c>
      <c r="J1285" s="118">
        <v>88.5</v>
      </c>
      <c r="K1285" s="118"/>
      <c r="L1285" s="122">
        <v>-2.4</v>
      </c>
      <c r="M1285" s="122">
        <v>-2.11</v>
      </c>
      <c r="N1285" s="118">
        <v>-1.89</v>
      </c>
      <c r="O1285" s="123" t="s">
        <v>1760</v>
      </c>
    </row>
    <row r="1286" spans="1:15" ht="43.2">
      <c r="A1286" s="118" t="s">
        <v>3630</v>
      </c>
      <c r="B1286" s="118" t="s">
        <v>1743</v>
      </c>
      <c r="C1286" s="118" t="s">
        <v>1744</v>
      </c>
      <c r="D1286" s="119">
        <v>44145</v>
      </c>
      <c r="E1286" s="118" t="s">
        <v>3309</v>
      </c>
      <c r="F1286" s="118" t="s">
        <v>1781</v>
      </c>
      <c r="G1286" s="124"/>
      <c r="H1286" s="124">
        <v>3</v>
      </c>
      <c r="I1286" s="118">
        <v>10.1</v>
      </c>
      <c r="J1286" s="118">
        <v>84.2</v>
      </c>
      <c r="K1286" s="118"/>
      <c r="L1286" s="122">
        <v>-2.0099999999999998</v>
      </c>
      <c r="M1286" s="122">
        <v>-2.0099999999999998</v>
      </c>
      <c r="N1286" s="118">
        <v>-1.18</v>
      </c>
      <c r="O1286" s="123" t="s">
        <v>1760</v>
      </c>
    </row>
    <row r="1287" spans="1:15" ht="43.2">
      <c r="A1287" s="118" t="s">
        <v>3631</v>
      </c>
      <c r="B1287" s="118" t="s">
        <v>1752</v>
      </c>
      <c r="C1287" s="118" t="s">
        <v>1744</v>
      </c>
      <c r="D1287" s="119">
        <v>44154</v>
      </c>
      <c r="E1287" s="118" t="s">
        <v>2926</v>
      </c>
      <c r="F1287" s="118" t="s">
        <v>1781</v>
      </c>
      <c r="G1287" s="124"/>
      <c r="H1287" s="124">
        <v>3</v>
      </c>
      <c r="I1287" s="118">
        <v>9.3000000000000007</v>
      </c>
      <c r="J1287" s="118">
        <v>83.5</v>
      </c>
      <c r="K1287" s="118"/>
      <c r="L1287" s="122">
        <v>-3.12</v>
      </c>
      <c r="M1287" s="122">
        <v>-2.59</v>
      </c>
      <c r="N1287" s="118">
        <v>-2.4700000000000002</v>
      </c>
      <c r="O1287" s="123" t="s">
        <v>1747</v>
      </c>
    </row>
    <row r="1288" spans="1:15" ht="57.6">
      <c r="A1288" s="118" t="s">
        <v>3632</v>
      </c>
      <c r="B1288" s="118" t="s">
        <v>1752</v>
      </c>
      <c r="C1288" s="118" t="s">
        <v>2055</v>
      </c>
      <c r="D1288" s="119">
        <v>44863</v>
      </c>
      <c r="E1288" s="118" t="s">
        <v>1780</v>
      </c>
      <c r="F1288" s="118" t="s">
        <v>1781</v>
      </c>
      <c r="G1288" s="124">
        <v>3</v>
      </c>
      <c r="H1288" s="124">
        <v>10</v>
      </c>
      <c r="I1288" s="118">
        <v>8.5</v>
      </c>
      <c r="J1288" s="118">
        <v>65</v>
      </c>
      <c r="K1288" s="118"/>
      <c r="L1288" s="122">
        <v>0.14000000000000001</v>
      </c>
      <c r="M1288" s="122">
        <v>-2.06</v>
      </c>
      <c r="N1288" s="118">
        <v>1.85</v>
      </c>
      <c r="O1288" s="123" t="s">
        <v>1757</v>
      </c>
    </row>
    <row r="1289" spans="1:15" ht="43.2">
      <c r="A1289" s="118" t="s">
        <v>3633</v>
      </c>
      <c r="B1289" s="118" t="s">
        <v>1752</v>
      </c>
      <c r="C1289" s="118" t="s">
        <v>2055</v>
      </c>
      <c r="D1289" s="119">
        <v>44796</v>
      </c>
      <c r="E1289" s="118" t="s">
        <v>2822</v>
      </c>
      <c r="F1289" s="118" t="s">
        <v>1781</v>
      </c>
      <c r="G1289" s="124">
        <v>2</v>
      </c>
      <c r="H1289" s="124">
        <v>12</v>
      </c>
      <c r="I1289" s="118">
        <v>7.9</v>
      </c>
      <c r="J1289" s="118">
        <v>68</v>
      </c>
      <c r="K1289" s="118"/>
      <c r="L1289" s="122">
        <v>-1.21</v>
      </c>
      <c r="M1289" s="122">
        <v>-2.0099999999999998</v>
      </c>
      <c r="N1289" s="118">
        <v>-0.1</v>
      </c>
      <c r="O1289" s="123" t="s">
        <v>1760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54CEC-7A25-43FF-81B1-E33B2D5EF061}">
  <dimension ref="A1:O1667"/>
  <sheetViews>
    <sheetView workbookViewId="0">
      <selection activeCell="F1288" sqref="F1288"/>
    </sheetView>
  </sheetViews>
  <sheetFormatPr defaultRowHeight="14.4"/>
  <cols>
    <col min="1" max="3" width="8.88671875" style="185"/>
    <col min="4" max="4" width="11.88671875" style="185" bestFit="1" customWidth="1"/>
    <col min="5" max="5" width="14.109375" style="185" customWidth="1"/>
    <col min="6" max="6" width="15.44140625" style="185" customWidth="1"/>
    <col min="7" max="14" width="8.88671875" style="185"/>
    <col min="15" max="15" width="14.5546875" style="185" bestFit="1" customWidth="1"/>
  </cols>
  <sheetData>
    <row r="1" spans="1:15" ht="28.8">
      <c r="A1" s="117" t="s">
        <v>1729</v>
      </c>
      <c r="B1" s="117" t="s">
        <v>1730</v>
      </c>
      <c r="C1" s="117" t="s">
        <v>1731</v>
      </c>
      <c r="D1" s="117" t="s">
        <v>1732</v>
      </c>
      <c r="E1" s="117" t="s">
        <v>1733</v>
      </c>
      <c r="F1" s="117" t="s">
        <v>1734</v>
      </c>
      <c r="G1" s="117" t="s">
        <v>14</v>
      </c>
      <c r="H1" s="117" t="s">
        <v>15</v>
      </c>
      <c r="I1" s="117" t="s">
        <v>1735</v>
      </c>
      <c r="J1" s="117" t="s">
        <v>1736</v>
      </c>
      <c r="K1" s="117" t="s">
        <v>1737</v>
      </c>
      <c r="L1" s="120" t="s">
        <v>1738</v>
      </c>
      <c r="M1" s="120" t="s">
        <v>1739</v>
      </c>
      <c r="N1" s="117" t="s">
        <v>1740</v>
      </c>
      <c r="O1" s="121" t="s">
        <v>1741</v>
      </c>
    </row>
    <row r="2" spans="1:15" ht="28.8">
      <c r="A2" s="161" t="s">
        <v>1742</v>
      </c>
      <c r="B2" s="161" t="s">
        <v>1743</v>
      </c>
      <c r="C2" s="161" t="s">
        <v>1744</v>
      </c>
      <c r="D2" s="162">
        <v>44078</v>
      </c>
      <c r="E2" s="161" t="s">
        <v>1745</v>
      </c>
      <c r="F2" s="161" t="s">
        <v>1746</v>
      </c>
      <c r="G2" s="161">
        <v>1</v>
      </c>
      <c r="H2" s="161">
        <v>2</v>
      </c>
      <c r="I2" s="161">
        <v>8.3000000000000007</v>
      </c>
      <c r="J2" s="161">
        <v>79.5</v>
      </c>
      <c r="K2" s="161"/>
      <c r="L2" s="163">
        <v>-1.62</v>
      </c>
      <c r="M2" s="163">
        <v>-0.16</v>
      </c>
      <c r="N2" s="161">
        <v>-2.15</v>
      </c>
      <c r="O2" s="164" t="s">
        <v>1747</v>
      </c>
    </row>
    <row r="3" spans="1:15" ht="28.8">
      <c r="A3" s="161" t="s">
        <v>1748</v>
      </c>
      <c r="B3" s="161" t="s">
        <v>1743</v>
      </c>
      <c r="C3" s="161" t="s">
        <v>1749</v>
      </c>
      <c r="D3" s="162">
        <v>43787</v>
      </c>
      <c r="E3" s="161" t="s">
        <v>1750</v>
      </c>
      <c r="F3" s="161" t="s">
        <v>1746</v>
      </c>
      <c r="G3" s="161">
        <v>4</v>
      </c>
      <c r="H3" s="161">
        <v>1</v>
      </c>
      <c r="I3" s="161">
        <v>9.6999999999999993</v>
      </c>
      <c r="J3" s="161">
        <v>85.6</v>
      </c>
      <c r="K3" s="161"/>
      <c r="L3" s="163">
        <v>-1.83</v>
      </c>
      <c r="M3" s="163">
        <v>-0.78</v>
      </c>
      <c r="N3" s="161">
        <v>-2.02</v>
      </c>
      <c r="O3" s="164" t="s">
        <v>1747</v>
      </c>
    </row>
    <row r="4" spans="1:15" ht="28.8">
      <c r="A4" s="161" t="s">
        <v>1751</v>
      </c>
      <c r="B4" s="161" t="s">
        <v>1752</v>
      </c>
      <c r="C4" s="161" t="s">
        <v>1749</v>
      </c>
      <c r="D4" s="162">
        <v>43636</v>
      </c>
      <c r="E4" s="161" t="s">
        <v>1753</v>
      </c>
      <c r="F4" s="161" t="s">
        <v>1746</v>
      </c>
      <c r="G4" s="161">
        <v>1</v>
      </c>
      <c r="H4" s="161">
        <v>2</v>
      </c>
      <c r="I4" s="161">
        <v>11</v>
      </c>
      <c r="J4" s="161">
        <v>92.5</v>
      </c>
      <c r="K4" s="161">
        <v>14.4</v>
      </c>
      <c r="L4" s="163">
        <v>-1.81</v>
      </c>
      <c r="M4" s="163">
        <v>-0.21</v>
      </c>
      <c r="N4" s="161">
        <v>-2.62</v>
      </c>
      <c r="O4" s="164" t="s">
        <v>1747</v>
      </c>
    </row>
    <row r="5" spans="1:15" ht="28.8">
      <c r="A5" s="161" t="s">
        <v>1754</v>
      </c>
      <c r="B5" s="161" t="s">
        <v>1752</v>
      </c>
      <c r="C5" s="161" t="s">
        <v>1755</v>
      </c>
      <c r="D5" s="162">
        <v>44477</v>
      </c>
      <c r="E5" s="161" t="s">
        <v>1756</v>
      </c>
      <c r="F5" s="161" t="s">
        <v>1746</v>
      </c>
      <c r="G5" s="161">
        <v>7</v>
      </c>
      <c r="H5" s="161">
        <v>1</v>
      </c>
      <c r="I5" s="161">
        <v>5.7</v>
      </c>
      <c r="J5" s="161">
        <v>57</v>
      </c>
      <c r="K5" s="161"/>
      <c r="L5" s="163">
        <v>-0.94</v>
      </c>
      <c r="M5" s="163">
        <v>-2.15</v>
      </c>
      <c r="N5" s="161">
        <v>1.23</v>
      </c>
      <c r="O5" s="164" t="s">
        <v>1757</v>
      </c>
    </row>
    <row r="6" spans="1:15" ht="28.8">
      <c r="A6" s="161" t="s">
        <v>1758</v>
      </c>
      <c r="B6" s="161" t="s">
        <v>1743</v>
      </c>
      <c r="C6" s="161" t="s">
        <v>1749</v>
      </c>
      <c r="D6" s="162">
        <v>43664</v>
      </c>
      <c r="E6" s="161" t="s">
        <v>1759</v>
      </c>
      <c r="F6" s="161" t="s">
        <v>1746</v>
      </c>
      <c r="G6" s="161">
        <v>1</v>
      </c>
      <c r="H6" s="161">
        <v>2</v>
      </c>
      <c r="I6" s="161">
        <v>8.6</v>
      </c>
      <c r="J6" s="161">
        <v>78.400000000000006</v>
      </c>
      <c r="K6" s="161">
        <v>13.5</v>
      </c>
      <c r="L6" s="163">
        <v>-3.26</v>
      </c>
      <c r="M6" s="163">
        <v>-3.67</v>
      </c>
      <c r="N6" s="161">
        <v>-1.47</v>
      </c>
      <c r="O6" s="164" t="s">
        <v>1760</v>
      </c>
    </row>
    <row r="7" spans="1:15" ht="28.8">
      <c r="A7" s="161" t="s">
        <v>1761</v>
      </c>
      <c r="B7" s="161" t="s">
        <v>1752</v>
      </c>
      <c r="C7" s="161" t="s">
        <v>1744</v>
      </c>
      <c r="D7" s="162">
        <v>43950</v>
      </c>
      <c r="E7" s="161" t="s">
        <v>1762</v>
      </c>
      <c r="F7" s="161" t="s">
        <v>1746</v>
      </c>
      <c r="G7" s="161">
        <v>5</v>
      </c>
      <c r="H7" s="161">
        <v>8</v>
      </c>
      <c r="I7" s="161">
        <v>8.9</v>
      </c>
      <c r="J7" s="161">
        <v>78</v>
      </c>
      <c r="K7" s="161">
        <v>14</v>
      </c>
      <c r="L7" s="163">
        <v>-2.2000000000000002</v>
      </c>
      <c r="M7" s="163">
        <v>-2.02</v>
      </c>
      <c r="N7" s="161">
        <v>-1.69</v>
      </c>
      <c r="O7" s="164" t="s">
        <v>1760</v>
      </c>
    </row>
    <row r="8" spans="1:15" ht="28.8">
      <c r="A8" s="161" t="s">
        <v>1763</v>
      </c>
      <c r="B8" s="161" t="s">
        <v>1752</v>
      </c>
      <c r="C8" s="161" t="s">
        <v>1749</v>
      </c>
      <c r="D8" s="162">
        <v>43790</v>
      </c>
      <c r="E8" s="161" t="s">
        <v>1764</v>
      </c>
      <c r="F8" s="161" t="s">
        <v>1746</v>
      </c>
      <c r="G8" s="161">
        <v>4</v>
      </c>
      <c r="H8" s="161">
        <v>7</v>
      </c>
      <c r="I8" s="161">
        <v>8.1999999999999993</v>
      </c>
      <c r="J8" s="161">
        <v>75</v>
      </c>
      <c r="K8" s="161">
        <v>14</v>
      </c>
      <c r="L8" s="163">
        <v>-3.58</v>
      </c>
      <c r="M8" s="163">
        <v>-4.26</v>
      </c>
      <c r="N8" s="161">
        <v>-2.0099999999999998</v>
      </c>
      <c r="O8" s="164" t="s">
        <v>1747</v>
      </c>
    </row>
    <row r="9" spans="1:15" ht="28.8">
      <c r="A9" s="161" t="s">
        <v>1765</v>
      </c>
      <c r="B9" s="161" t="s">
        <v>1743</v>
      </c>
      <c r="C9" s="161" t="s">
        <v>1749</v>
      </c>
      <c r="D9" s="162">
        <v>43782</v>
      </c>
      <c r="E9" s="161" t="s">
        <v>1766</v>
      </c>
      <c r="F9" s="161" t="s">
        <v>1746</v>
      </c>
      <c r="G9" s="161">
        <v>1</v>
      </c>
      <c r="H9" s="161">
        <v>8</v>
      </c>
      <c r="I9" s="161">
        <v>8.1999999999999993</v>
      </c>
      <c r="J9" s="161">
        <v>79</v>
      </c>
      <c r="K9" s="161">
        <v>13.5</v>
      </c>
      <c r="L9" s="163">
        <v>-3.12</v>
      </c>
      <c r="M9" s="163">
        <v>-2.48</v>
      </c>
      <c r="N9" s="161">
        <v>-2.34</v>
      </c>
      <c r="O9" s="164" t="s">
        <v>1747</v>
      </c>
    </row>
    <row r="10" spans="1:15" ht="57.6">
      <c r="A10" s="161" t="s">
        <v>1767</v>
      </c>
      <c r="B10" s="161" t="s">
        <v>1752</v>
      </c>
      <c r="C10" s="161" t="s">
        <v>1744</v>
      </c>
      <c r="D10" s="162">
        <v>44060</v>
      </c>
      <c r="E10" s="161" t="s">
        <v>1768</v>
      </c>
      <c r="F10" s="161" t="s">
        <v>1769</v>
      </c>
      <c r="G10" s="161">
        <v>8</v>
      </c>
      <c r="H10" s="161">
        <v>1</v>
      </c>
      <c r="I10" s="161">
        <v>9.6</v>
      </c>
      <c r="J10" s="161">
        <v>85</v>
      </c>
      <c r="K10" s="161">
        <v>14.5</v>
      </c>
      <c r="L10" s="163">
        <v>-1.1499999999999999</v>
      </c>
      <c r="M10" s="163">
        <v>1.08</v>
      </c>
      <c r="N10" s="161">
        <v>-2.2799999999999998</v>
      </c>
      <c r="O10" s="164" t="s">
        <v>1747</v>
      </c>
    </row>
    <row r="11" spans="1:15" ht="43.2">
      <c r="A11" s="161" t="s">
        <v>1770</v>
      </c>
      <c r="B11" s="161" t="s">
        <v>1752</v>
      </c>
      <c r="C11" s="161" t="s">
        <v>1755</v>
      </c>
      <c r="D11" s="162">
        <v>44449</v>
      </c>
      <c r="E11" s="161" t="s">
        <v>1771</v>
      </c>
      <c r="F11" s="161" t="s">
        <v>1769</v>
      </c>
      <c r="G11" s="161">
        <v>2</v>
      </c>
      <c r="H11" s="161">
        <v>8</v>
      </c>
      <c r="I11" s="161">
        <v>7.1</v>
      </c>
      <c r="J11" s="161">
        <v>70.3</v>
      </c>
      <c r="K11" s="161">
        <v>15.5</v>
      </c>
      <c r="L11" s="163">
        <v>-0.56000000000000005</v>
      </c>
      <c r="M11" s="163">
        <v>2</v>
      </c>
      <c r="N11" s="161">
        <v>-2.2400000000000002</v>
      </c>
      <c r="O11" s="164" t="s">
        <v>1747</v>
      </c>
    </row>
    <row r="12" spans="1:15" ht="43.2">
      <c r="A12" s="161" t="s">
        <v>1772</v>
      </c>
      <c r="B12" s="161" t="s">
        <v>1752</v>
      </c>
      <c r="C12" s="161" t="s">
        <v>1755</v>
      </c>
      <c r="D12" s="162">
        <v>44540</v>
      </c>
      <c r="E12" s="161" t="s">
        <v>1773</v>
      </c>
      <c r="F12" s="161" t="s">
        <v>1774</v>
      </c>
      <c r="G12" s="161">
        <v>2</v>
      </c>
      <c r="H12" s="161">
        <v>4</v>
      </c>
      <c r="I12" s="161">
        <v>5</v>
      </c>
      <c r="J12" s="161">
        <v>60</v>
      </c>
      <c r="K12" s="161">
        <v>12</v>
      </c>
      <c r="L12" s="163">
        <v>-1.1299999999999999</v>
      </c>
      <c r="M12" s="163">
        <v>0.46</v>
      </c>
      <c r="N12" s="161">
        <v>-2.2400000000000002</v>
      </c>
      <c r="O12" s="164" t="s">
        <v>1747</v>
      </c>
    </row>
    <row r="13" spans="1:15" ht="43.2">
      <c r="A13" s="161" t="s">
        <v>1775</v>
      </c>
      <c r="B13" s="161" t="s">
        <v>1752</v>
      </c>
      <c r="C13" s="161" t="s">
        <v>1749</v>
      </c>
      <c r="D13" s="162">
        <v>43669</v>
      </c>
      <c r="E13" s="161" t="s">
        <v>1776</v>
      </c>
      <c r="F13" s="161" t="s">
        <v>1777</v>
      </c>
      <c r="G13" s="161">
        <v>1</v>
      </c>
      <c r="H13" s="161">
        <v>2</v>
      </c>
      <c r="I13" s="161">
        <v>9.6999999999999993</v>
      </c>
      <c r="J13" s="161">
        <v>85</v>
      </c>
      <c r="K13" s="161"/>
      <c r="L13" s="163">
        <v>-2.77</v>
      </c>
      <c r="M13" s="163">
        <v>-2.36</v>
      </c>
      <c r="N13" s="161">
        <v>-2.15</v>
      </c>
      <c r="O13" s="164" t="s">
        <v>1747</v>
      </c>
    </row>
    <row r="14" spans="1:15" ht="57.6">
      <c r="A14" s="161" t="s">
        <v>1778</v>
      </c>
      <c r="B14" s="161" t="s">
        <v>1743</v>
      </c>
      <c r="C14" s="161" t="s">
        <v>1779</v>
      </c>
      <c r="D14" s="162">
        <v>43107</v>
      </c>
      <c r="E14" s="161" t="s">
        <v>1780</v>
      </c>
      <c r="F14" s="161" t="s">
        <v>1781</v>
      </c>
      <c r="G14" s="161">
        <v>3</v>
      </c>
      <c r="H14" s="161">
        <v>10</v>
      </c>
      <c r="I14" s="161">
        <v>13.5</v>
      </c>
      <c r="J14" s="161">
        <v>105</v>
      </c>
      <c r="K14" s="161"/>
      <c r="L14" s="163">
        <v>-1.38</v>
      </c>
      <c r="M14" s="163">
        <v>0.37</v>
      </c>
      <c r="N14" s="161">
        <v>-2.4500000000000002</v>
      </c>
      <c r="O14" s="164" t="s">
        <v>1747</v>
      </c>
    </row>
    <row r="15" spans="1:15" ht="28.8">
      <c r="A15" s="161" t="s">
        <v>1782</v>
      </c>
      <c r="B15" s="161" t="s">
        <v>1743</v>
      </c>
      <c r="C15" s="161" t="s">
        <v>1744</v>
      </c>
      <c r="D15" s="162">
        <v>44259</v>
      </c>
      <c r="E15" s="161" t="s">
        <v>1783</v>
      </c>
      <c r="F15" s="161" t="s">
        <v>1784</v>
      </c>
      <c r="G15" s="161">
        <v>9</v>
      </c>
      <c r="H15" s="161">
        <v>9</v>
      </c>
      <c r="I15" s="161">
        <v>6.8</v>
      </c>
      <c r="J15" s="161">
        <v>71</v>
      </c>
      <c r="K15" s="161"/>
      <c r="L15" s="163">
        <v>-2.09</v>
      </c>
      <c r="M15" s="163">
        <v>-0.74</v>
      </c>
      <c r="N15" s="161">
        <v>-2.38</v>
      </c>
      <c r="O15" s="164" t="s">
        <v>1747</v>
      </c>
    </row>
    <row r="16" spans="1:15" ht="57.6">
      <c r="A16" s="161" t="s">
        <v>1785</v>
      </c>
      <c r="B16" s="161" t="s">
        <v>1752</v>
      </c>
      <c r="C16" s="161" t="s">
        <v>1786</v>
      </c>
      <c r="D16" s="162">
        <v>43530</v>
      </c>
      <c r="E16" s="161" t="s">
        <v>1787</v>
      </c>
      <c r="F16" s="161" t="s">
        <v>1784</v>
      </c>
      <c r="G16" s="161">
        <v>5.3</v>
      </c>
      <c r="H16" s="161">
        <v>61</v>
      </c>
      <c r="I16" s="161">
        <v>10.6</v>
      </c>
      <c r="J16" s="161">
        <v>88.5</v>
      </c>
      <c r="K16" s="161"/>
      <c r="L16" s="163">
        <v>-2.4500000000000002</v>
      </c>
      <c r="M16" s="163">
        <v>-1.93</v>
      </c>
      <c r="N16" s="161">
        <v>-2.14</v>
      </c>
      <c r="O16" s="164" t="s">
        <v>1747</v>
      </c>
    </row>
    <row r="17" spans="1:15" ht="28.8">
      <c r="A17" s="161" t="s">
        <v>1788</v>
      </c>
      <c r="B17" s="161" t="s">
        <v>1743</v>
      </c>
      <c r="C17" s="161" t="s">
        <v>1755</v>
      </c>
      <c r="D17" s="162">
        <v>44606</v>
      </c>
      <c r="E17" s="161" t="s">
        <v>1789</v>
      </c>
      <c r="F17" s="161" t="s">
        <v>1784</v>
      </c>
      <c r="G17" s="161">
        <v>1</v>
      </c>
      <c r="H17" s="161">
        <v>2</v>
      </c>
      <c r="I17" s="161">
        <v>2.2999999999999998</v>
      </c>
      <c r="J17" s="161">
        <v>48</v>
      </c>
      <c r="K17" s="161"/>
      <c r="L17" s="163">
        <v>-2.91</v>
      </c>
      <c r="M17" s="163">
        <v>-1.48</v>
      </c>
      <c r="N17" s="161">
        <v>-3.45</v>
      </c>
      <c r="O17" s="164" t="s">
        <v>1790</v>
      </c>
    </row>
    <row r="18" spans="1:15" ht="43.2">
      <c r="A18" s="161" t="s">
        <v>1791</v>
      </c>
      <c r="B18" s="161" t="s">
        <v>1743</v>
      </c>
      <c r="C18" s="161" t="s">
        <v>1749</v>
      </c>
      <c r="D18" s="162">
        <v>43604</v>
      </c>
      <c r="E18" s="161" t="s">
        <v>1792</v>
      </c>
      <c r="F18" s="161" t="s">
        <v>1784</v>
      </c>
      <c r="G18" s="161">
        <v>2</v>
      </c>
      <c r="H18" s="161">
        <v>2</v>
      </c>
      <c r="I18" s="161">
        <v>8.3000000000000007</v>
      </c>
      <c r="J18" s="161">
        <v>84.8</v>
      </c>
      <c r="K18" s="161">
        <v>12.3</v>
      </c>
      <c r="L18" s="163">
        <v>-3.88</v>
      </c>
      <c r="M18" s="163">
        <v>-2.2799999999999998</v>
      </c>
      <c r="N18" s="161">
        <v>-3.66</v>
      </c>
      <c r="O18" s="164" t="s">
        <v>1790</v>
      </c>
    </row>
    <row r="19" spans="1:15" ht="43.2">
      <c r="A19" s="161" t="s">
        <v>1793</v>
      </c>
      <c r="B19" s="161" t="s">
        <v>1743</v>
      </c>
      <c r="C19" s="161" t="s">
        <v>1744</v>
      </c>
      <c r="D19" s="162">
        <v>44033</v>
      </c>
      <c r="E19" s="161" t="s">
        <v>1794</v>
      </c>
      <c r="F19" s="161" t="s">
        <v>1784</v>
      </c>
      <c r="G19" s="161">
        <v>2</v>
      </c>
      <c r="H19" s="161">
        <v>9</v>
      </c>
      <c r="I19" s="161">
        <v>9</v>
      </c>
      <c r="J19" s="161">
        <v>84</v>
      </c>
      <c r="K19" s="161"/>
      <c r="L19" s="163">
        <v>-3.62</v>
      </c>
      <c r="M19" s="163">
        <v>-3.27</v>
      </c>
      <c r="N19" s="161">
        <v>-2.3199999999999998</v>
      </c>
      <c r="O19" s="164" t="s">
        <v>1747</v>
      </c>
    </row>
    <row r="20" spans="1:15" ht="28.8">
      <c r="A20" s="161" t="s">
        <v>1795</v>
      </c>
      <c r="B20" s="161" t="s">
        <v>1752</v>
      </c>
      <c r="C20" s="161" t="s">
        <v>1744</v>
      </c>
      <c r="D20" s="162">
        <v>44197</v>
      </c>
      <c r="E20" s="161" t="s">
        <v>1796</v>
      </c>
      <c r="F20" s="161" t="s">
        <v>1784</v>
      </c>
      <c r="G20" s="161">
        <v>6</v>
      </c>
      <c r="H20" s="161">
        <v>9</v>
      </c>
      <c r="I20" s="161">
        <v>7.9</v>
      </c>
      <c r="J20" s="161">
        <v>75</v>
      </c>
      <c r="K20" s="161"/>
      <c r="L20" s="163">
        <v>-2.09</v>
      </c>
      <c r="M20" s="163">
        <v>-0.93</v>
      </c>
      <c r="N20" s="161">
        <v>-2.2999999999999998</v>
      </c>
      <c r="O20" s="164" t="s">
        <v>1747</v>
      </c>
    </row>
    <row r="21" spans="1:15" ht="28.8">
      <c r="A21" s="161" t="s">
        <v>1797</v>
      </c>
      <c r="B21" s="161" t="s">
        <v>1752</v>
      </c>
      <c r="C21" s="161" t="s">
        <v>1744</v>
      </c>
      <c r="D21" s="162">
        <v>44222</v>
      </c>
      <c r="E21" s="161" t="s">
        <v>1798</v>
      </c>
      <c r="F21" s="161" t="s">
        <v>1784</v>
      </c>
      <c r="G21" s="161">
        <v>4</v>
      </c>
      <c r="H21" s="161">
        <v>5</v>
      </c>
      <c r="I21" s="161">
        <v>7.9</v>
      </c>
      <c r="J21" s="161">
        <v>77.5</v>
      </c>
      <c r="K21" s="161">
        <v>13</v>
      </c>
      <c r="L21" s="163">
        <v>-1.93</v>
      </c>
      <c r="M21" s="163">
        <v>0.46</v>
      </c>
      <c r="N21" s="161">
        <v>-2.94</v>
      </c>
      <c r="O21" s="164" t="s">
        <v>1747</v>
      </c>
    </row>
    <row r="22" spans="1:15" ht="43.2">
      <c r="A22" s="161" t="s">
        <v>1799</v>
      </c>
      <c r="B22" s="161" t="s">
        <v>1752</v>
      </c>
      <c r="C22" s="161" t="s">
        <v>1786</v>
      </c>
      <c r="D22" s="162">
        <v>43243</v>
      </c>
      <c r="E22" s="161" t="s">
        <v>1800</v>
      </c>
      <c r="F22" s="161" t="s">
        <v>1784</v>
      </c>
      <c r="G22" s="161">
        <v>1</v>
      </c>
      <c r="H22" s="161">
        <v>9</v>
      </c>
      <c r="I22" s="161">
        <v>11.9</v>
      </c>
      <c r="J22" s="161">
        <v>96.7</v>
      </c>
      <c r="K22" s="161">
        <v>14.3</v>
      </c>
      <c r="L22" s="163">
        <v>-2.2799999999999998</v>
      </c>
      <c r="M22" s="163">
        <v>-1.1499999999999999</v>
      </c>
      <c r="N22" s="161">
        <v>-2.5099999999999998</v>
      </c>
      <c r="O22" s="164" t="s">
        <v>1747</v>
      </c>
    </row>
    <row r="23" spans="1:15" ht="28.8">
      <c r="A23" s="161" t="s">
        <v>1801</v>
      </c>
      <c r="B23" s="161" t="s">
        <v>1743</v>
      </c>
      <c r="C23" s="161" t="s">
        <v>1786</v>
      </c>
      <c r="D23" s="162">
        <v>43367</v>
      </c>
      <c r="E23" s="161" t="s">
        <v>1802</v>
      </c>
      <c r="F23" s="161" t="s">
        <v>1784</v>
      </c>
      <c r="G23" s="161">
        <v>3</v>
      </c>
      <c r="H23" s="161">
        <v>7</v>
      </c>
      <c r="I23" s="161">
        <v>11.4</v>
      </c>
      <c r="J23" s="161">
        <v>94</v>
      </c>
      <c r="K23" s="161">
        <v>15.6</v>
      </c>
      <c r="L23" s="163">
        <v>-1.99</v>
      </c>
      <c r="M23" s="163">
        <v>-1.01</v>
      </c>
      <c r="N23" s="161">
        <v>-2.0699999999999998</v>
      </c>
      <c r="O23" s="164" t="s">
        <v>1747</v>
      </c>
    </row>
    <row r="24" spans="1:15" ht="28.8">
      <c r="A24" s="161" t="s">
        <v>1803</v>
      </c>
      <c r="B24" s="161" t="s">
        <v>1743</v>
      </c>
      <c r="C24" s="161" t="s">
        <v>1755</v>
      </c>
      <c r="D24" s="162">
        <v>44540</v>
      </c>
      <c r="E24" s="161" t="s">
        <v>1804</v>
      </c>
      <c r="F24" s="161" t="s">
        <v>1784</v>
      </c>
      <c r="G24" s="161">
        <v>2</v>
      </c>
      <c r="H24" s="161">
        <v>11</v>
      </c>
      <c r="I24" s="161">
        <v>3.5</v>
      </c>
      <c r="J24" s="161">
        <v>56.5</v>
      </c>
      <c r="K24" s="161">
        <v>14</v>
      </c>
      <c r="L24" s="163">
        <v>-2.85</v>
      </c>
      <c r="M24" s="163">
        <v>-0.24</v>
      </c>
      <c r="N24" s="161">
        <v>-3.95</v>
      </c>
      <c r="O24" s="164" t="s">
        <v>1790</v>
      </c>
    </row>
    <row r="25" spans="1:15" ht="43.2">
      <c r="A25" s="161" t="s">
        <v>1805</v>
      </c>
      <c r="B25" s="161" t="s">
        <v>1743</v>
      </c>
      <c r="C25" s="161" t="s">
        <v>1786</v>
      </c>
      <c r="D25" s="162">
        <v>43392</v>
      </c>
      <c r="E25" s="161" t="s">
        <v>1806</v>
      </c>
      <c r="F25" s="161" t="s">
        <v>1807</v>
      </c>
      <c r="G25" s="161">
        <v>11</v>
      </c>
      <c r="H25" s="161">
        <v>3</v>
      </c>
      <c r="I25" s="161">
        <v>12.5</v>
      </c>
      <c r="J25" s="161">
        <v>100</v>
      </c>
      <c r="K25" s="161">
        <v>15</v>
      </c>
      <c r="L25" s="163">
        <v>-1.18</v>
      </c>
      <c r="M25" s="163">
        <v>0.62</v>
      </c>
      <c r="N25" s="161">
        <v>-2.25</v>
      </c>
      <c r="O25" s="164" t="s">
        <v>1747</v>
      </c>
    </row>
    <row r="26" spans="1:15" ht="43.2">
      <c r="A26" s="161" t="s">
        <v>1808</v>
      </c>
      <c r="B26" s="161" t="s">
        <v>1743</v>
      </c>
      <c r="C26" s="161" t="s">
        <v>1749</v>
      </c>
      <c r="D26" s="162">
        <v>43645</v>
      </c>
      <c r="E26" s="161" t="s">
        <v>1809</v>
      </c>
      <c r="F26" s="161" t="s">
        <v>1807</v>
      </c>
      <c r="G26" s="161">
        <v>5</v>
      </c>
      <c r="H26" s="161">
        <v>3</v>
      </c>
      <c r="I26" s="161">
        <v>8.4</v>
      </c>
      <c r="J26" s="161">
        <v>81.3</v>
      </c>
      <c r="K26" s="161">
        <v>13.5</v>
      </c>
      <c r="L26" s="163">
        <v>-3.62</v>
      </c>
      <c r="M26" s="163">
        <v>-2.94</v>
      </c>
      <c r="N26" s="161">
        <v>-2.63</v>
      </c>
      <c r="O26" s="164" t="s">
        <v>1747</v>
      </c>
    </row>
    <row r="27" spans="1:15" ht="28.8">
      <c r="A27" s="161" t="s">
        <v>1810</v>
      </c>
      <c r="B27" s="161" t="s">
        <v>1743</v>
      </c>
      <c r="C27" s="161" t="s">
        <v>1755</v>
      </c>
      <c r="D27" s="162">
        <v>44428</v>
      </c>
      <c r="E27" s="161" t="s">
        <v>1811</v>
      </c>
      <c r="F27" s="161" t="s">
        <v>1746</v>
      </c>
      <c r="G27" s="161">
        <v>2</v>
      </c>
      <c r="H27" s="161">
        <v>2</v>
      </c>
      <c r="I27" s="161">
        <v>6.25</v>
      </c>
      <c r="J27" s="161">
        <v>68</v>
      </c>
      <c r="K27" s="161">
        <v>16</v>
      </c>
      <c r="L27" s="163">
        <v>-1.18</v>
      </c>
      <c r="M27" s="163">
        <v>1.1599999999999999</v>
      </c>
      <c r="N27" s="161">
        <v>-2.46</v>
      </c>
      <c r="O27" s="164" t="s">
        <v>1747</v>
      </c>
    </row>
    <row r="28" spans="1:15" ht="28.8">
      <c r="A28" s="161" t="s">
        <v>1812</v>
      </c>
      <c r="B28" s="161" t="s">
        <v>1743</v>
      </c>
      <c r="C28" s="161" t="s">
        <v>1779</v>
      </c>
      <c r="D28" s="162">
        <v>43191</v>
      </c>
      <c r="E28" s="161" t="s">
        <v>1813</v>
      </c>
      <c r="F28" s="161" t="s">
        <v>1746</v>
      </c>
      <c r="G28" s="161">
        <v>1</v>
      </c>
      <c r="H28" s="161">
        <v>2</v>
      </c>
      <c r="I28" s="161">
        <v>8.9</v>
      </c>
      <c r="J28" s="161">
        <v>86.5</v>
      </c>
      <c r="K28" s="161"/>
      <c r="L28" s="163">
        <v>-4.3</v>
      </c>
      <c r="M28" s="163">
        <v>-3.61</v>
      </c>
      <c r="N28" s="161">
        <v>-3.29</v>
      </c>
      <c r="O28" s="164" t="s">
        <v>1790</v>
      </c>
    </row>
    <row r="29" spans="1:15" ht="28.8">
      <c r="A29" s="161" t="s">
        <v>1814</v>
      </c>
      <c r="B29" s="161" t="s">
        <v>1752</v>
      </c>
      <c r="C29" s="161" t="s">
        <v>1755</v>
      </c>
      <c r="D29" s="162">
        <v>44611</v>
      </c>
      <c r="E29" s="161" t="s">
        <v>1815</v>
      </c>
      <c r="F29" s="161" t="s">
        <v>1746</v>
      </c>
      <c r="G29" s="161">
        <v>1</v>
      </c>
      <c r="H29" s="161">
        <v>2</v>
      </c>
      <c r="I29" s="161">
        <v>2.7</v>
      </c>
      <c r="J29" s="161">
        <v>49</v>
      </c>
      <c r="K29" s="161"/>
      <c r="L29" s="163">
        <v>-2.65</v>
      </c>
      <c r="M29" s="163">
        <v>-1.77</v>
      </c>
      <c r="N29" s="161">
        <v>-2.21</v>
      </c>
      <c r="O29" s="164" t="s">
        <v>1747</v>
      </c>
    </row>
    <row r="30" spans="1:15" ht="28.8">
      <c r="A30" s="161" t="s">
        <v>1816</v>
      </c>
      <c r="B30" s="161" t="s">
        <v>1752</v>
      </c>
      <c r="C30" s="161" t="s">
        <v>1744</v>
      </c>
      <c r="D30" s="162">
        <v>44144</v>
      </c>
      <c r="E30" s="161" t="s">
        <v>1817</v>
      </c>
      <c r="F30" s="161" t="s">
        <v>1746</v>
      </c>
      <c r="G30" s="161">
        <v>1</v>
      </c>
      <c r="H30" s="161">
        <v>2</v>
      </c>
      <c r="I30" s="161">
        <v>7</v>
      </c>
      <c r="J30" s="161">
        <v>70</v>
      </c>
      <c r="K30" s="161"/>
      <c r="L30" s="163">
        <v>-3.43</v>
      </c>
      <c r="M30" s="163">
        <v>-3.57</v>
      </c>
      <c r="N30" s="161">
        <v>-2.3199999999999998</v>
      </c>
      <c r="O30" s="164" t="s">
        <v>1747</v>
      </c>
    </row>
    <row r="31" spans="1:15" ht="28.8">
      <c r="A31" s="161" t="s">
        <v>1818</v>
      </c>
      <c r="B31" s="161" t="s">
        <v>1743</v>
      </c>
      <c r="C31" s="161" t="s">
        <v>1755</v>
      </c>
      <c r="D31" s="162">
        <v>44505</v>
      </c>
      <c r="E31" s="161" t="s">
        <v>1819</v>
      </c>
      <c r="F31" s="161" t="s">
        <v>1746</v>
      </c>
      <c r="G31" s="161">
        <v>2</v>
      </c>
      <c r="H31" s="161">
        <v>2</v>
      </c>
      <c r="I31" s="161">
        <v>5.3</v>
      </c>
      <c r="J31" s="161">
        <v>63.8</v>
      </c>
      <c r="K31" s="161"/>
      <c r="L31" s="163">
        <v>-0.8</v>
      </c>
      <c r="M31" s="163">
        <v>1.87</v>
      </c>
      <c r="N31" s="161">
        <v>-2.87</v>
      </c>
      <c r="O31" s="164" t="s">
        <v>1747</v>
      </c>
    </row>
    <row r="32" spans="1:15" ht="28.8">
      <c r="A32" s="161" t="s">
        <v>1820</v>
      </c>
      <c r="B32" s="161" t="s">
        <v>1743</v>
      </c>
      <c r="C32" s="161" t="s">
        <v>1779</v>
      </c>
      <c r="D32" s="162">
        <v>43026</v>
      </c>
      <c r="E32" s="161" t="s">
        <v>1753</v>
      </c>
      <c r="F32" s="161" t="s">
        <v>1746</v>
      </c>
      <c r="G32" s="161">
        <v>1</v>
      </c>
      <c r="H32" s="161">
        <v>2</v>
      </c>
      <c r="I32" s="161">
        <v>16</v>
      </c>
      <c r="J32" s="161">
        <v>113</v>
      </c>
      <c r="K32" s="161"/>
      <c r="L32" s="163">
        <v>-0.38</v>
      </c>
      <c r="M32" s="163">
        <v>1.71</v>
      </c>
      <c r="N32" s="161">
        <v>-2.34</v>
      </c>
      <c r="O32" s="164" t="s">
        <v>1747</v>
      </c>
    </row>
    <row r="33" spans="1:15" ht="28.8">
      <c r="A33" s="161" t="s">
        <v>1821</v>
      </c>
      <c r="B33" s="161" t="s">
        <v>1743</v>
      </c>
      <c r="C33" s="161" t="s">
        <v>1779</v>
      </c>
      <c r="D33" s="162">
        <v>43076</v>
      </c>
      <c r="E33" s="161" t="s">
        <v>1822</v>
      </c>
      <c r="F33" s="161" t="s">
        <v>1746</v>
      </c>
      <c r="G33" s="161">
        <v>1</v>
      </c>
      <c r="H33" s="161">
        <v>2</v>
      </c>
      <c r="I33" s="161">
        <v>13</v>
      </c>
      <c r="J33" s="161">
        <v>110</v>
      </c>
      <c r="K33" s="161"/>
      <c r="L33" s="163">
        <v>-1.8</v>
      </c>
      <c r="M33" s="163">
        <v>1.26</v>
      </c>
      <c r="N33" s="161">
        <v>-3.95</v>
      </c>
      <c r="O33" s="164" t="s">
        <v>1790</v>
      </c>
    </row>
    <row r="34" spans="1:15" ht="28.8">
      <c r="A34" s="161" t="s">
        <v>1823</v>
      </c>
      <c r="B34" s="161" t="s">
        <v>1752</v>
      </c>
      <c r="C34" s="161" t="s">
        <v>1786</v>
      </c>
      <c r="D34" s="162">
        <v>43224</v>
      </c>
      <c r="E34" s="161" t="s">
        <v>1824</v>
      </c>
      <c r="F34" s="161" t="s">
        <v>1746</v>
      </c>
      <c r="G34" s="161">
        <v>1</v>
      </c>
      <c r="H34" s="161">
        <v>2</v>
      </c>
      <c r="I34" s="161">
        <v>14</v>
      </c>
      <c r="J34" s="161">
        <v>112</v>
      </c>
      <c r="K34" s="161"/>
      <c r="L34" s="163">
        <v>-1.07</v>
      </c>
      <c r="M34" s="163">
        <v>2.38</v>
      </c>
      <c r="N34" s="161">
        <v>-3.7</v>
      </c>
      <c r="O34" s="164" t="s">
        <v>1790</v>
      </c>
    </row>
    <row r="35" spans="1:15" ht="28.8">
      <c r="A35" s="161" t="s">
        <v>1825</v>
      </c>
      <c r="B35" s="161" t="s">
        <v>1743</v>
      </c>
      <c r="C35" s="161" t="s">
        <v>1786</v>
      </c>
      <c r="D35" s="162">
        <v>43233</v>
      </c>
      <c r="E35" s="161" t="s">
        <v>1826</v>
      </c>
      <c r="F35" s="161" t="s">
        <v>1746</v>
      </c>
      <c r="G35" s="161">
        <v>2</v>
      </c>
      <c r="H35" s="161">
        <v>2</v>
      </c>
      <c r="I35" s="161">
        <v>12</v>
      </c>
      <c r="J35" s="161">
        <v>109</v>
      </c>
      <c r="K35" s="161"/>
      <c r="L35" s="163">
        <v>-2.0299999999999998</v>
      </c>
      <c r="M35" s="163">
        <v>1.81</v>
      </c>
      <c r="N35" s="161">
        <v>-4.55</v>
      </c>
      <c r="O35" s="164" t="s">
        <v>1790</v>
      </c>
    </row>
    <row r="36" spans="1:15" ht="28.8">
      <c r="A36" s="161" t="s">
        <v>1827</v>
      </c>
      <c r="B36" s="161" t="s">
        <v>1743</v>
      </c>
      <c r="C36" s="161" t="s">
        <v>1786</v>
      </c>
      <c r="D36" s="162">
        <v>43276</v>
      </c>
      <c r="E36" s="161" t="s">
        <v>1828</v>
      </c>
      <c r="F36" s="161" t="s">
        <v>1746</v>
      </c>
      <c r="G36" s="161">
        <v>4</v>
      </c>
      <c r="H36" s="161">
        <v>9</v>
      </c>
      <c r="I36" s="161">
        <v>13</v>
      </c>
      <c r="J36" s="161">
        <v>108</v>
      </c>
      <c r="K36" s="161"/>
      <c r="L36" s="163">
        <v>-1.28</v>
      </c>
      <c r="M36" s="163">
        <v>1.8</v>
      </c>
      <c r="N36" s="161">
        <v>-3.54</v>
      </c>
      <c r="O36" s="164" t="s">
        <v>1790</v>
      </c>
    </row>
    <row r="37" spans="1:15" ht="28.8">
      <c r="A37" s="161" t="s">
        <v>1829</v>
      </c>
      <c r="B37" s="161" t="s">
        <v>1752</v>
      </c>
      <c r="C37" s="161" t="s">
        <v>1749</v>
      </c>
      <c r="D37" s="162">
        <v>43636</v>
      </c>
      <c r="E37" s="161" t="s">
        <v>1830</v>
      </c>
      <c r="F37" s="161" t="s">
        <v>1746</v>
      </c>
      <c r="G37" s="161">
        <v>3</v>
      </c>
      <c r="H37" s="161">
        <v>9</v>
      </c>
      <c r="I37" s="161">
        <v>11</v>
      </c>
      <c r="J37" s="161">
        <v>107</v>
      </c>
      <c r="K37" s="161"/>
      <c r="L37" s="163">
        <v>-1.88</v>
      </c>
      <c r="M37" s="163">
        <v>3.75</v>
      </c>
      <c r="N37" s="161">
        <v>-5.34</v>
      </c>
      <c r="O37" s="164" t="s">
        <v>1790</v>
      </c>
    </row>
    <row r="38" spans="1:15" ht="43.2">
      <c r="A38" s="161" t="s">
        <v>1831</v>
      </c>
      <c r="B38" s="161" t="s">
        <v>1743</v>
      </c>
      <c r="C38" s="161" t="s">
        <v>1749</v>
      </c>
      <c r="D38" s="162">
        <v>43942</v>
      </c>
      <c r="E38" s="161" t="s">
        <v>1832</v>
      </c>
      <c r="F38" s="161" t="s">
        <v>1769</v>
      </c>
      <c r="G38" s="161">
        <v>1</v>
      </c>
      <c r="H38" s="161">
        <v>8</v>
      </c>
      <c r="I38" s="161">
        <v>9</v>
      </c>
      <c r="J38" s="161">
        <v>84</v>
      </c>
      <c r="K38" s="161"/>
      <c r="L38" s="163">
        <v>-1.79</v>
      </c>
      <c r="M38" s="163">
        <v>-0.32</v>
      </c>
      <c r="N38" s="161">
        <v>-2.3199999999999998</v>
      </c>
      <c r="O38" s="164" t="s">
        <v>1747</v>
      </c>
    </row>
    <row r="39" spans="1:15" ht="43.2">
      <c r="A39" s="161" t="s">
        <v>1833</v>
      </c>
      <c r="B39" s="161" t="s">
        <v>1743</v>
      </c>
      <c r="C39" s="161" t="s">
        <v>1744</v>
      </c>
      <c r="D39" s="162">
        <v>44110</v>
      </c>
      <c r="E39" s="161" t="s">
        <v>1834</v>
      </c>
      <c r="F39" s="161" t="s">
        <v>1769</v>
      </c>
      <c r="G39" s="161">
        <v>4</v>
      </c>
      <c r="H39" s="161">
        <v>8</v>
      </c>
      <c r="I39" s="161">
        <v>8</v>
      </c>
      <c r="J39" s="161">
        <v>78</v>
      </c>
      <c r="K39" s="161"/>
      <c r="L39" s="163">
        <v>-2.5499999999999998</v>
      </c>
      <c r="M39" s="163">
        <v>-1.79</v>
      </c>
      <c r="N39" s="161">
        <v>-2.23</v>
      </c>
      <c r="O39" s="164" t="s">
        <v>1747</v>
      </c>
    </row>
    <row r="40" spans="1:15" ht="43.2">
      <c r="A40" s="161" t="s">
        <v>1835</v>
      </c>
      <c r="B40" s="161" t="s">
        <v>1752</v>
      </c>
      <c r="C40" s="161" t="s">
        <v>1755</v>
      </c>
      <c r="D40" s="162">
        <v>44445</v>
      </c>
      <c r="E40" s="161" t="s">
        <v>1836</v>
      </c>
      <c r="F40" s="161" t="s">
        <v>1769</v>
      </c>
      <c r="G40" s="161">
        <v>2</v>
      </c>
      <c r="H40" s="161">
        <v>8</v>
      </c>
      <c r="I40" s="161">
        <v>6</v>
      </c>
      <c r="J40" s="161">
        <v>68</v>
      </c>
      <c r="K40" s="161"/>
      <c r="L40" s="163">
        <v>-2.4700000000000002</v>
      </c>
      <c r="M40" s="163">
        <v>0.24</v>
      </c>
      <c r="N40" s="161">
        <v>-3.58</v>
      </c>
      <c r="O40" s="164" t="s">
        <v>1790</v>
      </c>
    </row>
    <row r="41" spans="1:15" ht="43.2">
      <c r="A41" s="161" t="s">
        <v>1837</v>
      </c>
      <c r="B41" s="161" t="s">
        <v>1743</v>
      </c>
      <c r="C41" s="161" t="s">
        <v>1779</v>
      </c>
      <c r="D41" s="162">
        <v>43129</v>
      </c>
      <c r="E41" s="161" t="s">
        <v>1838</v>
      </c>
      <c r="F41" s="161" t="s">
        <v>1769</v>
      </c>
      <c r="G41" s="161">
        <v>8</v>
      </c>
      <c r="H41" s="161">
        <v>1</v>
      </c>
      <c r="I41" s="161">
        <v>14</v>
      </c>
      <c r="J41" s="161">
        <v>105</v>
      </c>
      <c r="K41" s="161"/>
      <c r="L41" s="163">
        <v>-1.1299999999999999</v>
      </c>
      <c r="M41" s="163">
        <v>0.33</v>
      </c>
      <c r="N41" s="161">
        <v>-2.0299999999999998</v>
      </c>
      <c r="O41" s="164" t="s">
        <v>1747</v>
      </c>
    </row>
    <row r="42" spans="1:15" ht="43.2">
      <c r="A42" s="161" t="s">
        <v>1839</v>
      </c>
      <c r="B42" s="161" t="s">
        <v>1752</v>
      </c>
      <c r="C42" s="161" t="s">
        <v>1779</v>
      </c>
      <c r="D42" s="162">
        <v>43131</v>
      </c>
      <c r="E42" s="161" t="s">
        <v>1840</v>
      </c>
      <c r="F42" s="161" t="s">
        <v>1769</v>
      </c>
      <c r="G42" s="161">
        <v>3</v>
      </c>
      <c r="H42" s="161">
        <v>8</v>
      </c>
      <c r="I42" s="161">
        <v>13</v>
      </c>
      <c r="J42" s="161">
        <v>103</v>
      </c>
      <c r="K42" s="161"/>
      <c r="L42" s="163">
        <v>-1.92</v>
      </c>
      <c r="M42" s="163">
        <v>-0.26</v>
      </c>
      <c r="N42" s="161">
        <v>-2.75</v>
      </c>
      <c r="O42" s="164" t="s">
        <v>1747</v>
      </c>
    </row>
    <row r="43" spans="1:15" ht="43.2">
      <c r="A43" s="161" t="s">
        <v>1841</v>
      </c>
      <c r="B43" s="161" t="s">
        <v>1743</v>
      </c>
      <c r="C43" s="161" t="s">
        <v>1749</v>
      </c>
      <c r="D43" s="162">
        <v>43598</v>
      </c>
      <c r="E43" s="161" t="s">
        <v>1842</v>
      </c>
      <c r="F43" s="161" t="s">
        <v>1769</v>
      </c>
      <c r="G43" s="161">
        <v>4</v>
      </c>
      <c r="H43" s="161">
        <v>5</v>
      </c>
      <c r="I43" s="161">
        <v>10</v>
      </c>
      <c r="J43" s="161">
        <v>89</v>
      </c>
      <c r="K43" s="161">
        <v>14</v>
      </c>
      <c r="L43" s="163">
        <v>-2.4700000000000002</v>
      </c>
      <c r="M43" s="163">
        <v>-1.28</v>
      </c>
      <c r="N43" s="161">
        <v>-2.52</v>
      </c>
      <c r="O43" s="164" t="s">
        <v>1747</v>
      </c>
    </row>
    <row r="44" spans="1:15" ht="43.2">
      <c r="A44" s="161" t="s">
        <v>1843</v>
      </c>
      <c r="B44" s="161" t="s">
        <v>1752</v>
      </c>
      <c r="C44" s="161" t="s">
        <v>1779</v>
      </c>
      <c r="D44" s="162">
        <v>43071</v>
      </c>
      <c r="E44" s="161" t="s">
        <v>1844</v>
      </c>
      <c r="F44" s="161" t="s">
        <v>1769</v>
      </c>
      <c r="G44" s="161">
        <v>3</v>
      </c>
      <c r="H44" s="161">
        <v>6</v>
      </c>
      <c r="I44" s="161">
        <v>13.8</v>
      </c>
      <c r="J44" s="161">
        <v>103.1</v>
      </c>
      <c r="K44" s="161"/>
      <c r="L44" s="163">
        <v>-1.58</v>
      </c>
      <c r="M44" s="163">
        <v>-0.47</v>
      </c>
      <c r="N44" s="161">
        <v>-2.0099999999999998</v>
      </c>
      <c r="O44" s="164" t="s">
        <v>1747</v>
      </c>
    </row>
    <row r="45" spans="1:15" ht="43.2">
      <c r="A45" s="161" t="s">
        <v>1845</v>
      </c>
      <c r="B45" s="161" t="s">
        <v>1752</v>
      </c>
      <c r="C45" s="161" t="s">
        <v>1779</v>
      </c>
      <c r="D45" s="162">
        <v>43081</v>
      </c>
      <c r="E45" s="161" t="s">
        <v>1771</v>
      </c>
      <c r="F45" s="161" t="s">
        <v>1769</v>
      </c>
      <c r="G45" s="161">
        <v>2</v>
      </c>
      <c r="H45" s="161">
        <v>8</v>
      </c>
      <c r="I45" s="161">
        <v>13.8</v>
      </c>
      <c r="J45" s="161">
        <v>103.1</v>
      </c>
      <c r="K45" s="161"/>
      <c r="L45" s="163">
        <v>-1.55</v>
      </c>
      <c r="M45" s="163">
        <v>-0.43</v>
      </c>
      <c r="N45" s="161">
        <v>-2.0099999999999998</v>
      </c>
      <c r="O45" s="164" t="s">
        <v>1747</v>
      </c>
    </row>
    <row r="46" spans="1:15" ht="57.6">
      <c r="A46" s="161" t="s">
        <v>1846</v>
      </c>
      <c r="B46" s="161" t="s">
        <v>1752</v>
      </c>
      <c r="C46" s="161" t="s">
        <v>1779</v>
      </c>
      <c r="D46" s="162">
        <v>43082</v>
      </c>
      <c r="E46" s="161" t="s">
        <v>1768</v>
      </c>
      <c r="F46" s="161" t="s">
        <v>1769</v>
      </c>
      <c r="G46" s="161">
        <v>8</v>
      </c>
      <c r="H46" s="161">
        <v>1</v>
      </c>
      <c r="I46" s="161">
        <v>13.8</v>
      </c>
      <c r="J46" s="161">
        <v>103.1</v>
      </c>
      <c r="K46" s="161"/>
      <c r="L46" s="163">
        <v>-1.55</v>
      </c>
      <c r="M46" s="163">
        <v>-0.42</v>
      </c>
      <c r="N46" s="161">
        <v>-2.0099999999999998</v>
      </c>
      <c r="O46" s="164" t="s">
        <v>1747</v>
      </c>
    </row>
    <row r="47" spans="1:15" ht="43.2">
      <c r="A47" s="161" t="s">
        <v>1847</v>
      </c>
      <c r="B47" s="161" t="s">
        <v>1743</v>
      </c>
      <c r="C47" s="161" t="s">
        <v>1779</v>
      </c>
      <c r="D47" s="162">
        <v>43145</v>
      </c>
      <c r="E47" s="161" t="s">
        <v>1848</v>
      </c>
      <c r="F47" s="161" t="s">
        <v>1774</v>
      </c>
      <c r="G47" s="161">
        <v>3</v>
      </c>
      <c r="H47" s="161">
        <v>8</v>
      </c>
      <c r="I47" s="161">
        <v>11.6</v>
      </c>
      <c r="J47" s="161">
        <v>86.6</v>
      </c>
      <c r="K47" s="161">
        <v>14.8</v>
      </c>
      <c r="L47" s="163">
        <v>-2.41</v>
      </c>
      <c r="M47" s="163">
        <v>-3.64</v>
      </c>
      <c r="N47" s="161">
        <v>-0.19</v>
      </c>
      <c r="O47" s="164" t="s">
        <v>1760</v>
      </c>
    </row>
    <row r="48" spans="1:15" ht="43.2">
      <c r="A48" s="161" t="s">
        <v>1849</v>
      </c>
      <c r="B48" s="161" t="s">
        <v>1752</v>
      </c>
      <c r="C48" s="161" t="s">
        <v>1779</v>
      </c>
      <c r="D48" s="162">
        <v>43090</v>
      </c>
      <c r="E48" s="161" t="s">
        <v>1850</v>
      </c>
      <c r="F48" s="161" t="s">
        <v>1774</v>
      </c>
      <c r="G48" s="161">
        <v>3</v>
      </c>
      <c r="H48" s="161">
        <v>7</v>
      </c>
      <c r="I48" s="161">
        <v>13.8</v>
      </c>
      <c r="J48" s="161">
        <v>103.1</v>
      </c>
      <c r="K48" s="161"/>
      <c r="L48" s="163">
        <v>-1.53</v>
      </c>
      <c r="M48" s="163">
        <v>-0.39</v>
      </c>
      <c r="N48" s="161">
        <v>-2.0099999999999998</v>
      </c>
      <c r="O48" s="164" t="s">
        <v>1747</v>
      </c>
    </row>
    <row r="49" spans="1:15" ht="57.6">
      <c r="A49" s="161" t="s">
        <v>1851</v>
      </c>
      <c r="B49" s="161" t="s">
        <v>1752</v>
      </c>
      <c r="C49" s="161" t="s">
        <v>1786</v>
      </c>
      <c r="D49" s="162">
        <v>43340</v>
      </c>
      <c r="E49" s="161" t="s">
        <v>1852</v>
      </c>
      <c r="F49" s="161" t="s">
        <v>1774</v>
      </c>
      <c r="G49" s="161">
        <v>8</v>
      </c>
      <c r="H49" s="161">
        <v>1</v>
      </c>
      <c r="I49" s="161">
        <v>10.1</v>
      </c>
      <c r="J49" s="161">
        <v>90.7</v>
      </c>
      <c r="K49" s="161">
        <v>13.2</v>
      </c>
      <c r="L49" s="163">
        <v>-3.32</v>
      </c>
      <c r="M49" s="163">
        <v>-2.1800000000000002</v>
      </c>
      <c r="N49" s="161">
        <v>-3.32</v>
      </c>
      <c r="O49" s="164" t="s">
        <v>1790</v>
      </c>
    </row>
    <row r="50" spans="1:15" ht="43.2">
      <c r="A50" s="161" t="s">
        <v>1853</v>
      </c>
      <c r="B50" s="161" t="s">
        <v>1752</v>
      </c>
      <c r="C50" s="161" t="s">
        <v>1779</v>
      </c>
      <c r="D50" s="162">
        <v>43097</v>
      </c>
      <c r="E50" s="161" t="s">
        <v>1854</v>
      </c>
      <c r="F50" s="161" t="s">
        <v>1774</v>
      </c>
      <c r="G50" s="161">
        <v>8</v>
      </c>
      <c r="H50" s="161">
        <v>1</v>
      </c>
      <c r="I50" s="161">
        <v>13.8</v>
      </c>
      <c r="J50" s="161">
        <v>103.1</v>
      </c>
      <c r="K50" s="161"/>
      <c r="L50" s="163">
        <v>-1.52</v>
      </c>
      <c r="M50" s="163">
        <v>-0.36</v>
      </c>
      <c r="N50" s="161">
        <v>-2.0099999999999998</v>
      </c>
      <c r="O50" s="164" t="s">
        <v>1747</v>
      </c>
    </row>
    <row r="51" spans="1:15" ht="43.2">
      <c r="A51" s="161" t="s">
        <v>1855</v>
      </c>
      <c r="B51" s="161" t="s">
        <v>1752</v>
      </c>
      <c r="C51" s="161" t="s">
        <v>1744</v>
      </c>
      <c r="D51" s="162">
        <v>43986</v>
      </c>
      <c r="E51" s="161" t="s">
        <v>1856</v>
      </c>
      <c r="F51" s="161" t="s">
        <v>1774</v>
      </c>
      <c r="G51" s="161"/>
      <c r="H51" s="161">
        <v>1</v>
      </c>
      <c r="I51" s="161">
        <v>11.5</v>
      </c>
      <c r="J51" s="161">
        <v>77</v>
      </c>
      <c r="K51" s="161">
        <v>15</v>
      </c>
      <c r="L51" s="163">
        <v>0.24</v>
      </c>
      <c r="M51" s="163">
        <v>-2.35</v>
      </c>
      <c r="N51" s="161">
        <v>1.76</v>
      </c>
      <c r="O51" s="164" t="s">
        <v>1757</v>
      </c>
    </row>
    <row r="52" spans="1:15" ht="43.2">
      <c r="A52" s="161" t="s">
        <v>1857</v>
      </c>
      <c r="B52" s="161" t="s">
        <v>1752</v>
      </c>
      <c r="C52" s="161" t="s">
        <v>1779</v>
      </c>
      <c r="D52" s="162">
        <v>43100</v>
      </c>
      <c r="E52" s="161" t="s">
        <v>1858</v>
      </c>
      <c r="F52" s="161" t="s">
        <v>1777</v>
      </c>
      <c r="G52" s="161">
        <v>6</v>
      </c>
      <c r="H52" s="161">
        <v>8</v>
      </c>
      <c r="I52" s="161">
        <v>13.8</v>
      </c>
      <c r="J52" s="161">
        <v>103.1</v>
      </c>
      <c r="K52" s="161"/>
      <c r="L52" s="163">
        <v>-1.51</v>
      </c>
      <c r="M52" s="163">
        <v>-0.35</v>
      </c>
      <c r="N52" s="161">
        <v>-2.0099999999999998</v>
      </c>
      <c r="O52" s="164" t="s">
        <v>1747</v>
      </c>
    </row>
    <row r="53" spans="1:15" ht="43.2">
      <c r="A53" s="161" t="s">
        <v>1859</v>
      </c>
      <c r="B53" s="161" t="s">
        <v>1752</v>
      </c>
      <c r="C53" s="161" t="s">
        <v>1786</v>
      </c>
      <c r="D53" s="162">
        <v>43530</v>
      </c>
      <c r="E53" s="161" t="s">
        <v>1860</v>
      </c>
      <c r="F53" s="161" t="s">
        <v>1777</v>
      </c>
      <c r="G53" s="161">
        <v>2</v>
      </c>
      <c r="H53" s="161">
        <v>8</v>
      </c>
      <c r="I53" s="161">
        <v>10.7</v>
      </c>
      <c r="J53" s="161">
        <v>89</v>
      </c>
      <c r="K53" s="161"/>
      <c r="L53" s="163">
        <v>-2.46</v>
      </c>
      <c r="M53" s="163">
        <v>-1.93</v>
      </c>
      <c r="N53" s="161">
        <v>-2.14</v>
      </c>
      <c r="O53" s="164" t="s">
        <v>1747</v>
      </c>
    </row>
    <row r="54" spans="1:15" ht="43.2">
      <c r="A54" s="161" t="s">
        <v>1861</v>
      </c>
      <c r="B54" s="161" t="s">
        <v>1743</v>
      </c>
      <c r="C54" s="161" t="s">
        <v>1744</v>
      </c>
      <c r="D54" s="162">
        <v>44259</v>
      </c>
      <c r="E54" s="161" t="s">
        <v>1862</v>
      </c>
      <c r="F54" s="161" t="s">
        <v>1777</v>
      </c>
      <c r="G54" s="161">
        <v>5</v>
      </c>
      <c r="H54" s="161">
        <v>8</v>
      </c>
      <c r="I54" s="161">
        <v>7</v>
      </c>
      <c r="J54" s="161">
        <v>71.5</v>
      </c>
      <c r="K54" s="161"/>
      <c r="L54" s="163">
        <v>-2.09</v>
      </c>
      <c r="M54" s="163">
        <v>-1.06</v>
      </c>
      <c r="N54" s="161">
        <v>-2.1800000000000002</v>
      </c>
      <c r="O54" s="164" t="s">
        <v>1747</v>
      </c>
    </row>
    <row r="55" spans="1:15" ht="43.2">
      <c r="A55" s="161" t="s">
        <v>1863</v>
      </c>
      <c r="B55" s="161" t="s">
        <v>1752</v>
      </c>
      <c r="C55" s="161" t="s">
        <v>1744</v>
      </c>
      <c r="D55" s="162">
        <v>44222</v>
      </c>
      <c r="E55" s="161" t="s">
        <v>1864</v>
      </c>
      <c r="F55" s="161" t="s">
        <v>1777</v>
      </c>
      <c r="G55" s="161">
        <v>0</v>
      </c>
      <c r="H55" s="161">
        <v>0</v>
      </c>
      <c r="I55" s="161">
        <v>7.2</v>
      </c>
      <c r="J55" s="161">
        <v>67.900000000000006</v>
      </c>
      <c r="K55" s="161">
        <v>15</v>
      </c>
      <c r="L55" s="163">
        <v>-2.5499999999999998</v>
      </c>
      <c r="M55" s="163">
        <v>-3.08</v>
      </c>
      <c r="N55" s="161">
        <v>-1.22</v>
      </c>
      <c r="O55" s="164" t="s">
        <v>1760</v>
      </c>
    </row>
    <row r="56" spans="1:15" ht="43.2">
      <c r="A56" s="161" t="s">
        <v>1865</v>
      </c>
      <c r="B56" s="161" t="s">
        <v>1752</v>
      </c>
      <c r="C56" s="161" t="s">
        <v>1866</v>
      </c>
      <c r="D56" s="162">
        <v>42849</v>
      </c>
      <c r="E56" s="161" t="s">
        <v>1867</v>
      </c>
      <c r="F56" s="161" t="s">
        <v>1777</v>
      </c>
      <c r="G56" s="161">
        <v>3</v>
      </c>
      <c r="H56" s="161">
        <v>8</v>
      </c>
      <c r="I56" s="161">
        <v>11.6</v>
      </c>
      <c r="J56" s="161">
        <v>92.2</v>
      </c>
      <c r="K56" s="161"/>
      <c r="L56" s="163">
        <v>-3.28</v>
      </c>
      <c r="M56" s="163">
        <v>-3.52</v>
      </c>
      <c r="N56" s="161">
        <v>-1.84</v>
      </c>
      <c r="O56" s="164" t="s">
        <v>1760</v>
      </c>
    </row>
    <row r="57" spans="1:15" ht="43.2">
      <c r="A57" s="161" t="s">
        <v>1868</v>
      </c>
      <c r="B57" s="161" t="s">
        <v>1752</v>
      </c>
      <c r="C57" s="161" t="s">
        <v>1779</v>
      </c>
      <c r="D57" s="162">
        <v>43033</v>
      </c>
      <c r="E57" s="161" t="s">
        <v>1869</v>
      </c>
      <c r="F57" s="161" t="s">
        <v>1777</v>
      </c>
      <c r="G57" s="161">
        <v>3</v>
      </c>
      <c r="H57" s="161">
        <v>8</v>
      </c>
      <c r="I57" s="161">
        <v>14.2</v>
      </c>
      <c r="J57" s="161">
        <v>104.8</v>
      </c>
      <c r="K57" s="161"/>
      <c r="L57" s="163">
        <v>-1.44</v>
      </c>
      <c r="M57" s="163">
        <v>-0.24</v>
      </c>
      <c r="N57" s="161">
        <v>-2.0299999999999998</v>
      </c>
      <c r="O57" s="164" t="s">
        <v>1747</v>
      </c>
    </row>
    <row r="58" spans="1:15" ht="43.2">
      <c r="A58" s="161" t="s">
        <v>1870</v>
      </c>
      <c r="B58" s="161" t="s">
        <v>1752</v>
      </c>
      <c r="C58" s="161" t="s">
        <v>1779</v>
      </c>
      <c r="D58" s="162">
        <v>43075</v>
      </c>
      <c r="E58" s="161" t="s">
        <v>1871</v>
      </c>
      <c r="F58" s="161" t="s">
        <v>1777</v>
      </c>
      <c r="G58" s="161">
        <v>1</v>
      </c>
      <c r="H58" s="161">
        <v>12</v>
      </c>
      <c r="I58" s="161">
        <v>13.8</v>
      </c>
      <c r="J58" s="161">
        <v>103.1</v>
      </c>
      <c r="K58" s="161"/>
      <c r="L58" s="163">
        <v>-1.57</v>
      </c>
      <c r="M58" s="163">
        <v>-0.46</v>
      </c>
      <c r="N58" s="161">
        <v>-2.0099999999999998</v>
      </c>
      <c r="O58" s="164" t="s">
        <v>1747</v>
      </c>
    </row>
    <row r="59" spans="1:15" ht="43.2">
      <c r="A59" s="161" t="s">
        <v>1872</v>
      </c>
      <c r="B59" s="161" t="s">
        <v>1752</v>
      </c>
      <c r="C59" s="161" t="s">
        <v>1779</v>
      </c>
      <c r="D59" s="162">
        <v>43082</v>
      </c>
      <c r="E59" s="161" t="s">
        <v>1873</v>
      </c>
      <c r="F59" s="161" t="s">
        <v>1777</v>
      </c>
      <c r="G59" s="161">
        <v>1</v>
      </c>
      <c r="H59" s="161">
        <v>12</v>
      </c>
      <c r="I59" s="161">
        <v>13.8</v>
      </c>
      <c r="J59" s="161">
        <v>103.1</v>
      </c>
      <c r="K59" s="161"/>
      <c r="L59" s="163">
        <v>-1.55</v>
      </c>
      <c r="M59" s="163">
        <v>-0.43</v>
      </c>
      <c r="N59" s="161">
        <v>-2.0099999999999998</v>
      </c>
      <c r="O59" s="164" t="s">
        <v>1747</v>
      </c>
    </row>
    <row r="60" spans="1:15" ht="43.2">
      <c r="A60" s="161" t="s">
        <v>1874</v>
      </c>
      <c r="B60" s="161" t="s">
        <v>1752</v>
      </c>
      <c r="C60" s="161" t="s">
        <v>1779</v>
      </c>
      <c r="D60" s="162">
        <v>43087</v>
      </c>
      <c r="E60" s="161" t="s">
        <v>1875</v>
      </c>
      <c r="F60" s="161" t="s">
        <v>1777</v>
      </c>
      <c r="G60" s="161">
        <v>2</v>
      </c>
      <c r="H60" s="161">
        <v>12</v>
      </c>
      <c r="I60" s="161">
        <v>13.8</v>
      </c>
      <c r="J60" s="161">
        <v>103.1</v>
      </c>
      <c r="K60" s="161"/>
      <c r="L60" s="163">
        <v>-1.54</v>
      </c>
      <c r="M60" s="163">
        <v>-0.41</v>
      </c>
      <c r="N60" s="161">
        <v>-2.0099999999999998</v>
      </c>
      <c r="O60" s="164" t="s">
        <v>1747</v>
      </c>
    </row>
    <row r="61" spans="1:15" ht="43.2">
      <c r="A61" s="161" t="s">
        <v>1876</v>
      </c>
      <c r="B61" s="161" t="s">
        <v>1743</v>
      </c>
      <c r="C61" s="161" t="s">
        <v>1755</v>
      </c>
      <c r="D61" s="162">
        <v>44639</v>
      </c>
      <c r="E61" s="161" t="s">
        <v>1877</v>
      </c>
      <c r="F61" s="161" t="s">
        <v>1777</v>
      </c>
      <c r="G61" s="161">
        <v>3</v>
      </c>
      <c r="H61" s="161">
        <v>12</v>
      </c>
      <c r="I61" s="161">
        <v>2.5</v>
      </c>
      <c r="J61" s="161">
        <v>49</v>
      </c>
      <c r="K61" s="161"/>
      <c r="L61" s="163">
        <v>-2.76</v>
      </c>
      <c r="M61" s="163">
        <v>-1.3</v>
      </c>
      <c r="N61" s="161">
        <v>-3.19</v>
      </c>
      <c r="O61" s="164" t="s">
        <v>1790</v>
      </c>
    </row>
    <row r="62" spans="1:15" ht="43.2">
      <c r="A62" s="161" t="s">
        <v>1878</v>
      </c>
      <c r="B62" s="161" t="s">
        <v>1752</v>
      </c>
      <c r="C62" s="161" t="s">
        <v>1779</v>
      </c>
      <c r="D62" s="162">
        <v>42897</v>
      </c>
      <c r="E62" s="161" t="s">
        <v>1879</v>
      </c>
      <c r="F62" s="161" t="s">
        <v>1777</v>
      </c>
      <c r="G62" s="161">
        <v>3</v>
      </c>
      <c r="H62" s="161">
        <v>8</v>
      </c>
      <c r="I62" s="161">
        <v>14</v>
      </c>
      <c r="J62" s="161">
        <v>104</v>
      </c>
      <c r="K62" s="161"/>
      <c r="L62" s="163">
        <v>-1.87</v>
      </c>
      <c r="M62" s="163">
        <v>-0.98</v>
      </c>
      <c r="N62" s="161">
        <v>-2.0299999999999998</v>
      </c>
      <c r="O62" s="164" t="s">
        <v>1747</v>
      </c>
    </row>
    <row r="63" spans="1:15" ht="57.6">
      <c r="A63" s="161" t="s">
        <v>1880</v>
      </c>
      <c r="B63" s="161" t="s">
        <v>1743</v>
      </c>
      <c r="C63" s="161" t="s">
        <v>1779</v>
      </c>
      <c r="D63" s="162">
        <v>42952</v>
      </c>
      <c r="E63" s="161" t="s">
        <v>1881</v>
      </c>
      <c r="F63" s="161" t="s">
        <v>1777</v>
      </c>
      <c r="G63" s="161">
        <v>1</v>
      </c>
      <c r="H63" s="161">
        <v>8</v>
      </c>
      <c r="I63" s="161">
        <v>15</v>
      </c>
      <c r="J63" s="161">
        <v>109</v>
      </c>
      <c r="K63" s="161"/>
      <c r="L63" s="163">
        <v>-1.06</v>
      </c>
      <c r="M63" s="163">
        <v>0.44</v>
      </c>
      <c r="N63" s="161">
        <v>-2.15</v>
      </c>
      <c r="O63" s="164" t="s">
        <v>1747</v>
      </c>
    </row>
    <row r="64" spans="1:15" ht="43.2">
      <c r="A64" s="161" t="s">
        <v>1882</v>
      </c>
      <c r="B64" s="161" t="s">
        <v>1752</v>
      </c>
      <c r="C64" s="161" t="s">
        <v>1779</v>
      </c>
      <c r="D64" s="162">
        <v>43109</v>
      </c>
      <c r="E64" s="161" t="s">
        <v>1883</v>
      </c>
      <c r="F64" s="161" t="s">
        <v>1777</v>
      </c>
      <c r="G64" s="161">
        <v>2</v>
      </c>
      <c r="H64" s="161">
        <v>8</v>
      </c>
      <c r="I64" s="161">
        <v>13.5</v>
      </c>
      <c r="J64" s="161">
        <v>103.5</v>
      </c>
      <c r="K64" s="161"/>
      <c r="L64" s="163">
        <v>-1.68</v>
      </c>
      <c r="M64" s="163">
        <v>-0.26</v>
      </c>
      <c r="N64" s="161">
        <v>-2.38</v>
      </c>
      <c r="O64" s="164" t="s">
        <v>1747</v>
      </c>
    </row>
    <row r="65" spans="1:15" ht="43.2">
      <c r="A65" s="161" t="s">
        <v>1884</v>
      </c>
      <c r="B65" s="161" t="s">
        <v>1752</v>
      </c>
      <c r="C65" s="161" t="s">
        <v>1779</v>
      </c>
      <c r="D65" s="162">
        <v>43120</v>
      </c>
      <c r="E65" s="161" t="s">
        <v>1885</v>
      </c>
      <c r="F65" s="161" t="s">
        <v>1777</v>
      </c>
      <c r="G65" s="161">
        <v>2</v>
      </c>
      <c r="H65" s="161">
        <v>4</v>
      </c>
      <c r="I65" s="161">
        <v>13</v>
      </c>
      <c r="J65" s="161">
        <v>100</v>
      </c>
      <c r="K65" s="161"/>
      <c r="L65" s="163">
        <v>-1.96</v>
      </c>
      <c r="M65" s="163">
        <v>-1.03</v>
      </c>
      <c r="N65" s="161">
        <v>-2.09</v>
      </c>
      <c r="O65" s="164" t="s">
        <v>1747</v>
      </c>
    </row>
    <row r="66" spans="1:15" ht="43.2">
      <c r="A66" s="161" t="s">
        <v>1886</v>
      </c>
      <c r="B66" s="161" t="s">
        <v>1752</v>
      </c>
      <c r="C66" s="161" t="s">
        <v>1786</v>
      </c>
      <c r="D66" s="162">
        <v>43259</v>
      </c>
      <c r="E66" s="161" t="s">
        <v>1887</v>
      </c>
      <c r="F66" s="161" t="s">
        <v>1777</v>
      </c>
      <c r="G66" s="161">
        <v>1</v>
      </c>
      <c r="H66" s="161">
        <v>8</v>
      </c>
      <c r="I66" s="161">
        <v>11</v>
      </c>
      <c r="J66" s="161">
        <v>93</v>
      </c>
      <c r="K66" s="161"/>
      <c r="L66" s="163">
        <v>-2.98</v>
      </c>
      <c r="M66" s="163">
        <v>-2.15</v>
      </c>
      <c r="N66" s="161">
        <v>-2.73</v>
      </c>
      <c r="O66" s="164" t="s">
        <v>1747</v>
      </c>
    </row>
    <row r="67" spans="1:15" ht="43.2">
      <c r="A67" s="161" t="s">
        <v>1888</v>
      </c>
      <c r="B67" s="161" t="s">
        <v>1743</v>
      </c>
      <c r="C67" s="161" t="s">
        <v>1779</v>
      </c>
      <c r="D67" s="162">
        <v>43198</v>
      </c>
      <c r="E67" s="161" t="s">
        <v>1889</v>
      </c>
      <c r="F67" s="161" t="s">
        <v>1777</v>
      </c>
      <c r="G67" s="161">
        <v>1</v>
      </c>
      <c r="H67" s="161">
        <v>13</v>
      </c>
      <c r="I67" s="161">
        <v>10</v>
      </c>
      <c r="J67" s="161">
        <v>93</v>
      </c>
      <c r="K67" s="161"/>
      <c r="L67" s="163">
        <v>-3.31</v>
      </c>
      <c r="M67" s="163">
        <v>-1.69</v>
      </c>
      <c r="N67" s="161">
        <v>-3.42</v>
      </c>
      <c r="O67" s="164" t="s">
        <v>1790</v>
      </c>
    </row>
    <row r="68" spans="1:15" ht="43.2">
      <c r="A68" s="161" t="s">
        <v>1890</v>
      </c>
      <c r="B68" s="161" t="s">
        <v>1752</v>
      </c>
      <c r="C68" s="161" t="s">
        <v>1749</v>
      </c>
      <c r="D68" s="162">
        <v>43809</v>
      </c>
      <c r="E68" s="161" t="s">
        <v>1891</v>
      </c>
      <c r="F68" s="161" t="s">
        <v>1777</v>
      </c>
      <c r="G68" s="161">
        <v>1</v>
      </c>
      <c r="H68" s="161">
        <v>13</v>
      </c>
      <c r="I68" s="161">
        <v>9</v>
      </c>
      <c r="J68" s="161">
        <v>87</v>
      </c>
      <c r="K68" s="161">
        <v>14</v>
      </c>
      <c r="L68" s="163">
        <v>-3.04</v>
      </c>
      <c r="M68" s="163">
        <v>-1.0900000000000001</v>
      </c>
      <c r="N68" s="161">
        <v>-3.66</v>
      </c>
      <c r="O68" s="164" t="s">
        <v>1790</v>
      </c>
    </row>
    <row r="69" spans="1:15" ht="43.2">
      <c r="A69" s="161" t="s">
        <v>1892</v>
      </c>
      <c r="B69" s="161" t="s">
        <v>1743</v>
      </c>
      <c r="C69" s="161" t="s">
        <v>1755</v>
      </c>
      <c r="D69" s="162">
        <v>44425</v>
      </c>
      <c r="E69" s="161" t="s">
        <v>1893</v>
      </c>
      <c r="F69" s="161" t="s">
        <v>1777</v>
      </c>
      <c r="G69" s="161">
        <v>4</v>
      </c>
      <c r="H69" s="161">
        <v>13</v>
      </c>
      <c r="I69" s="161">
        <v>6</v>
      </c>
      <c r="J69" s="161">
        <v>68</v>
      </c>
      <c r="K69" s="161">
        <v>14</v>
      </c>
      <c r="L69" s="163">
        <v>-2.02</v>
      </c>
      <c r="M69" s="163">
        <v>0.28999999999999998</v>
      </c>
      <c r="N69" s="161">
        <v>-2.95</v>
      </c>
      <c r="O69" s="164" t="s">
        <v>1747</v>
      </c>
    </row>
    <row r="70" spans="1:15" ht="43.2">
      <c r="A70" s="161" t="s">
        <v>1894</v>
      </c>
      <c r="B70" s="161" t="s">
        <v>1743</v>
      </c>
      <c r="C70" s="161" t="s">
        <v>1744</v>
      </c>
      <c r="D70" s="162">
        <v>44312</v>
      </c>
      <c r="E70" s="161" t="s">
        <v>1895</v>
      </c>
      <c r="F70" s="161" t="s">
        <v>1777</v>
      </c>
      <c r="G70" s="161">
        <v>4</v>
      </c>
      <c r="H70" s="161">
        <v>13</v>
      </c>
      <c r="I70" s="161">
        <v>9</v>
      </c>
      <c r="J70" s="161">
        <v>87</v>
      </c>
      <c r="K70" s="161">
        <v>16</v>
      </c>
      <c r="L70" s="163">
        <v>0.31</v>
      </c>
      <c r="M70" s="163">
        <v>5.81</v>
      </c>
      <c r="N70" s="161">
        <v>-3.12</v>
      </c>
      <c r="O70" s="164" t="s">
        <v>1790</v>
      </c>
    </row>
    <row r="71" spans="1:15" ht="43.2">
      <c r="A71" s="161" t="s">
        <v>1896</v>
      </c>
      <c r="B71" s="161" t="s">
        <v>1752</v>
      </c>
      <c r="C71" s="161" t="s">
        <v>1744</v>
      </c>
      <c r="D71" s="162">
        <v>44161</v>
      </c>
      <c r="E71" s="161" t="s">
        <v>1897</v>
      </c>
      <c r="F71" s="161" t="s">
        <v>1777</v>
      </c>
      <c r="G71" s="161">
        <v>4</v>
      </c>
      <c r="H71" s="161">
        <v>13</v>
      </c>
      <c r="I71" s="161">
        <v>9</v>
      </c>
      <c r="J71" s="161">
        <v>81</v>
      </c>
      <c r="K71" s="161">
        <v>16</v>
      </c>
      <c r="L71" s="163">
        <v>-1.36</v>
      </c>
      <c r="M71" s="163">
        <v>0.43</v>
      </c>
      <c r="N71" s="161">
        <v>-2.0699999999999998</v>
      </c>
      <c r="O71" s="164" t="s">
        <v>1747</v>
      </c>
    </row>
    <row r="72" spans="1:15" ht="43.2">
      <c r="A72" s="161" t="s">
        <v>1898</v>
      </c>
      <c r="B72" s="161" t="s">
        <v>1743</v>
      </c>
      <c r="C72" s="161" t="s">
        <v>1749</v>
      </c>
      <c r="D72" s="162">
        <v>43743</v>
      </c>
      <c r="E72" s="161" t="s">
        <v>1899</v>
      </c>
      <c r="F72" s="161" t="s">
        <v>1777</v>
      </c>
      <c r="G72" s="161">
        <v>4</v>
      </c>
      <c r="H72" s="161">
        <v>13</v>
      </c>
      <c r="I72" s="161">
        <v>10</v>
      </c>
      <c r="J72" s="161">
        <v>93</v>
      </c>
      <c r="K72" s="161"/>
      <c r="L72" s="163">
        <v>-1.9</v>
      </c>
      <c r="M72" s="163">
        <v>0.79</v>
      </c>
      <c r="N72" s="161">
        <v>-3.42</v>
      </c>
      <c r="O72" s="164" t="s">
        <v>1790</v>
      </c>
    </row>
    <row r="73" spans="1:15" ht="43.2">
      <c r="A73" s="161" t="s">
        <v>1900</v>
      </c>
      <c r="B73" s="161" t="s">
        <v>1752</v>
      </c>
      <c r="C73" s="161" t="s">
        <v>1744</v>
      </c>
      <c r="D73" s="162">
        <v>44123</v>
      </c>
      <c r="E73" s="161" t="s">
        <v>1901</v>
      </c>
      <c r="F73" s="161" t="s">
        <v>1777</v>
      </c>
      <c r="G73" s="161">
        <v>4</v>
      </c>
      <c r="H73" s="161">
        <v>13</v>
      </c>
      <c r="I73" s="161">
        <v>9</v>
      </c>
      <c r="J73" s="161">
        <v>81</v>
      </c>
      <c r="K73" s="161"/>
      <c r="L73" s="163">
        <v>-1.58</v>
      </c>
      <c r="M73" s="163">
        <v>-0.08</v>
      </c>
      <c r="N73" s="161">
        <v>-2.0699999999999998</v>
      </c>
      <c r="O73" s="164" t="s">
        <v>1747</v>
      </c>
    </row>
    <row r="74" spans="1:15" ht="43.2">
      <c r="A74" s="161" t="s">
        <v>1902</v>
      </c>
      <c r="B74" s="161" t="s">
        <v>1743</v>
      </c>
      <c r="C74" s="161" t="s">
        <v>1749</v>
      </c>
      <c r="D74" s="162">
        <v>43639</v>
      </c>
      <c r="E74" s="161" t="s">
        <v>1903</v>
      </c>
      <c r="F74" s="161" t="s">
        <v>1777</v>
      </c>
      <c r="G74" s="161">
        <v>4</v>
      </c>
      <c r="H74" s="161">
        <v>13</v>
      </c>
      <c r="I74" s="161">
        <v>10</v>
      </c>
      <c r="J74" s="161">
        <v>89</v>
      </c>
      <c r="K74" s="161"/>
      <c r="L74" s="163">
        <v>-2.3199999999999998</v>
      </c>
      <c r="M74" s="163">
        <v>-1.04</v>
      </c>
      <c r="N74" s="161">
        <v>-2.52</v>
      </c>
      <c r="O74" s="164" t="s">
        <v>1747</v>
      </c>
    </row>
    <row r="75" spans="1:15" ht="43.2">
      <c r="A75" s="161" t="s">
        <v>1904</v>
      </c>
      <c r="B75" s="161" t="s">
        <v>1752</v>
      </c>
      <c r="C75" s="161" t="s">
        <v>1749</v>
      </c>
      <c r="D75" s="162">
        <v>43685</v>
      </c>
      <c r="E75" s="161" t="s">
        <v>1905</v>
      </c>
      <c r="F75" s="161" t="s">
        <v>1777</v>
      </c>
      <c r="G75" s="161">
        <v>4</v>
      </c>
      <c r="H75" s="161">
        <v>13</v>
      </c>
      <c r="I75" s="161">
        <v>9</v>
      </c>
      <c r="J75" s="161">
        <v>84</v>
      </c>
      <c r="K75" s="161"/>
      <c r="L75" s="163">
        <v>-3.44</v>
      </c>
      <c r="M75" s="163">
        <v>-2.56</v>
      </c>
      <c r="N75" s="161">
        <v>-3.04</v>
      </c>
      <c r="O75" s="164" t="s">
        <v>1790</v>
      </c>
    </row>
    <row r="76" spans="1:15" ht="43.2">
      <c r="A76" s="161" t="s">
        <v>1906</v>
      </c>
      <c r="B76" s="161" t="s">
        <v>1743</v>
      </c>
      <c r="C76" s="161" t="s">
        <v>1749</v>
      </c>
      <c r="D76" s="162">
        <v>43687</v>
      </c>
      <c r="E76" s="161" t="s">
        <v>1907</v>
      </c>
      <c r="F76" s="161" t="s">
        <v>1784</v>
      </c>
      <c r="G76" s="161">
        <v>3</v>
      </c>
      <c r="H76" s="161">
        <v>2</v>
      </c>
      <c r="I76" s="161">
        <v>10</v>
      </c>
      <c r="J76" s="161">
        <v>88</v>
      </c>
      <c r="K76" s="161"/>
      <c r="L76" s="163">
        <v>-2.13</v>
      </c>
      <c r="M76" s="163">
        <v>-1.02</v>
      </c>
      <c r="N76" s="161">
        <v>-2.27</v>
      </c>
      <c r="O76" s="164" t="s">
        <v>1747</v>
      </c>
    </row>
    <row r="77" spans="1:15" ht="28.8">
      <c r="A77" s="161" t="s">
        <v>1908</v>
      </c>
      <c r="B77" s="161" t="s">
        <v>1752</v>
      </c>
      <c r="C77" s="161" t="s">
        <v>1779</v>
      </c>
      <c r="D77" s="162">
        <v>43172</v>
      </c>
      <c r="E77" s="161" t="s">
        <v>1909</v>
      </c>
      <c r="F77" s="161" t="s">
        <v>1784</v>
      </c>
      <c r="G77" s="161">
        <v>4</v>
      </c>
      <c r="H77" s="161">
        <v>1</v>
      </c>
      <c r="I77" s="161">
        <v>12</v>
      </c>
      <c r="J77" s="161">
        <v>95</v>
      </c>
      <c r="K77" s="161"/>
      <c r="L77" s="163">
        <v>-2.46</v>
      </c>
      <c r="M77" s="163">
        <v>-1.98</v>
      </c>
      <c r="N77" s="161">
        <v>-2.02</v>
      </c>
      <c r="O77" s="164" t="s">
        <v>1747</v>
      </c>
    </row>
    <row r="78" spans="1:15" ht="28.8">
      <c r="A78" s="161" t="s">
        <v>1910</v>
      </c>
      <c r="B78" s="161" t="s">
        <v>1752</v>
      </c>
      <c r="C78" s="161" t="s">
        <v>1744</v>
      </c>
      <c r="D78" s="162">
        <v>43971</v>
      </c>
      <c r="E78" s="161" t="s">
        <v>1911</v>
      </c>
      <c r="F78" s="161" t="s">
        <v>1784</v>
      </c>
      <c r="G78" s="161">
        <v>11</v>
      </c>
      <c r="H78" s="161">
        <v>3</v>
      </c>
      <c r="I78" s="161">
        <v>8</v>
      </c>
      <c r="J78" s="161">
        <v>80</v>
      </c>
      <c r="K78" s="161"/>
      <c r="L78" s="163">
        <v>-3.33</v>
      </c>
      <c r="M78" s="163">
        <v>-1.98</v>
      </c>
      <c r="N78" s="161">
        <v>-3.34</v>
      </c>
      <c r="O78" s="164" t="s">
        <v>1790</v>
      </c>
    </row>
    <row r="79" spans="1:15" ht="57.6">
      <c r="A79" s="161" t="s">
        <v>1912</v>
      </c>
      <c r="B79" s="161" t="s">
        <v>1752</v>
      </c>
      <c r="C79" s="161" t="s">
        <v>1779</v>
      </c>
      <c r="D79" s="162">
        <v>42911</v>
      </c>
      <c r="E79" s="161" t="s">
        <v>1913</v>
      </c>
      <c r="F79" s="161" t="s">
        <v>1784</v>
      </c>
      <c r="G79" s="161">
        <v>5</v>
      </c>
      <c r="H79" s="161">
        <v>11</v>
      </c>
      <c r="I79" s="161">
        <v>12</v>
      </c>
      <c r="J79" s="161">
        <v>109</v>
      </c>
      <c r="K79" s="161"/>
      <c r="L79" s="163">
        <v>-3.03</v>
      </c>
      <c r="M79" s="163">
        <v>0.21</v>
      </c>
      <c r="N79" s="161">
        <v>-4.79</v>
      </c>
      <c r="O79" s="164" t="s">
        <v>1790</v>
      </c>
    </row>
    <row r="80" spans="1:15" ht="28.8">
      <c r="A80" s="161" t="s">
        <v>1914</v>
      </c>
      <c r="B80" s="161" t="s">
        <v>1752</v>
      </c>
      <c r="C80" s="161" t="s">
        <v>1744</v>
      </c>
      <c r="D80" s="162">
        <v>44161</v>
      </c>
      <c r="E80" s="161" t="s">
        <v>1802</v>
      </c>
      <c r="F80" s="161" t="s">
        <v>1784</v>
      </c>
      <c r="G80" s="161">
        <v>3</v>
      </c>
      <c r="H80" s="161">
        <v>7</v>
      </c>
      <c r="I80" s="161">
        <v>8</v>
      </c>
      <c r="J80" s="161">
        <v>77</v>
      </c>
      <c r="K80" s="161"/>
      <c r="L80" s="163">
        <v>-2.37</v>
      </c>
      <c r="M80" s="163">
        <v>-1.03</v>
      </c>
      <c r="N80" s="161">
        <v>-2.66</v>
      </c>
      <c r="O80" s="164" t="s">
        <v>1747</v>
      </c>
    </row>
    <row r="81" spans="1:15" ht="43.2">
      <c r="A81" s="161" t="s">
        <v>1915</v>
      </c>
      <c r="B81" s="161" t="s">
        <v>1752</v>
      </c>
      <c r="C81" s="161" t="s">
        <v>1755</v>
      </c>
      <c r="D81" s="162">
        <v>44541</v>
      </c>
      <c r="E81" s="161" t="s">
        <v>1806</v>
      </c>
      <c r="F81" s="161" t="s">
        <v>1807</v>
      </c>
      <c r="G81" s="161">
        <v>11</v>
      </c>
      <c r="H81" s="161">
        <v>3</v>
      </c>
      <c r="I81" s="161">
        <v>6</v>
      </c>
      <c r="J81" s="161">
        <v>65</v>
      </c>
      <c r="K81" s="161"/>
      <c r="L81" s="163">
        <v>-0.47</v>
      </c>
      <c r="M81" s="163">
        <v>1.81</v>
      </c>
      <c r="N81" s="161">
        <v>-2.41</v>
      </c>
      <c r="O81" s="164" t="s">
        <v>1747</v>
      </c>
    </row>
    <row r="82" spans="1:15" ht="43.2">
      <c r="A82" s="161" t="s">
        <v>1916</v>
      </c>
      <c r="B82" s="161" t="s">
        <v>1743</v>
      </c>
      <c r="C82" s="161" t="s">
        <v>1744</v>
      </c>
      <c r="D82" s="162">
        <v>44063</v>
      </c>
      <c r="E82" s="161" t="s">
        <v>1809</v>
      </c>
      <c r="F82" s="161" t="s">
        <v>1807</v>
      </c>
      <c r="G82" s="161">
        <v>5</v>
      </c>
      <c r="H82" s="161">
        <v>3</v>
      </c>
      <c r="I82" s="161">
        <v>13</v>
      </c>
      <c r="J82" s="161">
        <v>102</v>
      </c>
      <c r="K82" s="161"/>
      <c r="L82" s="163">
        <v>1.78</v>
      </c>
      <c r="M82" s="163">
        <v>7.01</v>
      </c>
      <c r="N82" s="161">
        <v>-2.0699999999999998</v>
      </c>
      <c r="O82" s="164" t="s">
        <v>1747</v>
      </c>
    </row>
    <row r="83" spans="1:15" ht="28.8">
      <c r="A83" s="161" t="s">
        <v>1917</v>
      </c>
      <c r="B83" s="161" t="s">
        <v>1743</v>
      </c>
      <c r="C83" s="161" t="s">
        <v>1749</v>
      </c>
      <c r="D83" s="162">
        <v>43882</v>
      </c>
      <c r="E83" s="161" t="s">
        <v>1918</v>
      </c>
      <c r="F83" s="161" t="s">
        <v>1746</v>
      </c>
      <c r="G83" s="161">
        <v>4</v>
      </c>
      <c r="H83" s="161">
        <v>8</v>
      </c>
      <c r="I83" s="161">
        <v>10</v>
      </c>
      <c r="J83" s="161">
        <v>88</v>
      </c>
      <c r="K83" s="161"/>
      <c r="L83" s="163">
        <v>-1.23</v>
      </c>
      <c r="M83" s="163">
        <v>0.32</v>
      </c>
      <c r="N83" s="161">
        <v>-2.09</v>
      </c>
      <c r="O83" s="164" t="s">
        <v>1747</v>
      </c>
    </row>
    <row r="84" spans="1:15" ht="28.8">
      <c r="A84" s="161" t="s">
        <v>1919</v>
      </c>
      <c r="B84" s="161" t="s">
        <v>1743</v>
      </c>
      <c r="C84" s="161" t="s">
        <v>1744</v>
      </c>
      <c r="D84" s="162">
        <v>44000</v>
      </c>
      <c r="E84" s="161" t="s">
        <v>1764</v>
      </c>
      <c r="F84" s="161" t="s">
        <v>1746</v>
      </c>
      <c r="G84" s="161">
        <v>4</v>
      </c>
      <c r="H84" s="161">
        <v>7</v>
      </c>
      <c r="I84" s="161">
        <v>9</v>
      </c>
      <c r="J84" s="161">
        <v>84</v>
      </c>
      <c r="K84" s="161"/>
      <c r="L84" s="163">
        <v>-1.52</v>
      </c>
      <c r="M84" s="163">
        <v>0.19</v>
      </c>
      <c r="N84" s="161">
        <v>-2.3199999999999998</v>
      </c>
      <c r="O84" s="164" t="s">
        <v>1747</v>
      </c>
    </row>
    <row r="85" spans="1:15" ht="28.8">
      <c r="A85" s="161" t="s">
        <v>1920</v>
      </c>
      <c r="B85" s="161" t="s">
        <v>1743</v>
      </c>
      <c r="C85" s="161" t="s">
        <v>1786</v>
      </c>
      <c r="D85" s="162">
        <v>43418</v>
      </c>
      <c r="E85" s="161" t="s">
        <v>1753</v>
      </c>
      <c r="F85" s="161" t="s">
        <v>1746</v>
      </c>
      <c r="G85" s="161">
        <v>1</v>
      </c>
      <c r="H85" s="161">
        <v>2</v>
      </c>
      <c r="I85" s="161">
        <v>10</v>
      </c>
      <c r="J85" s="161">
        <v>90</v>
      </c>
      <c r="K85" s="161"/>
      <c r="L85" s="163">
        <v>-3.03</v>
      </c>
      <c r="M85" s="163">
        <v>-2.1</v>
      </c>
      <c r="N85" s="161">
        <v>-2.59</v>
      </c>
      <c r="O85" s="164" t="s">
        <v>1747</v>
      </c>
    </row>
    <row r="86" spans="1:15" ht="43.2">
      <c r="A86" s="161" t="s">
        <v>1921</v>
      </c>
      <c r="B86" s="161" t="s">
        <v>1743</v>
      </c>
      <c r="C86" s="161" t="s">
        <v>1749</v>
      </c>
      <c r="D86" s="162">
        <v>43789</v>
      </c>
      <c r="E86" s="161" t="s">
        <v>1826</v>
      </c>
      <c r="F86" s="161" t="s">
        <v>1769</v>
      </c>
      <c r="G86" s="161">
        <v>2</v>
      </c>
      <c r="H86" s="161">
        <v>2</v>
      </c>
      <c r="I86" s="161">
        <v>9.1</v>
      </c>
      <c r="J86" s="161">
        <v>80.5</v>
      </c>
      <c r="K86" s="161">
        <v>13</v>
      </c>
      <c r="L86" s="163">
        <v>-2.2200000000000002</v>
      </c>
      <c r="M86" s="163">
        <v>-2.0499999999999998</v>
      </c>
      <c r="N86" s="161">
        <v>-1.47</v>
      </c>
      <c r="O86" s="164" t="s">
        <v>1760</v>
      </c>
    </row>
    <row r="87" spans="1:15" ht="43.2">
      <c r="A87" s="161" t="s">
        <v>1922</v>
      </c>
      <c r="B87" s="161" t="s">
        <v>1752</v>
      </c>
      <c r="C87" s="161" t="s">
        <v>1749</v>
      </c>
      <c r="D87" s="162">
        <v>43589</v>
      </c>
      <c r="E87" s="161" t="s">
        <v>1771</v>
      </c>
      <c r="F87" s="161" t="s">
        <v>1769</v>
      </c>
      <c r="G87" s="161">
        <v>2</v>
      </c>
      <c r="H87" s="161">
        <v>8</v>
      </c>
      <c r="I87" s="161">
        <v>10</v>
      </c>
      <c r="J87" s="161">
        <v>82.7</v>
      </c>
      <c r="K87" s="161">
        <v>14.3</v>
      </c>
      <c r="L87" s="163">
        <v>-2.69</v>
      </c>
      <c r="M87" s="163">
        <v>-3.12</v>
      </c>
      <c r="N87" s="161">
        <v>-1.32</v>
      </c>
      <c r="O87" s="164" t="s">
        <v>1760</v>
      </c>
    </row>
    <row r="88" spans="1:15" ht="43.2">
      <c r="A88" s="161" t="s">
        <v>1923</v>
      </c>
      <c r="B88" s="161" t="s">
        <v>1743</v>
      </c>
      <c r="C88" s="161" t="s">
        <v>1749</v>
      </c>
      <c r="D88" s="162">
        <v>43853</v>
      </c>
      <c r="E88" s="161" t="s">
        <v>1924</v>
      </c>
      <c r="F88" s="161" t="s">
        <v>1769</v>
      </c>
      <c r="G88" s="161">
        <v>4</v>
      </c>
      <c r="H88" s="161">
        <v>8</v>
      </c>
      <c r="I88" s="161">
        <v>8.6999999999999993</v>
      </c>
      <c r="J88" s="161">
        <v>82</v>
      </c>
      <c r="K88" s="161">
        <v>13</v>
      </c>
      <c r="L88" s="163">
        <v>-2.5499999999999998</v>
      </c>
      <c r="M88" s="163">
        <v>-1.51</v>
      </c>
      <c r="N88" s="161">
        <v>-2.38</v>
      </c>
      <c r="O88" s="164" t="s">
        <v>1747</v>
      </c>
    </row>
    <row r="89" spans="1:15" ht="57.6">
      <c r="A89" s="161" t="s">
        <v>1925</v>
      </c>
      <c r="B89" s="161" t="s">
        <v>1752</v>
      </c>
      <c r="C89" s="161" t="s">
        <v>1779</v>
      </c>
      <c r="D89" s="162">
        <v>43011</v>
      </c>
      <c r="E89" s="161" t="s">
        <v>1768</v>
      </c>
      <c r="F89" s="161" t="s">
        <v>1769</v>
      </c>
      <c r="G89" s="161">
        <v>8</v>
      </c>
      <c r="H89" s="161">
        <v>1</v>
      </c>
      <c r="I89" s="161">
        <v>14</v>
      </c>
      <c r="J89" s="161">
        <v>104</v>
      </c>
      <c r="K89" s="161"/>
      <c r="L89" s="163">
        <v>-1.6</v>
      </c>
      <c r="M89" s="163">
        <v>-0.51</v>
      </c>
      <c r="N89" s="161">
        <v>-2.0299999999999998</v>
      </c>
      <c r="O89" s="164" t="s">
        <v>1747</v>
      </c>
    </row>
    <row r="90" spans="1:15" ht="43.2">
      <c r="A90" s="161" t="s">
        <v>1926</v>
      </c>
      <c r="B90" s="161" t="s">
        <v>1752</v>
      </c>
      <c r="C90" s="161" t="s">
        <v>1779</v>
      </c>
      <c r="D90" s="162">
        <v>43037</v>
      </c>
      <c r="E90" s="161" t="s">
        <v>1927</v>
      </c>
      <c r="F90" s="161" t="s">
        <v>1769</v>
      </c>
      <c r="G90" s="161">
        <v>3</v>
      </c>
      <c r="H90" s="161">
        <v>4</v>
      </c>
      <c r="I90" s="161">
        <v>14</v>
      </c>
      <c r="J90" s="161">
        <v>104</v>
      </c>
      <c r="K90" s="161"/>
      <c r="L90" s="163">
        <v>-1.55</v>
      </c>
      <c r="M90" s="163">
        <v>-0.41</v>
      </c>
      <c r="N90" s="161">
        <v>-2.0299999999999998</v>
      </c>
      <c r="O90" s="164" t="s">
        <v>1747</v>
      </c>
    </row>
    <row r="91" spans="1:15" ht="43.2">
      <c r="A91" s="161" t="s">
        <v>1928</v>
      </c>
      <c r="B91" s="161" t="s">
        <v>1752</v>
      </c>
      <c r="C91" s="161" t="s">
        <v>1779</v>
      </c>
      <c r="D91" s="162">
        <v>42859</v>
      </c>
      <c r="E91" s="161" t="s">
        <v>1929</v>
      </c>
      <c r="F91" s="161" t="s">
        <v>1769</v>
      </c>
      <c r="G91" s="161">
        <v>5</v>
      </c>
      <c r="H91" s="161">
        <v>10</v>
      </c>
      <c r="I91" s="161">
        <v>15.3</v>
      </c>
      <c r="J91" s="161">
        <v>110</v>
      </c>
      <c r="K91" s="161"/>
      <c r="L91" s="163">
        <v>-1.25</v>
      </c>
      <c r="M91" s="163">
        <v>0.22</v>
      </c>
      <c r="N91" s="161">
        <v>-2.2400000000000002</v>
      </c>
      <c r="O91" s="164" t="s">
        <v>1747</v>
      </c>
    </row>
    <row r="92" spans="1:15" ht="43.2">
      <c r="A92" s="161" t="s">
        <v>1930</v>
      </c>
      <c r="B92" s="161" t="s">
        <v>1752</v>
      </c>
      <c r="C92" s="161" t="s">
        <v>1755</v>
      </c>
      <c r="D92" s="162">
        <v>44586</v>
      </c>
      <c r="E92" s="161" t="s">
        <v>1931</v>
      </c>
      <c r="F92" s="161" t="s">
        <v>1769</v>
      </c>
      <c r="G92" s="161">
        <v>2</v>
      </c>
      <c r="H92" s="161">
        <v>1</v>
      </c>
      <c r="I92" s="161">
        <v>2.8</v>
      </c>
      <c r="J92" s="161">
        <v>49</v>
      </c>
      <c r="K92" s="161"/>
      <c r="L92" s="163">
        <v>-2.9</v>
      </c>
      <c r="M92" s="163">
        <v>-2.2000000000000002</v>
      </c>
      <c r="N92" s="161">
        <v>-1.78</v>
      </c>
      <c r="O92" s="164" t="s">
        <v>1760</v>
      </c>
    </row>
    <row r="93" spans="1:15" ht="43.2">
      <c r="A93" s="161" t="s">
        <v>1932</v>
      </c>
      <c r="B93" s="161" t="s">
        <v>1743</v>
      </c>
      <c r="C93" s="161" t="s">
        <v>1779</v>
      </c>
      <c r="D93" s="162">
        <v>43191</v>
      </c>
      <c r="E93" s="161" t="s">
        <v>1933</v>
      </c>
      <c r="F93" s="161" t="s">
        <v>1769</v>
      </c>
      <c r="G93" s="161">
        <v>4</v>
      </c>
      <c r="H93" s="161">
        <v>4</v>
      </c>
      <c r="I93" s="161">
        <v>8.6</v>
      </c>
      <c r="J93" s="161">
        <v>86</v>
      </c>
      <c r="K93" s="161"/>
      <c r="L93" s="163">
        <v>-4.55</v>
      </c>
      <c r="M93" s="163">
        <v>-3.98</v>
      </c>
      <c r="N93" s="161">
        <v>-3.39</v>
      </c>
      <c r="O93" s="164" t="s">
        <v>1790</v>
      </c>
    </row>
    <row r="94" spans="1:15" ht="43.2">
      <c r="A94" s="161" t="s">
        <v>1934</v>
      </c>
      <c r="B94" s="161" t="s">
        <v>1752</v>
      </c>
      <c r="C94" s="161" t="s">
        <v>1744</v>
      </c>
      <c r="D94" s="162">
        <v>44144</v>
      </c>
      <c r="E94" s="161" t="s">
        <v>1935</v>
      </c>
      <c r="F94" s="161" t="s">
        <v>1769</v>
      </c>
      <c r="G94" s="161">
        <v>4</v>
      </c>
      <c r="H94" s="161">
        <v>12</v>
      </c>
      <c r="I94" s="161">
        <v>7</v>
      </c>
      <c r="J94" s="161">
        <v>70.5</v>
      </c>
      <c r="K94" s="161"/>
      <c r="L94" s="163">
        <v>-3.6</v>
      </c>
      <c r="M94" s="163">
        <v>-3.75</v>
      </c>
      <c r="N94" s="161">
        <v>-2.4900000000000002</v>
      </c>
      <c r="O94" s="164" t="s">
        <v>1747</v>
      </c>
    </row>
    <row r="95" spans="1:15" ht="43.2">
      <c r="A95" s="161" t="s">
        <v>1936</v>
      </c>
      <c r="B95" s="161" t="s">
        <v>1752</v>
      </c>
      <c r="C95" s="161" t="s">
        <v>1779</v>
      </c>
      <c r="D95" s="162">
        <v>43113</v>
      </c>
      <c r="E95" s="161" t="s">
        <v>1937</v>
      </c>
      <c r="F95" s="161" t="s">
        <v>1769</v>
      </c>
      <c r="G95" s="161">
        <v>3</v>
      </c>
      <c r="H95" s="161">
        <v>10</v>
      </c>
      <c r="I95" s="161">
        <v>13.6</v>
      </c>
      <c r="J95" s="161">
        <v>98</v>
      </c>
      <c r="K95" s="161">
        <v>15</v>
      </c>
      <c r="L95" s="163">
        <v>-2.2599999999999998</v>
      </c>
      <c r="M95" s="163">
        <v>-2.57</v>
      </c>
      <c r="N95" s="161">
        <v>-1.07</v>
      </c>
      <c r="O95" s="164" t="s">
        <v>1760</v>
      </c>
    </row>
    <row r="96" spans="1:15" ht="43.2">
      <c r="A96" s="161" t="s">
        <v>1938</v>
      </c>
      <c r="B96" s="161" t="s">
        <v>1743</v>
      </c>
      <c r="C96" s="161" t="s">
        <v>1755</v>
      </c>
      <c r="D96" s="162">
        <v>44505</v>
      </c>
      <c r="E96" s="161" t="s">
        <v>1939</v>
      </c>
      <c r="F96" s="161" t="s">
        <v>1769</v>
      </c>
      <c r="G96" s="161">
        <v>4</v>
      </c>
      <c r="H96" s="161">
        <v>12</v>
      </c>
      <c r="I96" s="161">
        <v>5.4</v>
      </c>
      <c r="J96" s="161">
        <v>64.2</v>
      </c>
      <c r="K96" s="161"/>
      <c r="L96" s="163">
        <v>-1.36</v>
      </c>
      <c r="M96" s="163">
        <v>1.03</v>
      </c>
      <c r="N96" s="161">
        <v>-2.81</v>
      </c>
      <c r="O96" s="164" t="s">
        <v>1747</v>
      </c>
    </row>
    <row r="97" spans="1:15" ht="43.2">
      <c r="A97" s="161" t="s">
        <v>1940</v>
      </c>
      <c r="B97" s="161" t="s">
        <v>1743</v>
      </c>
      <c r="C97" s="161" t="s">
        <v>1779</v>
      </c>
      <c r="D97" s="162">
        <v>42860</v>
      </c>
      <c r="E97" s="161" t="s">
        <v>1941</v>
      </c>
      <c r="F97" s="161" t="s">
        <v>1769</v>
      </c>
      <c r="G97" s="161">
        <v>4</v>
      </c>
      <c r="H97" s="161">
        <v>4</v>
      </c>
      <c r="I97" s="161">
        <v>14</v>
      </c>
      <c r="J97" s="161">
        <v>107</v>
      </c>
      <c r="K97" s="161"/>
      <c r="L97" s="163">
        <v>-1.76</v>
      </c>
      <c r="M97" s="163">
        <v>-0.34</v>
      </c>
      <c r="N97" s="161">
        <v>-2.48</v>
      </c>
      <c r="O97" s="164" t="s">
        <v>1747</v>
      </c>
    </row>
    <row r="98" spans="1:15" ht="43.2">
      <c r="A98" s="161" t="s">
        <v>1942</v>
      </c>
      <c r="B98" s="161" t="s">
        <v>1743</v>
      </c>
      <c r="C98" s="161" t="s">
        <v>1744</v>
      </c>
      <c r="D98" s="162">
        <v>44312</v>
      </c>
      <c r="E98" s="161" t="s">
        <v>1943</v>
      </c>
      <c r="F98" s="161" t="s">
        <v>1769</v>
      </c>
      <c r="G98" s="161">
        <v>3</v>
      </c>
      <c r="H98" s="161">
        <v>10</v>
      </c>
      <c r="I98" s="161">
        <v>8</v>
      </c>
      <c r="J98" s="161">
        <v>75</v>
      </c>
      <c r="K98" s="161">
        <v>13</v>
      </c>
      <c r="L98" s="163">
        <v>-2.5</v>
      </c>
      <c r="M98" s="163">
        <v>-2.7</v>
      </c>
      <c r="N98" s="161">
        <v>-1.53</v>
      </c>
      <c r="O98" s="164" t="s">
        <v>1760</v>
      </c>
    </row>
    <row r="99" spans="1:15" ht="43.2">
      <c r="A99" s="161" t="s">
        <v>1944</v>
      </c>
      <c r="B99" s="161" t="s">
        <v>1752</v>
      </c>
      <c r="C99" s="161" t="s">
        <v>1749</v>
      </c>
      <c r="D99" s="162">
        <v>43669</v>
      </c>
      <c r="E99" s="161" t="s">
        <v>1945</v>
      </c>
      <c r="F99" s="161" t="s">
        <v>1769</v>
      </c>
      <c r="G99" s="161">
        <v>7</v>
      </c>
      <c r="H99" s="161">
        <v>12</v>
      </c>
      <c r="I99" s="161">
        <v>10</v>
      </c>
      <c r="J99" s="161">
        <v>86</v>
      </c>
      <c r="K99" s="161">
        <v>15.5</v>
      </c>
      <c r="L99" s="163">
        <v>-2.71</v>
      </c>
      <c r="M99" s="163">
        <v>-2.41</v>
      </c>
      <c r="N99" s="161">
        <v>-2.0299999999999998</v>
      </c>
      <c r="O99" s="164" t="s">
        <v>1747</v>
      </c>
    </row>
    <row r="100" spans="1:15" ht="43.2">
      <c r="A100" s="161" t="s">
        <v>1946</v>
      </c>
      <c r="B100" s="161" t="s">
        <v>1752</v>
      </c>
      <c r="C100" s="161" t="s">
        <v>1749</v>
      </c>
      <c r="D100" s="162">
        <v>43636</v>
      </c>
      <c r="E100" s="161" t="s">
        <v>1947</v>
      </c>
      <c r="F100" s="161" t="s">
        <v>1769</v>
      </c>
      <c r="G100" s="161">
        <v>4</v>
      </c>
      <c r="H100" s="161">
        <v>4</v>
      </c>
      <c r="I100" s="161">
        <v>11.3</v>
      </c>
      <c r="J100" s="161">
        <v>94.3</v>
      </c>
      <c r="K100" s="161"/>
      <c r="L100" s="163">
        <v>-1.77</v>
      </c>
      <c r="M100" s="163">
        <v>-0.06</v>
      </c>
      <c r="N100" s="161">
        <v>-2.66</v>
      </c>
      <c r="O100" s="164" t="s">
        <v>1747</v>
      </c>
    </row>
    <row r="101" spans="1:15" ht="43.2">
      <c r="A101" s="161" t="s">
        <v>1948</v>
      </c>
      <c r="B101" s="161" t="s">
        <v>1752</v>
      </c>
      <c r="C101" s="161" t="s">
        <v>1755</v>
      </c>
      <c r="D101" s="162">
        <v>44445</v>
      </c>
      <c r="E101" s="161" t="s">
        <v>1949</v>
      </c>
      <c r="F101" s="161" t="s">
        <v>1769</v>
      </c>
      <c r="G101" s="161">
        <v>4</v>
      </c>
      <c r="H101" s="161">
        <v>1</v>
      </c>
      <c r="I101" s="161">
        <v>7.1</v>
      </c>
      <c r="J101" s="161">
        <v>70.400000000000006</v>
      </c>
      <c r="K101" s="161"/>
      <c r="L101" s="163">
        <v>-1.45</v>
      </c>
      <c r="M101" s="163">
        <v>0.5</v>
      </c>
      <c r="N101" s="161">
        <v>-2.2799999999999998</v>
      </c>
      <c r="O101" s="164" t="s">
        <v>1747</v>
      </c>
    </row>
    <row r="102" spans="1:15" ht="43.2">
      <c r="A102" s="161" t="s">
        <v>1950</v>
      </c>
      <c r="B102" s="161" t="s">
        <v>1752</v>
      </c>
      <c r="C102" s="161" t="s">
        <v>1786</v>
      </c>
      <c r="D102" s="162">
        <v>43530</v>
      </c>
      <c r="E102" s="161" t="s">
        <v>1951</v>
      </c>
      <c r="F102" s="161" t="s">
        <v>1769</v>
      </c>
      <c r="G102" s="161">
        <v>4</v>
      </c>
      <c r="H102" s="161">
        <v>4</v>
      </c>
      <c r="I102" s="161">
        <v>10.8</v>
      </c>
      <c r="J102" s="161">
        <v>90</v>
      </c>
      <c r="K102" s="161"/>
      <c r="L102" s="163">
        <v>-2.4700000000000002</v>
      </c>
      <c r="M102" s="163">
        <v>-1.83</v>
      </c>
      <c r="N102" s="161">
        <v>-2.27</v>
      </c>
      <c r="O102" s="164" t="s">
        <v>1747</v>
      </c>
    </row>
    <row r="103" spans="1:15" ht="43.2">
      <c r="A103" s="161" t="s">
        <v>1952</v>
      </c>
      <c r="B103" s="161" t="s">
        <v>1752</v>
      </c>
      <c r="C103" s="161" t="s">
        <v>1749</v>
      </c>
      <c r="D103" s="162">
        <v>43647</v>
      </c>
      <c r="E103" s="161" t="s">
        <v>1953</v>
      </c>
      <c r="F103" s="161" t="s">
        <v>1769</v>
      </c>
      <c r="G103" s="161">
        <v>4</v>
      </c>
      <c r="H103" s="161">
        <v>4</v>
      </c>
      <c r="I103" s="161">
        <v>11.7</v>
      </c>
      <c r="J103" s="161">
        <v>90</v>
      </c>
      <c r="K103" s="161">
        <v>14.5</v>
      </c>
      <c r="L103" s="163">
        <v>-2.2400000000000002</v>
      </c>
      <c r="M103" s="163">
        <v>-2.5299999999999998</v>
      </c>
      <c r="N103" s="161">
        <v>-1.22</v>
      </c>
      <c r="O103" s="164" t="s">
        <v>1760</v>
      </c>
    </row>
    <row r="104" spans="1:15" ht="43.2">
      <c r="A104" s="161" t="s">
        <v>1954</v>
      </c>
      <c r="B104" s="161" t="s">
        <v>1752</v>
      </c>
      <c r="C104" s="161" t="s">
        <v>1744</v>
      </c>
      <c r="D104" s="162">
        <v>43950</v>
      </c>
      <c r="E104" s="161" t="s">
        <v>1955</v>
      </c>
      <c r="F104" s="161" t="s">
        <v>1769</v>
      </c>
      <c r="G104" s="161">
        <v>5</v>
      </c>
      <c r="H104" s="161">
        <v>12</v>
      </c>
      <c r="I104" s="161">
        <v>9.1999999999999993</v>
      </c>
      <c r="J104" s="161">
        <v>83.5</v>
      </c>
      <c r="K104" s="161">
        <v>13.2</v>
      </c>
      <c r="L104" s="163">
        <v>-2.35</v>
      </c>
      <c r="M104" s="163">
        <v>-1.01</v>
      </c>
      <c r="N104" s="161">
        <v>-2.61</v>
      </c>
      <c r="O104" s="164" t="s">
        <v>1747</v>
      </c>
    </row>
    <row r="105" spans="1:15" ht="43.2">
      <c r="A105" s="161" t="s">
        <v>1956</v>
      </c>
      <c r="B105" s="161" t="s">
        <v>1743</v>
      </c>
      <c r="C105" s="161" t="s">
        <v>1744</v>
      </c>
      <c r="D105" s="162">
        <v>44259</v>
      </c>
      <c r="E105" s="161" t="s">
        <v>1957</v>
      </c>
      <c r="F105" s="161" t="s">
        <v>1769</v>
      </c>
      <c r="G105" s="161">
        <v>4</v>
      </c>
      <c r="H105" s="161">
        <v>4</v>
      </c>
      <c r="I105" s="161">
        <v>7.2</v>
      </c>
      <c r="J105" s="161">
        <v>72.900000000000006</v>
      </c>
      <c r="K105" s="161"/>
      <c r="L105" s="163">
        <v>-2.06</v>
      </c>
      <c r="M105" s="163">
        <v>-0.97</v>
      </c>
      <c r="N105" s="161">
        <v>-2.2400000000000002</v>
      </c>
      <c r="O105" s="164" t="s">
        <v>1747</v>
      </c>
    </row>
    <row r="106" spans="1:15" ht="43.2">
      <c r="A106" s="161" t="s">
        <v>1958</v>
      </c>
      <c r="B106" s="161" t="s">
        <v>1743</v>
      </c>
      <c r="C106" s="161" t="s">
        <v>1779</v>
      </c>
      <c r="D106" s="162">
        <v>43176</v>
      </c>
      <c r="E106" s="161" t="s">
        <v>1959</v>
      </c>
      <c r="F106" s="161" t="s">
        <v>1769</v>
      </c>
      <c r="G106" s="161">
        <v>4</v>
      </c>
      <c r="H106" s="161">
        <v>4</v>
      </c>
      <c r="I106" s="161">
        <v>13.2</v>
      </c>
      <c r="J106" s="161">
        <v>102.3</v>
      </c>
      <c r="K106" s="161"/>
      <c r="L106" s="163">
        <v>-1.56</v>
      </c>
      <c r="M106" s="163">
        <v>-0.27</v>
      </c>
      <c r="N106" s="161">
        <v>-2.11</v>
      </c>
      <c r="O106" s="164" t="s">
        <v>1747</v>
      </c>
    </row>
    <row r="107" spans="1:15" ht="43.2">
      <c r="A107" s="161" t="s">
        <v>1960</v>
      </c>
      <c r="B107" s="161" t="s">
        <v>1752</v>
      </c>
      <c r="C107" s="161" t="s">
        <v>1779</v>
      </c>
      <c r="D107" s="162">
        <v>43181</v>
      </c>
      <c r="E107" s="161" t="s">
        <v>1961</v>
      </c>
      <c r="F107" s="161" t="s">
        <v>1769</v>
      </c>
      <c r="G107" s="161">
        <v>4</v>
      </c>
      <c r="H107" s="161">
        <v>4</v>
      </c>
      <c r="I107" s="161">
        <v>13.2</v>
      </c>
      <c r="J107" s="161">
        <v>102</v>
      </c>
      <c r="K107" s="161"/>
      <c r="L107" s="163">
        <v>-1.78</v>
      </c>
      <c r="M107" s="163">
        <v>-0.46</v>
      </c>
      <c r="N107" s="161">
        <v>-2.34</v>
      </c>
      <c r="O107" s="164" t="s">
        <v>1747</v>
      </c>
    </row>
    <row r="108" spans="1:15" ht="43.2">
      <c r="A108" s="161" t="s">
        <v>1962</v>
      </c>
      <c r="B108" s="161" t="s">
        <v>1752</v>
      </c>
      <c r="C108" s="161" t="s">
        <v>1779</v>
      </c>
      <c r="D108" s="162">
        <v>43189</v>
      </c>
      <c r="E108" s="161" t="s">
        <v>1963</v>
      </c>
      <c r="F108" s="161" t="s">
        <v>1769</v>
      </c>
      <c r="G108" s="161">
        <v>3</v>
      </c>
      <c r="H108" s="161">
        <v>10</v>
      </c>
      <c r="I108" s="161">
        <v>13.5</v>
      </c>
      <c r="J108" s="161">
        <v>102.6</v>
      </c>
      <c r="K108" s="161"/>
      <c r="L108" s="163">
        <v>-1.58</v>
      </c>
      <c r="M108" s="163">
        <v>-0.28000000000000003</v>
      </c>
      <c r="N108" s="161">
        <v>-2.1800000000000002</v>
      </c>
      <c r="O108" s="164" t="s">
        <v>1747</v>
      </c>
    </row>
    <row r="109" spans="1:15" ht="57.6">
      <c r="A109" s="161" t="s">
        <v>1964</v>
      </c>
      <c r="B109" s="161" t="s">
        <v>1752</v>
      </c>
      <c r="C109" s="161" t="s">
        <v>1779</v>
      </c>
      <c r="D109" s="162">
        <v>43197</v>
      </c>
      <c r="E109" s="161" t="s">
        <v>1965</v>
      </c>
      <c r="F109" s="161" t="s">
        <v>1769</v>
      </c>
      <c r="G109" s="161">
        <v>5</v>
      </c>
      <c r="H109" s="161">
        <v>12</v>
      </c>
      <c r="I109" s="161">
        <v>12.9</v>
      </c>
      <c r="J109" s="161">
        <v>101.8</v>
      </c>
      <c r="K109" s="161"/>
      <c r="L109" s="163">
        <v>-1.92</v>
      </c>
      <c r="M109" s="163">
        <v>-0.44</v>
      </c>
      <c r="N109" s="161">
        <v>-2.59</v>
      </c>
      <c r="O109" s="164" t="s">
        <v>1747</v>
      </c>
    </row>
    <row r="110" spans="1:15" ht="43.2">
      <c r="A110" s="161" t="s">
        <v>1966</v>
      </c>
      <c r="B110" s="161" t="s">
        <v>1752</v>
      </c>
      <c r="C110" s="161" t="s">
        <v>1779</v>
      </c>
      <c r="D110" s="162">
        <v>43205</v>
      </c>
      <c r="E110" s="161" t="s">
        <v>1967</v>
      </c>
      <c r="F110" s="161" t="s">
        <v>1769</v>
      </c>
      <c r="G110" s="161">
        <v>7</v>
      </c>
      <c r="H110" s="161">
        <v>12</v>
      </c>
      <c r="I110" s="161">
        <v>13</v>
      </c>
      <c r="J110" s="161">
        <v>102</v>
      </c>
      <c r="K110" s="161"/>
      <c r="L110" s="163">
        <v>-1.84</v>
      </c>
      <c r="M110" s="163">
        <v>-0.36</v>
      </c>
      <c r="N110" s="161">
        <v>-2.5299999999999998</v>
      </c>
      <c r="O110" s="164" t="s">
        <v>1747</v>
      </c>
    </row>
    <row r="111" spans="1:15" ht="43.2">
      <c r="A111" s="161" t="s">
        <v>1968</v>
      </c>
      <c r="B111" s="161" t="s">
        <v>1752</v>
      </c>
      <c r="C111" s="161" t="s">
        <v>1786</v>
      </c>
      <c r="D111" s="162">
        <v>43226</v>
      </c>
      <c r="E111" s="161" t="s">
        <v>1941</v>
      </c>
      <c r="F111" s="161" t="s">
        <v>1769</v>
      </c>
      <c r="G111" s="161">
        <v>4</v>
      </c>
      <c r="H111" s="161">
        <v>4</v>
      </c>
      <c r="I111" s="161">
        <v>13.2</v>
      </c>
      <c r="J111" s="161">
        <v>101.6</v>
      </c>
      <c r="K111" s="161"/>
      <c r="L111" s="163">
        <v>-1.67</v>
      </c>
      <c r="M111" s="163">
        <v>-0.36</v>
      </c>
      <c r="N111" s="161">
        <v>-2.25</v>
      </c>
      <c r="O111" s="164" t="s">
        <v>1747</v>
      </c>
    </row>
    <row r="112" spans="1:15" ht="43.2">
      <c r="A112" s="161" t="s">
        <v>1969</v>
      </c>
      <c r="B112" s="161" t="s">
        <v>1752</v>
      </c>
      <c r="C112" s="161" t="s">
        <v>1786</v>
      </c>
      <c r="D112" s="162">
        <v>43242</v>
      </c>
      <c r="E112" s="161" t="s">
        <v>1970</v>
      </c>
      <c r="F112" s="161" t="s">
        <v>1769</v>
      </c>
      <c r="G112" s="161">
        <v>5</v>
      </c>
      <c r="H112" s="161">
        <v>12</v>
      </c>
      <c r="I112" s="161">
        <v>13</v>
      </c>
      <c r="J112" s="161">
        <v>101</v>
      </c>
      <c r="K112" s="161"/>
      <c r="L112" s="163">
        <v>-1.75</v>
      </c>
      <c r="M112" s="163">
        <v>-0.43</v>
      </c>
      <c r="N112" s="161">
        <v>-2.31</v>
      </c>
      <c r="O112" s="164" t="s">
        <v>1747</v>
      </c>
    </row>
    <row r="113" spans="1:15" ht="43.2">
      <c r="A113" s="161" t="s">
        <v>1971</v>
      </c>
      <c r="B113" s="161" t="s">
        <v>1752</v>
      </c>
      <c r="C113" s="161" t="s">
        <v>1786</v>
      </c>
      <c r="D113" s="162">
        <v>43245</v>
      </c>
      <c r="E113" s="161" t="s">
        <v>1951</v>
      </c>
      <c r="F113" s="161" t="s">
        <v>1769</v>
      </c>
      <c r="G113" s="161">
        <v>4</v>
      </c>
      <c r="H113" s="161">
        <v>4</v>
      </c>
      <c r="I113" s="161">
        <v>13.4</v>
      </c>
      <c r="J113" s="161">
        <v>102</v>
      </c>
      <c r="K113" s="161"/>
      <c r="L113" s="163">
        <v>-1.5</v>
      </c>
      <c r="M113" s="163">
        <v>-0.18</v>
      </c>
      <c r="N113" s="161">
        <v>-2.14</v>
      </c>
      <c r="O113" s="164" t="s">
        <v>1747</v>
      </c>
    </row>
    <row r="114" spans="1:15" ht="43.2">
      <c r="A114" s="161" t="s">
        <v>1972</v>
      </c>
      <c r="B114" s="161" t="s">
        <v>1743</v>
      </c>
      <c r="C114" s="161" t="s">
        <v>1786</v>
      </c>
      <c r="D114" s="162">
        <v>43267</v>
      </c>
      <c r="E114" s="161" t="s">
        <v>1973</v>
      </c>
      <c r="F114" s="161" t="s">
        <v>1774</v>
      </c>
      <c r="G114" s="161">
        <v>5</v>
      </c>
      <c r="H114" s="161">
        <v>12</v>
      </c>
      <c r="I114" s="161">
        <v>13.1</v>
      </c>
      <c r="J114" s="161">
        <v>101.6</v>
      </c>
      <c r="K114" s="161"/>
      <c r="L114" s="163">
        <v>-1.38</v>
      </c>
      <c r="M114" s="163">
        <v>-0.02</v>
      </c>
      <c r="N114" s="161">
        <v>-2.0499999999999998</v>
      </c>
      <c r="O114" s="164" t="s">
        <v>1747</v>
      </c>
    </row>
    <row r="115" spans="1:15" ht="72">
      <c r="A115" s="161" t="s">
        <v>1974</v>
      </c>
      <c r="B115" s="161" t="s">
        <v>1752</v>
      </c>
      <c r="C115" s="161" t="s">
        <v>1786</v>
      </c>
      <c r="D115" s="162">
        <v>43330</v>
      </c>
      <c r="E115" s="161" t="s">
        <v>1975</v>
      </c>
      <c r="F115" s="161" t="s">
        <v>1774</v>
      </c>
      <c r="G115" s="161"/>
      <c r="H115" s="161">
        <v>3</v>
      </c>
      <c r="I115" s="161">
        <v>12.6</v>
      </c>
      <c r="J115" s="161">
        <v>102.4</v>
      </c>
      <c r="K115" s="161"/>
      <c r="L115" s="163">
        <v>-1.78</v>
      </c>
      <c r="M115" s="163">
        <v>0.31</v>
      </c>
      <c r="N115" s="161">
        <v>-3.02</v>
      </c>
      <c r="O115" s="164" t="s">
        <v>1790</v>
      </c>
    </row>
    <row r="116" spans="1:15" ht="43.2">
      <c r="A116" s="161" t="s">
        <v>1976</v>
      </c>
      <c r="B116" s="161" t="s">
        <v>1752</v>
      </c>
      <c r="C116" s="161" t="s">
        <v>1786</v>
      </c>
      <c r="D116" s="162">
        <v>43353</v>
      </c>
      <c r="E116" s="161" t="s">
        <v>1977</v>
      </c>
      <c r="F116" s="161" t="s">
        <v>1774</v>
      </c>
      <c r="G116" s="161">
        <v>1</v>
      </c>
      <c r="H116" s="161">
        <v>1</v>
      </c>
      <c r="I116" s="161">
        <v>13.4</v>
      </c>
      <c r="J116" s="161">
        <v>101.6</v>
      </c>
      <c r="K116" s="161"/>
      <c r="L116" s="163">
        <v>-1.22</v>
      </c>
      <c r="M116" s="163">
        <v>0.22</v>
      </c>
      <c r="N116" s="161">
        <v>-2.0499999999999998</v>
      </c>
      <c r="O116" s="164" t="s">
        <v>1747</v>
      </c>
    </row>
    <row r="117" spans="1:15" ht="43.2">
      <c r="A117" s="161" t="s">
        <v>1978</v>
      </c>
      <c r="B117" s="161" t="s">
        <v>1743</v>
      </c>
      <c r="C117" s="161" t="s">
        <v>1786</v>
      </c>
      <c r="D117" s="162">
        <v>43367</v>
      </c>
      <c r="E117" s="161" t="s">
        <v>1979</v>
      </c>
      <c r="F117" s="161" t="s">
        <v>1774</v>
      </c>
      <c r="G117" s="161">
        <v>5</v>
      </c>
      <c r="H117" s="161">
        <v>1</v>
      </c>
      <c r="I117" s="161">
        <v>12.7</v>
      </c>
      <c r="J117" s="161">
        <v>101.7</v>
      </c>
      <c r="K117" s="161"/>
      <c r="L117" s="163">
        <v>-1.35</v>
      </c>
      <c r="M117" s="163">
        <v>0.5</v>
      </c>
      <c r="N117" s="161">
        <v>-2.44</v>
      </c>
      <c r="O117" s="164" t="s">
        <v>1747</v>
      </c>
    </row>
    <row r="118" spans="1:15" ht="43.2">
      <c r="A118" s="161" t="s">
        <v>1980</v>
      </c>
      <c r="B118" s="161" t="s">
        <v>1752</v>
      </c>
      <c r="C118" s="161" t="s">
        <v>1786</v>
      </c>
      <c r="D118" s="162">
        <v>43382</v>
      </c>
      <c r="E118" s="161" t="s">
        <v>1981</v>
      </c>
      <c r="F118" s="161" t="s">
        <v>1774</v>
      </c>
      <c r="G118" s="161">
        <v>4</v>
      </c>
      <c r="H118" s="161">
        <v>6</v>
      </c>
      <c r="I118" s="161">
        <v>13.1</v>
      </c>
      <c r="J118" s="161">
        <v>102</v>
      </c>
      <c r="K118" s="161"/>
      <c r="L118" s="163">
        <v>-1.32</v>
      </c>
      <c r="M118" s="163">
        <v>0.47</v>
      </c>
      <c r="N118" s="161">
        <v>-2.4300000000000002</v>
      </c>
      <c r="O118" s="164" t="s">
        <v>1747</v>
      </c>
    </row>
    <row r="119" spans="1:15" ht="43.2">
      <c r="A119" s="161" t="s">
        <v>1982</v>
      </c>
      <c r="B119" s="161" t="s">
        <v>1752</v>
      </c>
      <c r="C119" s="161" t="s">
        <v>1786</v>
      </c>
      <c r="D119" s="162">
        <v>43407</v>
      </c>
      <c r="E119" s="161" t="s">
        <v>1983</v>
      </c>
      <c r="F119" s="161" t="s">
        <v>1774</v>
      </c>
      <c r="G119" s="161">
        <v>1</v>
      </c>
      <c r="H119" s="161">
        <v>7</v>
      </c>
      <c r="I119" s="161">
        <v>12.7</v>
      </c>
      <c r="J119" s="161">
        <v>101.1</v>
      </c>
      <c r="K119" s="161"/>
      <c r="L119" s="163">
        <v>-1.51</v>
      </c>
      <c r="M119" s="163">
        <v>0.37</v>
      </c>
      <c r="N119" s="161">
        <v>-2.63</v>
      </c>
      <c r="O119" s="164" t="s">
        <v>1747</v>
      </c>
    </row>
    <row r="120" spans="1:15" ht="43.2">
      <c r="A120" s="161" t="s">
        <v>1984</v>
      </c>
      <c r="B120" s="161" t="s">
        <v>1743</v>
      </c>
      <c r="C120" s="161" t="s">
        <v>1786</v>
      </c>
      <c r="D120" s="162">
        <v>43418</v>
      </c>
      <c r="E120" s="161" t="s">
        <v>1985</v>
      </c>
      <c r="F120" s="161" t="s">
        <v>1774</v>
      </c>
      <c r="G120" s="161"/>
      <c r="H120" s="161"/>
      <c r="I120" s="161">
        <v>12.9</v>
      </c>
      <c r="J120" s="161">
        <v>101</v>
      </c>
      <c r="K120" s="161"/>
      <c r="L120" s="163">
        <v>-1.08</v>
      </c>
      <c r="M120" s="163">
        <v>0.6</v>
      </c>
      <c r="N120" s="161">
        <v>-2.1</v>
      </c>
      <c r="O120" s="164" t="s">
        <v>1747</v>
      </c>
    </row>
    <row r="121" spans="1:15" ht="43.2">
      <c r="A121" s="161" t="s">
        <v>1986</v>
      </c>
      <c r="B121" s="161" t="s">
        <v>1743</v>
      </c>
      <c r="C121" s="161" t="s">
        <v>1749</v>
      </c>
      <c r="D121" s="162">
        <v>43626</v>
      </c>
      <c r="E121" s="161" t="s">
        <v>1987</v>
      </c>
      <c r="F121" s="161" t="s">
        <v>1774</v>
      </c>
      <c r="G121" s="161">
        <v>4</v>
      </c>
      <c r="H121" s="161">
        <v>9</v>
      </c>
      <c r="I121" s="161">
        <v>11</v>
      </c>
      <c r="J121" s="161">
        <v>93.2</v>
      </c>
      <c r="K121" s="161"/>
      <c r="L121" s="163">
        <v>-1.69</v>
      </c>
      <c r="M121" s="163">
        <v>-0.21</v>
      </c>
      <c r="N121" s="161">
        <v>-2.33</v>
      </c>
      <c r="O121" s="164" t="s">
        <v>1747</v>
      </c>
    </row>
    <row r="122" spans="1:15" ht="43.2">
      <c r="A122" s="161" t="s">
        <v>1988</v>
      </c>
      <c r="B122" s="161" t="s">
        <v>1752</v>
      </c>
      <c r="C122" s="161" t="s">
        <v>1749</v>
      </c>
      <c r="D122" s="162">
        <v>43640</v>
      </c>
      <c r="E122" s="161" t="s">
        <v>1989</v>
      </c>
      <c r="F122" s="161" t="s">
        <v>1774</v>
      </c>
      <c r="G122" s="161">
        <v>3</v>
      </c>
      <c r="H122" s="161">
        <v>1</v>
      </c>
      <c r="I122" s="161">
        <v>11.2</v>
      </c>
      <c r="J122" s="161">
        <v>94</v>
      </c>
      <c r="K122" s="161"/>
      <c r="L122" s="163">
        <v>-1.87</v>
      </c>
      <c r="M122" s="163">
        <v>-0.21</v>
      </c>
      <c r="N122" s="161">
        <v>-2.71</v>
      </c>
      <c r="O122" s="164" t="s">
        <v>1747</v>
      </c>
    </row>
    <row r="123" spans="1:15" ht="43.2">
      <c r="A123" s="161" t="s">
        <v>1990</v>
      </c>
      <c r="B123" s="161" t="s">
        <v>1752</v>
      </c>
      <c r="C123" s="161" t="s">
        <v>1749</v>
      </c>
      <c r="D123" s="162">
        <v>43674</v>
      </c>
      <c r="E123" s="161" t="s">
        <v>1991</v>
      </c>
      <c r="F123" s="161" t="s">
        <v>1774</v>
      </c>
      <c r="G123" s="161">
        <v>4</v>
      </c>
      <c r="H123" s="161">
        <v>2</v>
      </c>
      <c r="I123" s="161">
        <v>11.8</v>
      </c>
      <c r="J123" s="161">
        <v>94.3</v>
      </c>
      <c r="K123" s="161"/>
      <c r="L123" s="163">
        <v>-1.32</v>
      </c>
      <c r="M123" s="163">
        <v>0.09</v>
      </c>
      <c r="N123" s="161">
        <v>-2.09</v>
      </c>
      <c r="O123" s="164" t="s">
        <v>1747</v>
      </c>
    </row>
    <row r="124" spans="1:15" ht="43.2">
      <c r="A124" s="161" t="s">
        <v>1992</v>
      </c>
      <c r="B124" s="161" t="s">
        <v>1752</v>
      </c>
      <c r="C124" s="161" t="s">
        <v>1749</v>
      </c>
      <c r="D124" s="162">
        <v>43707</v>
      </c>
      <c r="E124" s="161" t="s">
        <v>1993</v>
      </c>
      <c r="F124" s="161" t="s">
        <v>1774</v>
      </c>
      <c r="G124" s="161">
        <v>3</v>
      </c>
      <c r="H124" s="161">
        <v>6</v>
      </c>
      <c r="I124" s="161">
        <v>11.5</v>
      </c>
      <c r="J124" s="161">
        <v>94.3</v>
      </c>
      <c r="K124" s="161"/>
      <c r="L124" s="163">
        <v>-1.43</v>
      </c>
      <c r="M124" s="163">
        <v>0.3</v>
      </c>
      <c r="N124" s="161">
        <v>-2.4300000000000002</v>
      </c>
      <c r="O124" s="164" t="s">
        <v>1747</v>
      </c>
    </row>
    <row r="125" spans="1:15" ht="43.2">
      <c r="A125" s="161" t="s">
        <v>1994</v>
      </c>
      <c r="B125" s="161" t="s">
        <v>1743</v>
      </c>
      <c r="C125" s="161" t="s">
        <v>1749</v>
      </c>
      <c r="D125" s="162">
        <v>43748</v>
      </c>
      <c r="E125" s="161" t="s">
        <v>1995</v>
      </c>
      <c r="F125" s="161" t="s">
        <v>1774</v>
      </c>
      <c r="G125" s="161">
        <v>9</v>
      </c>
      <c r="H125" s="161">
        <v>1</v>
      </c>
      <c r="I125" s="161">
        <v>11.5</v>
      </c>
      <c r="J125" s="161">
        <v>94.3</v>
      </c>
      <c r="K125" s="161"/>
      <c r="L125" s="163">
        <v>-0.86</v>
      </c>
      <c r="M125" s="163">
        <v>0.92</v>
      </c>
      <c r="N125" s="161">
        <v>-2.0299999999999998</v>
      </c>
      <c r="O125" s="164" t="s">
        <v>1747</v>
      </c>
    </row>
    <row r="126" spans="1:15" ht="43.2">
      <c r="A126" s="161" t="s">
        <v>1996</v>
      </c>
      <c r="B126" s="161" t="s">
        <v>1752</v>
      </c>
      <c r="C126" s="161" t="s">
        <v>1749</v>
      </c>
      <c r="D126" s="162">
        <v>43758</v>
      </c>
      <c r="E126" s="161" t="s">
        <v>1997</v>
      </c>
      <c r="F126" s="161" t="s">
        <v>1774</v>
      </c>
      <c r="G126" s="161">
        <v>6</v>
      </c>
      <c r="H126" s="161">
        <v>7</v>
      </c>
      <c r="I126" s="161">
        <v>11.3</v>
      </c>
      <c r="J126" s="161">
        <v>93.2</v>
      </c>
      <c r="K126" s="161"/>
      <c r="L126" s="163">
        <v>-1.4</v>
      </c>
      <c r="M126" s="163">
        <v>0.34</v>
      </c>
      <c r="N126" s="161">
        <v>-2.42</v>
      </c>
      <c r="O126" s="164" t="s">
        <v>1747</v>
      </c>
    </row>
    <row r="127" spans="1:15" ht="43.2">
      <c r="A127" s="161" t="s">
        <v>1998</v>
      </c>
      <c r="B127" s="161" t="s">
        <v>1752</v>
      </c>
      <c r="C127" s="161" t="s">
        <v>1749</v>
      </c>
      <c r="D127" s="162">
        <v>43782</v>
      </c>
      <c r="E127" s="161" t="s">
        <v>1999</v>
      </c>
      <c r="F127" s="161" t="s">
        <v>1774</v>
      </c>
      <c r="G127" s="161">
        <v>2</v>
      </c>
      <c r="H127" s="161">
        <v>8</v>
      </c>
      <c r="I127" s="161">
        <v>11.6</v>
      </c>
      <c r="J127" s="161">
        <v>94</v>
      </c>
      <c r="K127" s="161"/>
      <c r="L127" s="163">
        <v>-1.0900000000000001</v>
      </c>
      <c r="M127" s="163">
        <v>0.76</v>
      </c>
      <c r="N127" s="161">
        <v>-2.25</v>
      </c>
      <c r="O127" s="164" t="s">
        <v>1747</v>
      </c>
    </row>
    <row r="128" spans="1:15" ht="43.2">
      <c r="A128" s="161" t="s">
        <v>2000</v>
      </c>
      <c r="B128" s="161" t="s">
        <v>1752</v>
      </c>
      <c r="C128" s="161" t="s">
        <v>1749</v>
      </c>
      <c r="D128" s="162">
        <v>43788</v>
      </c>
      <c r="E128" s="161" t="s">
        <v>2001</v>
      </c>
      <c r="F128" s="161" t="s">
        <v>1777</v>
      </c>
      <c r="G128" s="161">
        <v>2</v>
      </c>
      <c r="H128" s="161">
        <v>8</v>
      </c>
      <c r="I128" s="161">
        <v>11.5</v>
      </c>
      <c r="J128" s="161">
        <v>93.1</v>
      </c>
      <c r="K128" s="161"/>
      <c r="L128" s="163">
        <v>-1.1399999999999999</v>
      </c>
      <c r="M128" s="163">
        <v>0.54</v>
      </c>
      <c r="N128" s="161">
        <v>-2.16</v>
      </c>
      <c r="O128" s="164" t="s">
        <v>1747</v>
      </c>
    </row>
    <row r="129" spans="1:15" ht="43.2">
      <c r="A129" s="161" t="s">
        <v>2002</v>
      </c>
      <c r="B129" s="161" t="s">
        <v>1743</v>
      </c>
      <c r="C129" s="161" t="s">
        <v>1749</v>
      </c>
      <c r="D129" s="162">
        <v>43802</v>
      </c>
      <c r="E129" s="161" t="s">
        <v>2003</v>
      </c>
      <c r="F129" s="161" t="s">
        <v>1777</v>
      </c>
      <c r="G129" s="161">
        <v>8</v>
      </c>
      <c r="H129" s="161">
        <v>5</v>
      </c>
      <c r="I129" s="161">
        <v>11</v>
      </c>
      <c r="J129" s="161">
        <v>94</v>
      </c>
      <c r="K129" s="161"/>
      <c r="L129" s="163">
        <v>-1</v>
      </c>
      <c r="M129" s="163">
        <v>1.26</v>
      </c>
      <c r="N129" s="161">
        <v>-2.5</v>
      </c>
      <c r="O129" s="164" t="s">
        <v>1747</v>
      </c>
    </row>
    <row r="130" spans="1:15" ht="43.2">
      <c r="A130" s="161" t="s">
        <v>2004</v>
      </c>
      <c r="B130" s="161" t="s">
        <v>1743</v>
      </c>
      <c r="C130" s="161" t="s">
        <v>1755</v>
      </c>
      <c r="D130" s="162">
        <v>44551</v>
      </c>
      <c r="E130" s="161" t="s">
        <v>2005</v>
      </c>
      <c r="F130" s="161" t="s">
        <v>1777</v>
      </c>
      <c r="G130" s="161">
        <v>5</v>
      </c>
      <c r="H130" s="161">
        <v>5</v>
      </c>
      <c r="I130" s="161">
        <v>5.5</v>
      </c>
      <c r="J130" s="161">
        <v>63</v>
      </c>
      <c r="K130" s="161"/>
      <c r="L130" s="163">
        <v>-1.3</v>
      </c>
      <c r="M130" s="163">
        <v>0.35</v>
      </c>
      <c r="N130" s="161">
        <v>-2.09</v>
      </c>
      <c r="O130" s="164" t="s">
        <v>1747</v>
      </c>
    </row>
    <row r="131" spans="1:15" ht="43.2">
      <c r="A131" s="161" t="s">
        <v>2006</v>
      </c>
      <c r="B131" s="161" t="s">
        <v>1752</v>
      </c>
      <c r="C131" s="161" t="s">
        <v>1749</v>
      </c>
      <c r="D131" s="162">
        <v>43690</v>
      </c>
      <c r="E131" s="161" t="s">
        <v>2007</v>
      </c>
      <c r="F131" s="161" t="s">
        <v>1777</v>
      </c>
      <c r="G131" s="161">
        <v>4</v>
      </c>
      <c r="H131" s="161">
        <v>9</v>
      </c>
      <c r="I131" s="161">
        <v>13</v>
      </c>
      <c r="J131" s="161">
        <v>112</v>
      </c>
      <c r="K131" s="161">
        <v>17</v>
      </c>
      <c r="L131" s="163">
        <v>-0.4</v>
      </c>
      <c r="M131" s="163">
        <v>5.33</v>
      </c>
      <c r="N131" s="161">
        <v>-4.4800000000000004</v>
      </c>
      <c r="O131" s="164" t="s">
        <v>1790</v>
      </c>
    </row>
    <row r="132" spans="1:15" ht="43.2">
      <c r="A132" s="161" t="s">
        <v>2008</v>
      </c>
      <c r="B132" s="161" t="s">
        <v>1743</v>
      </c>
      <c r="C132" s="161" t="s">
        <v>1786</v>
      </c>
      <c r="D132" s="162">
        <v>43468</v>
      </c>
      <c r="E132" s="161" t="s">
        <v>2009</v>
      </c>
      <c r="F132" s="161" t="s">
        <v>1777</v>
      </c>
      <c r="G132" s="161">
        <v>4</v>
      </c>
      <c r="H132" s="161">
        <v>12</v>
      </c>
      <c r="I132" s="161">
        <v>10.6</v>
      </c>
      <c r="J132" s="161">
        <v>92</v>
      </c>
      <c r="K132" s="161">
        <v>14.7</v>
      </c>
      <c r="L132" s="163">
        <v>-2.48</v>
      </c>
      <c r="M132" s="163">
        <v>-1.32</v>
      </c>
      <c r="N132" s="161">
        <v>-2.5099999999999998</v>
      </c>
      <c r="O132" s="164" t="s">
        <v>1747</v>
      </c>
    </row>
    <row r="133" spans="1:15" ht="43.2">
      <c r="A133" s="161" t="s">
        <v>2010</v>
      </c>
      <c r="B133" s="161" t="s">
        <v>1752</v>
      </c>
      <c r="C133" s="161" t="s">
        <v>1779</v>
      </c>
      <c r="D133" s="162">
        <v>42895</v>
      </c>
      <c r="E133" s="161" t="s">
        <v>2011</v>
      </c>
      <c r="F133" s="161" t="s">
        <v>1777</v>
      </c>
      <c r="G133" s="161">
        <v>1</v>
      </c>
      <c r="H133" s="161">
        <v>9</v>
      </c>
      <c r="I133" s="161">
        <v>13.5</v>
      </c>
      <c r="J133" s="161">
        <v>103</v>
      </c>
      <c r="K133" s="161"/>
      <c r="L133" s="163">
        <v>-2.2000000000000002</v>
      </c>
      <c r="M133" s="163">
        <v>-1.29</v>
      </c>
      <c r="N133" s="161">
        <v>-2.27</v>
      </c>
      <c r="O133" s="164" t="s">
        <v>1747</v>
      </c>
    </row>
    <row r="134" spans="1:15" ht="43.2">
      <c r="A134" s="161" t="s">
        <v>2012</v>
      </c>
      <c r="B134" s="161" t="s">
        <v>1743</v>
      </c>
      <c r="C134" s="161" t="s">
        <v>1786</v>
      </c>
      <c r="D134" s="162">
        <v>43293</v>
      </c>
      <c r="E134" s="161" t="s">
        <v>2013</v>
      </c>
      <c r="F134" s="161" t="s">
        <v>1777</v>
      </c>
      <c r="G134" s="161">
        <v>5</v>
      </c>
      <c r="H134" s="161">
        <v>5</v>
      </c>
      <c r="I134" s="161">
        <v>11.5</v>
      </c>
      <c r="J134" s="161">
        <v>90</v>
      </c>
      <c r="K134" s="161"/>
      <c r="L134" s="163">
        <v>-2.99</v>
      </c>
      <c r="M134" s="163">
        <v>-3.58</v>
      </c>
      <c r="N134" s="161">
        <v>-1.0900000000000001</v>
      </c>
      <c r="O134" s="164" t="s">
        <v>1760</v>
      </c>
    </row>
    <row r="135" spans="1:15" ht="43.2">
      <c r="A135" s="161" t="s">
        <v>2014</v>
      </c>
      <c r="B135" s="161" t="s">
        <v>1743</v>
      </c>
      <c r="C135" s="161" t="s">
        <v>1779</v>
      </c>
      <c r="D135" s="162">
        <v>43118</v>
      </c>
      <c r="E135" s="161" t="s">
        <v>2015</v>
      </c>
      <c r="F135" s="161" t="s">
        <v>1777</v>
      </c>
      <c r="G135" s="161">
        <v>3</v>
      </c>
      <c r="H135" s="161">
        <v>9</v>
      </c>
      <c r="I135" s="161">
        <v>15.5</v>
      </c>
      <c r="J135" s="161">
        <v>110</v>
      </c>
      <c r="K135" s="161"/>
      <c r="L135" s="163">
        <v>-0.47</v>
      </c>
      <c r="M135" s="163">
        <v>1.29</v>
      </c>
      <c r="N135" s="161">
        <v>-2.0099999999999998</v>
      </c>
      <c r="O135" s="164" t="s">
        <v>1747</v>
      </c>
    </row>
    <row r="136" spans="1:15" ht="43.2">
      <c r="A136" s="161" t="s">
        <v>2016</v>
      </c>
      <c r="B136" s="161" t="s">
        <v>1752</v>
      </c>
      <c r="C136" s="161" t="s">
        <v>1749</v>
      </c>
      <c r="D136" s="162">
        <v>43717</v>
      </c>
      <c r="E136" s="161" t="s">
        <v>2017</v>
      </c>
      <c r="F136" s="161" t="s">
        <v>1777</v>
      </c>
      <c r="G136" s="161">
        <v>4</v>
      </c>
      <c r="H136" s="161">
        <v>9</v>
      </c>
      <c r="I136" s="161">
        <v>10</v>
      </c>
      <c r="J136" s="161">
        <v>84</v>
      </c>
      <c r="K136" s="161"/>
      <c r="L136" s="163">
        <v>-3.34</v>
      </c>
      <c r="M136" s="163">
        <v>-3.79</v>
      </c>
      <c r="N136" s="161">
        <v>-1.67</v>
      </c>
      <c r="O136" s="164" t="s">
        <v>1760</v>
      </c>
    </row>
    <row r="137" spans="1:15" ht="43.2">
      <c r="A137" s="161" t="s">
        <v>2018</v>
      </c>
      <c r="B137" s="161" t="s">
        <v>1752</v>
      </c>
      <c r="C137" s="161" t="s">
        <v>1786</v>
      </c>
      <c r="D137" s="162">
        <v>43445</v>
      </c>
      <c r="E137" s="161" t="s">
        <v>2019</v>
      </c>
      <c r="F137" s="161" t="s">
        <v>1777</v>
      </c>
      <c r="G137" s="161">
        <v>1</v>
      </c>
      <c r="H137" s="161">
        <v>15</v>
      </c>
      <c r="I137" s="161">
        <v>13</v>
      </c>
      <c r="J137" s="161">
        <v>100</v>
      </c>
      <c r="K137" s="161"/>
      <c r="L137" s="163">
        <v>-1.17</v>
      </c>
      <c r="M137" s="163">
        <v>0.36</v>
      </c>
      <c r="N137" s="161">
        <v>-2.09</v>
      </c>
      <c r="O137" s="164" t="s">
        <v>1747</v>
      </c>
    </row>
    <row r="138" spans="1:15" ht="43.2">
      <c r="A138" s="161" t="s">
        <v>2020</v>
      </c>
      <c r="B138" s="161" t="s">
        <v>1743</v>
      </c>
      <c r="C138" s="161" t="s">
        <v>1786</v>
      </c>
      <c r="D138" s="162">
        <v>43447</v>
      </c>
      <c r="E138" s="161" t="s">
        <v>2021</v>
      </c>
      <c r="F138" s="161" t="s">
        <v>1777</v>
      </c>
      <c r="G138" s="161">
        <v>7</v>
      </c>
      <c r="H138" s="161">
        <v>10</v>
      </c>
      <c r="I138" s="161">
        <v>11</v>
      </c>
      <c r="J138" s="161">
        <v>93</v>
      </c>
      <c r="K138" s="161"/>
      <c r="L138" s="163">
        <v>-2.23</v>
      </c>
      <c r="M138" s="163">
        <v>-1.18</v>
      </c>
      <c r="N138" s="161">
        <v>-2.2799999999999998</v>
      </c>
      <c r="O138" s="164" t="s">
        <v>1747</v>
      </c>
    </row>
    <row r="139" spans="1:15" ht="43.2">
      <c r="A139" s="161" t="s">
        <v>2022</v>
      </c>
      <c r="B139" s="161" t="s">
        <v>1743</v>
      </c>
      <c r="C139" s="161" t="s">
        <v>1744</v>
      </c>
      <c r="D139" s="162">
        <v>43956</v>
      </c>
      <c r="E139" s="161" t="s">
        <v>1776</v>
      </c>
      <c r="F139" s="161" t="s">
        <v>1777</v>
      </c>
      <c r="G139" s="161">
        <v>1</v>
      </c>
      <c r="H139" s="161">
        <v>2</v>
      </c>
      <c r="I139" s="161">
        <v>10.3</v>
      </c>
      <c r="J139" s="161">
        <v>81</v>
      </c>
      <c r="K139" s="161"/>
      <c r="L139" s="163">
        <v>-2</v>
      </c>
      <c r="M139" s="163">
        <v>-3.14</v>
      </c>
      <c r="N139" s="161">
        <v>-0.16</v>
      </c>
      <c r="O139" s="164" t="s">
        <v>1760</v>
      </c>
    </row>
    <row r="140" spans="1:15" ht="43.2">
      <c r="A140" s="161" t="s">
        <v>2023</v>
      </c>
      <c r="B140" s="161" t="s">
        <v>1752</v>
      </c>
      <c r="C140" s="161" t="s">
        <v>1749</v>
      </c>
      <c r="D140" s="162">
        <v>43747</v>
      </c>
      <c r="E140" s="161" t="s">
        <v>2024</v>
      </c>
      <c r="F140" s="161" t="s">
        <v>1777</v>
      </c>
      <c r="G140" s="161">
        <v>6</v>
      </c>
      <c r="H140" s="161">
        <v>9</v>
      </c>
      <c r="I140" s="161">
        <v>10.3</v>
      </c>
      <c r="J140" s="161">
        <v>89</v>
      </c>
      <c r="K140" s="161"/>
      <c r="L140" s="163">
        <v>-2.1800000000000002</v>
      </c>
      <c r="M140" s="163">
        <v>-0.87</v>
      </c>
      <c r="N140" s="161">
        <v>-2.65</v>
      </c>
      <c r="O140" s="164" t="s">
        <v>1747</v>
      </c>
    </row>
    <row r="141" spans="1:15" ht="57.6">
      <c r="A141" s="161" t="s">
        <v>2025</v>
      </c>
      <c r="B141" s="161" t="s">
        <v>1752</v>
      </c>
      <c r="C141" s="161" t="s">
        <v>1749</v>
      </c>
      <c r="D141" s="162">
        <v>43817</v>
      </c>
      <c r="E141" s="161" t="s">
        <v>2026</v>
      </c>
      <c r="F141" s="161" t="s">
        <v>1777</v>
      </c>
      <c r="G141" s="161">
        <v>2</v>
      </c>
      <c r="H141" s="161">
        <v>15</v>
      </c>
      <c r="I141" s="161">
        <v>12</v>
      </c>
      <c r="J141" s="161">
        <v>95</v>
      </c>
      <c r="K141" s="161"/>
      <c r="L141" s="163">
        <v>-0.61</v>
      </c>
      <c r="M141" s="163">
        <v>1.46</v>
      </c>
      <c r="N141" s="161">
        <v>-2.02</v>
      </c>
      <c r="O141" s="164" t="s">
        <v>1747</v>
      </c>
    </row>
    <row r="142" spans="1:15" ht="57.6">
      <c r="A142" s="161" t="s">
        <v>2027</v>
      </c>
      <c r="B142" s="161" t="s">
        <v>1752</v>
      </c>
      <c r="C142" s="161" t="s">
        <v>1744</v>
      </c>
      <c r="D142" s="162">
        <v>43988</v>
      </c>
      <c r="E142" s="161" t="s">
        <v>2028</v>
      </c>
      <c r="F142" s="161" t="s">
        <v>1777</v>
      </c>
      <c r="G142" s="161">
        <v>7</v>
      </c>
      <c r="H142" s="161">
        <v>3</v>
      </c>
      <c r="I142" s="161">
        <v>10.6</v>
      </c>
      <c r="J142" s="161">
        <v>90</v>
      </c>
      <c r="K142" s="161"/>
      <c r="L142" s="163">
        <v>-0.93</v>
      </c>
      <c r="M142" s="163">
        <v>1.31</v>
      </c>
      <c r="N142" s="161">
        <v>-2.34</v>
      </c>
      <c r="O142" s="164" t="s">
        <v>1747</v>
      </c>
    </row>
    <row r="143" spans="1:15" ht="72">
      <c r="A143" s="161" t="s">
        <v>2029</v>
      </c>
      <c r="B143" s="161" t="s">
        <v>1752</v>
      </c>
      <c r="C143" s="161" t="s">
        <v>1744</v>
      </c>
      <c r="D143" s="162">
        <v>43988</v>
      </c>
      <c r="E143" s="161" t="s">
        <v>2030</v>
      </c>
      <c r="F143" s="161" t="s">
        <v>1777</v>
      </c>
      <c r="G143" s="161">
        <v>1</v>
      </c>
      <c r="H143" s="161">
        <v>16</v>
      </c>
      <c r="I143" s="161">
        <v>14.8</v>
      </c>
      <c r="J143" s="161">
        <v>110</v>
      </c>
      <c r="K143" s="161"/>
      <c r="L143" s="163">
        <v>2.02</v>
      </c>
      <c r="M143" s="163">
        <v>8.11</v>
      </c>
      <c r="N143" s="161">
        <v>-2.5</v>
      </c>
      <c r="O143" s="164" t="s">
        <v>1747</v>
      </c>
    </row>
    <row r="144" spans="1:15" ht="43.2">
      <c r="A144" s="161" t="s">
        <v>2031</v>
      </c>
      <c r="B144" s="161" t="s">
        <v>1752</v>
      </c>
      <c r="C144" s="161" t="s">
        <v>1744</v>
      </c>
      <c r="D144" s="162">
        <v>44115</v>
      </c>
      <c r="E144" s="161" t="s">
        <v>2032</v>
      </c>
      <c r="F144" s="161" t="s">
        <v>1781</v>
      </c>
      <c r="G144" s="161">
        <v>5</v>
      </c>
      <c r="H144" s="161">
        <v>10</v>
      </c>
      <c r="I144" s="161">
        <v>8.4</v>
      </c>
      <c r="J144" s="161">
        <v>77</v>
      </c>
      <c r="K144" s="161"/>
      <c r="L144" s="163">
        <v>-2.36</v>
      </c>
      <c r="M144" s="163">
        <v>-1.93</v>
      </c>
      <c r="N144" s="161">
        <v>-2.0299999999999998</v>
      </c>
      <c r="O144" s="164" t="s">
        <v>1747</v>
      </c>
    </row>
    <row r="145" spans="1:15" ht="28.8">
      <c r="A145" s="161" t="s">
        <v>2033</v>
      </c>
      <c r="B145" s="161" t="s">
        <v>1752</v>
      </c>
      <c r="C145" s="161" t="s">
        <v>1755</v>
      </c>
      <c r="D145" s="162">
        <v>44510</v>
      </c>
      <c r="E145" s="161" t="s">
        <v>2034</v>
      </c>
      <c r="F145" s="161" t="s">
        <v>1784</v>
      </c>
      <c r="G145" s="161">
        <v>4</v>
      </c>
      <c r="H145" s="161">
        <v>2</v>
      </c>
      <c r="I145" s="161">
        <v>7.5</v>
      </c>
      <c r="J145" s="161">
        <v>72</v>
      </c>
      <c r="K145" s="161"/>
      <c r="L145" s="163">
        <v>0.01</v>
      </c>
      <c r="M145" s="163">
        <v>2.92</v>
      </c>
      <c r="N145" s="161">
        <v>-2.09</v>
      </c>
      <c r="O145" s="164" t="s">
        <v>1747</v>
      </c>
    </row>
    <row r="146" spans="1:15" ht="28.8">
      <c r="A146" s="161" t="s">
        <v>2035</v>
      </c>
      <c r="B146" s="161" t="s">
        <v>1752</v>
      </c>
      <c r="C146" s="161" t="s">
        <v>1779</v>
      </c>
      <c r="D146" s="162">
        <v>43169</v>
      </c>
      <c r="E146" s="161" t="s">
        <v>2036</v>
      </c>
      <c r="F146" s="161" t="s">
        <v>1784</v>
      </c>
      <c r="G146" s="161">
        <v>2</v>
      </c>
      <c r="H146" s="161">
        <v>4</v>
      </c>
      <c r="I146" s="161">
        <v>13</v>
      </c>
      <c r="J146" s="161">
        <v>101</v>
      </c>
      <c r="K146" s="161"/>
      <c r="L146" s="163">
        <v>-1.93</v>
      </c>
      <c r="M146" s="163">
        <v>-0.74</v>
      </c>
      <c r="N146" s="161">
        <v>-2.31</v>
      </c>
      <c r="O146" s="164" t="s">
        <v>1747</v>
      </c>
    </row>
    <row r="147" spans="1:15" ht="28.8">
      <c r="A147" s="161" t="s">
        <v>2037</v>
      </c>
      <c r="B147" s="161" t="s">
        <v>1743</v>
      </c>
      <c r="C147" s="161" t="s">
        <v>1749</v>
      </c>
      <c r="D147" s="162">
        <v>43778</v>
      </c>
      <c r="E147" s="161" t="s">
        <v>1798</v>
      </c>
      <c r="F147" s="161" t="s">
        <v>1784</v>
      </c>
      <c r="G147" s="161">
        <v>4</v>
      </c>
      <c r="H147" s="161">
        <v>5</v>
      </c>
      <c r="I147" s="161">
        <v>11.5</v>
      </c>
      <c r="J147" s="161">
        <v>94.3</v>
      </c>
      <c r="K147" s="161"/>
      <c r="L147" s="163">
        <v>-0.74</v>
      </c>
      <c r="M147" s="163">
        <v>1.1499999999999999</v>
      </c>
      <c r="N147" s="161">
        <v>-2.0299999999999998</v>
      </c>
      <c r="O147" s="164" t="s">
        <v>1747</v>
      </c>
    </row>
    <row r="148" spans="1:15" ht="57.6">
      <c r="A148" s="161" t="s">
        <v>2038</v>
      </c>
      <c r="B148" s="161" t="s">
        <v>1752</v>
      </c>
      <c r="C148" s="161" t="s">
        <v>1744</v>
      </c>
      <c r="D148" s="162">
        <v>44301</v>
      </c>
      <c r="E148" s="161" t="s">
        <v>1913</v>
      </c>
      <c r="F148" s="161" t="s">
        <v>1784</v>
      </c>
      <c r="G148" s="161">
        <v>5</v>
      </c>
      <c r="H148" s="161">
        <v>11</v>
      </c>
      <c r="I148" s="161">
        <v>9</v>
      </c>
      <c r="J148" s="161">
        <v>91</v>
      </c>
      <c r="K148" s="161">
        <v>16</v>
      </c>
      <c r="L148" s="163">
        <v>-0.64</v>
      </c>
      <c r="M148" s="163">
        <v>6.4</v>
      </c>
      <c r="N148" s="161">
        <v>-4.5999999999999996</v>
      </c>
      <c r="O148" s="164" t="s">
        <v>1790</v>
      </c>
    </row>
    <row r="149" spans="1:15" ht="28.8">
      <c r="A149" s="161" t="s">
        <v>2039</v>
      </c>
      <c r="B149" s="161" t="s">
        <v>1743</v>
      </c>
      <c r="C149" s="161" t="s">
        <v>1749</v>
      </c>
      <c r="D149" s="162">
        <v>43926</v>
      </c>
      <c r="E149" s="161" t="s">
        <v>1802</v>
      </c>
      <c r="F149" s="161" t="s">
        <v>1784</v>
      </c>
      <c r="G149" s="161">
        <v>3</v>
      </c>
      <c r="H149" s="161">
        <v>7</v>
      </c>
      <c r="I149" s="161">
        <v>11.2</v>
      </c>
      <c r="J149" s="161">
        <v>99</v>
      </c>
      <c r="K149" s="161">
        <v>18</v>
      </c>
      <c r="L149" s="163">
        <v>-0.25</v>
      </c>
      <c r="M149" s="163">
        <v>4</v>
      </c>
      <c r="N149" s="161">
        <v>-3.34</v>
      </c>
      <c r="O149" s="164" t="s">
        <v>1790</v>
      </c>
    </row>
    <row r="150" spans="1:15" ht="28.8">
      <c r="A150" s="161" t="s">
        <v>2040</v>
      </c>
      <c r="B150" s="161" t="s">
        <v>1752</v>
      </c>
      <c r="C150" s="161" t="s">
        <v>1755</v>
      </c>
      <c r="D150" s="162">
        <v>44407</v>
      </c>
      <c r="E150" s="161" t="s">
        <v>2041</v>
      </c>
      <c r="F150" s="161" t="s">
        <v>1784</v>
      </c>
      <c r="G150" s="161">
        <v>1</v>
      </c>
      <c r="H150" s="161">
        <v>6</v>
      </c>
      <c r="I150" s="161">
        <v>7.5</v>
      </c>
      <c r="J150" s="161">
        <v>75</v>
      </c>
      <c r="K150" s="161"/>
      <c r="L150" s="163">
        <v>-1.37</v>
      </c>
      <c r="M150" s="163">
        <v>1.77</v>
      </c>
      <c r="N150" s="161">
        <v>-2.98</v>
      </c>
      <c r="O150" s="164" t="s">
        <v>1747</v>
      </c>
    </row>
    <row r="151" spans="1:15" ht="28.8">
      <c r="A151" s="161" t="s">
        <v>2042</v>
      </c>
      <c r="B151" s="161" t="s">
        <v>1752</v>
      </c>
      <c r="C151" s="161" t="s">
        <v>1786</v>
      </c>
      <c r="D151" s="162">
        <v>43412</v>
      </c>
      <c r="E151" s="161" t="s">
        <v>2043</v>
      </c>
      <c r="F151" s="161" t="s">
        <v>1784</v>
      </c>
      <c r="G151" s="161">
        <v>2</v>
      </c>
      <c r="H151" s="161">
        <v>5</v>
      </c>
      <c r="I151" s="161">
        <v>13.2</v>
      </c>
      <c r="J151" s="161">
        <v>101</v>
      </c>
      <c r="K151" s="161"/>
      <c r="L151" s="163">
        <v>-1.1399999999999999</v>
      </c>
      <c r="M151" s="163">
        <v>0.44</v>
      </c>
      <c r="N151" s="161">
        <v>-2.11</v>
      </c>
      <c r="O151" s="164" t="s">
        <v>1747</v>
      </c>
    </row>
    <row r="152" spans="1:15" ht="28.8">
      <c r="A152" s="161" t="s">
        <v>2044</v>
      </c>
      <c r="B152" s="161" t="s">
        <v>1743</v>
      </c>
      <c r="C152" s="161" t="s">
        <v>1786</v>
      </c>
      <c r="D152" s="162">
        <v>43492</v>
      </c>
      <c r="E152" s="161" t="s">
        <v>2045</v>
      </c>
      <c r="F152" s="161" t="s">
        <v>1784</v>
      </c>
      <c r="G152" s="161">
        <v>6</v>
      </c>
      <c r="H152" s="161">
        <v>10</v>
      </c>
      <c r="I152" s="161">
        <v>12</v>
      </c>
      <c r="J152" s="161">
        <v>100</v>
      </c>
      <c r="K152" s="161"/>
      <c r="L152" s="163">
        <v>-1.38</v>
      </c>
      <c r="M152" s="163">
        <v>0.85</v>
      </c>
      <c r="N152" s="161">
        <v>-2.74</v>
      </c>
      <c r="O152" s="164" t="s">
        <v>1747</v>
      </c>
    </row>
    <row r="153" spans="1:15" ht="28.8">
      <c r="A153" s="161" t="s">
        <v>2046</v>
      </c>
      <c r="B153" s="161" t="s">
        <v>1743</v>
      </c>
      <c r="C153" s="161" t="s">
        <v>1749</v>
      </c>
      <c r="D153" s="162">
        <v>43748</v>
      </c>
      <c r="E153" s="161" t="s">
        <v>2047</v>
      </c>
      <c r="F153" s="161" t="s">
        <v>1784</v>
      </c>
      <c r="G153" s="161">
        <v>3</v>
      </c>
      <c r="H153" s="161">
        <v>10</v>
      </c>
      <c r="I153" s="161">
        <v>12</v>
      </c>
      <c r="J153" s="161">
        <v>98</v>
      </c>
      <c r="K153" s="161"/>
      <c r="L153" s="163">
        <v>-0.46</v>
      </c>
      <c r="M153" s="163">
        <v>2.0699999999999998</v>
      </c>
      <c r="N153" s="161">
        <v>-2.31</v>
      </c>
      <c r="O153" s="164" t="s">
        <v>1747</v>
      </c>
    </row>
    <row r="154" spans="1:15" ht="28.8">
      <c r="A154" s="161" t="s">
        <v>2048</v>
      </c>
      <c r="B154" s="161" t="s">
        <v>1752</v>
      </c>
      <c r="C154" s="161" t="s">
        <v>1744</v>
      </c>
      <c r="D154" s="162">
        <v>44144</v>
      </c>
      <c r="E154" s="161" t="s">
        <v>2049</v>
      </c>
      <c r="F154" s="161" t="s">
        <v>1784</v>
      </c>
      <c r="G154" s="161">
        <v>3</v>
      </c>
      <c r="H154" s="161">
        <v>5</v>
      </c>
      <c r="I154" s="161">
        <v>9.1999999999999993</v>
      </c>
      <c r="J154" s="161">
        <v>82</v>
      </c>
      <c r="K154" s="161"/>
      <c r="L154" s="163">
        <v>-1.38</v>
      </c>
      <c r="M154" s="163">
        <v>0.28999999999999998</v>
      </c>
      <c r="N154" s="161">
        <v>-2.0299999999999998</v>
      </c>
      <c r="O154" s="164" t="s">
        <v>1747</v>
      </c>
    </row>
    <row r="155" spans="1:15" ht="43.2">
      <c r="A155" s="161" t="s">
        <v>2050</v>
      </c>
      <c r="B155" s="161" t="s">
        <v>1752</v>
      </c>
      <c r="C155" s="161" t="s">
        <v>1755</v>
      </c>
      <c r="D155" s="162">
        <v>44491</v>
      </c>
      <c r="E155" s="161" t="s">
        <v>2051</v>
      </c>
      <c r="F155" s="161" t="s">
        <v>1784</v>
      </c>
      <c r="G155" s="161">
        <v>2</v>
      </c>
      <c r="H155" s="161">
        <v>8</v>
      </c>
      <c r="I155" s="161">
        <v>6.8</v>
      </c>
      <c r="J155" s="161">
        <v>69</v>
      </c>
      <c r="K155" s="161"/>
      <c r="L155" s="163">
        <v>-1.2</v>
      </c>
      <c r="M155" s="163">
        <v>0.97</v>
      </c>
      <c r="N155" s="161">
        <v>-2.35</v>
      </c>
      <c r="O155" s="164" t="s">
        <v>1747</v>
      </c>
    </row>
    <row r="156" spans="1:15" ht="43.2">
      <c r="A156" s="161" t="s">
        <v>2052</v>
      </c>
      <c r="B156" s="161" t="s">
        <v>1743</v>
      </c>
      <c r="C156" s="161" t="s">
        <v>1749</v>
      </c>
      <c r="D156" s="162">
        <v>43818</v>
      </c>
      <c r="E156" s="161" t="s">
        <v>2053</v>
      </c>
      <c r="F156" s="161" t="s">
        <v>1784</v>
      </c>
      <c r="G156" s="161">
        <v>5</v>
      </c>
      <c r="H156" s="161">
        <v>9</v>
      </c>
      <c r="I156" s="161">
        <v>9.5</v>
      </c>
      <c r="J156" s="161">
        <v>87</v>
      </c>
      <c r="K156" s="161"/>
      <c r="L156" s="163">
        <v>-2.11</v>
      </c>
      <c r="M156" s="163">
        <v>-0.54</v>
      </c>
      <c r="N156" s="161">
        <v>-2.64</v>
      </c>
      <c r="O156" s="164" t="s">
        <v>1747</v>
      </c>
    </row>
    <row r="157" spans="1:15" ht="43.2">
      <c r="A157" s="161" t="s">
        <v>2054</v>
      </c>
      <c r="B157" s="161" t="s">
        <v>1752</v>
      </c>
      <c r="C157" s="161" t="s">
        <v>2055</v>
      </c>
      <c r="D157" s="162">
        <v>44956</v>
      </c>
      <c r="E157" s="161" t="s">
        <v>2056</v>
      </c>
      <c r="F157" s="161" t="s">
        <v>1784</v>
      </c>
      <c r="G157" s="161">
        <v>2</v>
      </c>
      <c r="H157" s="161">
        <v>9</v>
      </c>
      <c r="I157" s="161">
        <v>3</v>
      </c>
      <c r="J157" s="161">
        <v>50</v>
      </c>
      <c r="K157" s="161"/>
      <c r="L157" s="163">
        <v>-2.81</v>
      </c>
      <c r="M157" s="163">
        <v>-2.04</v>
      </c>
      <c r="N157" s="161">
        <v>-1.7</v>
      </c>
      <c r="O157" s="164" t="s">
        <v>1760</v>
      </c>
    </row>
    <row r="158" spans="1:15" ht="43.2">
      <c r="A158" s="161" t="s">
        <v>2057</v>
      </c>
      <c r="B158" s="161" t="s">
        <v>1752</v>
      </c>
      <c r="C158" s="161" t="s">
        <v>1779</v>
      </c>
      <c r="D158" s="162">
        <v>43018</v>
      </c>
      <c r="E158" s="161" t="s">
        <v>2058</v>
      </c>
      <c r="F158" s="161" t="s">
        <v>1784</v>
      </c>
      <c r="G158" s="161">
        <v>4</v>
      </c>
      <c r="H158" s="161">
        <v>11</v>
      </c>
      <c r="I158" s="161">
        <v>13.8</v>
      </c>
      <c r="J158" s="161">
        <v>104.2</v>
      </c>
      <c r="K158" s="161">
        <v>18</v>
      </c>
      <c r="L158" s="163">
        <v>-1.77</v>
      </c>
      <c r="M158" s="163">
        <v>-0.56999999999999995</v>
      </c>
      <c r="N158" s="161">
        <v>-2.2599999999999998</v>
      </c>
      <c r="O158" s="164" t="s">
        <v>1747</v>
      </c>
    </row>
    <row r="159" spans="1:15" ht="28.8">
      <c r="A159" s="161" t="s">
        <v>2059</v>
      </c>
      <c r="B159" s="161" t="s">
        <v>1752</v>
      </c>
      <c r="C159" s="161" t="s">
        <v>1779</v>
      </c>
      <c r="D159" s="162">
        <v>43121</v>
      </c>
      <c r="E159" s="161" t="s">
        <v>2060</v>
      </c>
      <c r="F159" s="161" t="s">
        <v>1784</v>
      </c>
      <c r="G159" s="161">
        <v>7</v>
      </c>
      <c r="H159" s="161">
        <v>7</v>
      </c>
      <c r="I159" s="161">
        <v>14.5</v>
      </c>
      <c r="J159" s="161">
        <v>96</v>
      </c>
      <c r="K159" s="161">
        <v>15</v>
      </c>
      <c r="L159" s="163">
        <v>-1.74</v>
      </c>
      <c r="M159" s="163">
        <v>-2.97</v>
      </c>
      <c r="N159" s="161">
        <v>0.17</v>
      </c>
      <c r="O159" s="164" t="s">
        <v>1760</v>
      </c>
    </row>
    <row r="160" spans="1:15" ht="28.8">
      <c r="A160" s="161" t="s">
        <v>2061</v>
      </c>
      <c r="B160" s="161" t="s">
        <v>1743</v>
      </c>
      <c r="C160" s="161" t="s">
        <v>1755</v>
      </c>
      <c r="D160" s="162">
        <v>44624</v>
      </c>
      <c r="E160" s="161" t="s">
        <v>2062</v>
      </c>
      <c r="F160" s="161" t="s">
        <v>1784</v>
      </c>
      <c r="G160" s="161">
        <v>6</v>
      </c>
      <c r="H160" s="161">
        <v>9</v>
      </c>
      <c r="I160" s="161">
        <v>5.5</v>
      </c>
      <c r="J160" s="161">
        <v>62</v>
      </c>
      <c r="K160" s="161">
        <v>13</v>
      </c>
      <c r="L160" s="163">
        <v>-3.64</v>
      </c>
      <c r="M160" s="163">
        <v>-3.91</v>
      </c>
      <c r="N160" s="161">
        <v>-1.66</v>
      </c>
      <c r="O160" s="164" t="s">
        <v>1760</v>
      </c>
    </row>
    <row r="161" spans="1:15" ht="43.2">
      <c r="A161" s="161" t="s">
        <v>2063</v>
      </c>
      <c r="B161" s="161" t="s">
        <v>1743</v>
      </c>
      <c r="C161" s="161" t="s">
        <v>1749</v>
      </c>
      <c r="D161" s="162">
        <v>43604</v>
      </c>
      <c r="E161" s="161" t="s">
        <v>1907</v>
      </c>
      <c r="F161" s="161" t="s">
        <v>1784</v>
      </c>
      <c r="G161" s="161">
        <v>3</v>
      </c>
      <c r="H161" s="161">
        <v>2</v>
      </c>
      <c r="I161" s="161">
        <v>9.01</v>
      </c>
      <c r="J161" s="161">
        <v>87.1</v>
      </c>
      <c r="K161" s="161">
        <v>12.9</v>
      </c>
      <c r="L161" s="163">
        <v>-3.42</v>
      </c>
      <c r="M161" s="163">
        <v>-1.93</v>
      </c>
      <c r="N161" s="161">
        <v>-3.3</v>
      </c>
      <c r="O161" s="164" t="s">
        <v>1790</v>
      </c>
    </row>
    <row r="162" spans="1:15" ht="43.2">
      <c r="A162" s="161" t="s">
        <v>2064</v>
      </c>
      <c r="B162" s="161" t="s">
        <v>1752</v>
      </c>
      <c r="C162" s="161" t="s">
        <v>1786</v>
      </c>
      <c r="D162" s="162">
        <v>43427</v>
      </c>
      <c r="E162" s="161" t="s">
        <v>2065</v>
      </c>
      <c r="F162" s="161" t="s">
        <v>1784</v>
      </c>
      <c r="G162" s="161">
        <v>8</v>
      </c>
      <c r="H162" s="161">
        <v>3</v>
      </c>
      <c r="I162" s="161">
        <v>13.5</v>
      </c>
      <c r="J162" s="161">
        <v>103</v>
      </c>
      <c r="K162" s="161"/>
      <c r="L162" s="163">
        <v>-0.96</v>
      </c>
      <c r="M162" s="163">
        <v>0.95</v>
      </c>
      <c r="N162" s="161">
        <v>-2.27</v>
      </c>
      <c r="O162" s="164" t="s">
        <v>1747</v>
      </c>
    </row>
    <row r="163" spans="1:15" ht="43.2">
      <c r="A163" s="161" t="s">
        <v>2066</v>
      </c>
      <c r="B163" s="161" t="s">
        <v>1743</v>
      </c>
      <c r="C163" s="161" t="s">
        <v>1744</v>
      </c>
      <c r="D163" s="162">
        <v>44104</v>
      </c>
      <c r="E163" s="161" t="s">
        <v>2067</v>
      </c>
      <c r="F163" s="161" t="s">
        <v>1784</v>
      </c>
      <c r="G163" s="161">
        <v>4</v>
      </c>
      <c r="H163" s="161">
        <v>11</v>
      </c>
      <c r="I163" s="161">
        <v>8.1</v>
      </c>
      <c r="J163" s="161">
        <v>76</v>
      </c>
      <c r="K163" s="161">
        <v>13</v>
      </c>
      <c r="L163" s="163">
        <v>-3.41</v>
      </c>
      <c r="M163" s="163">
        <v>-3.68</v>
      </c>
      <c r="N163" s="161">
        <v>-1.78</v>
      </c>
      <c r="O163" s="164" t="s">
        <v>1760</v>
      </c>
    </row>
    <row r="164" spans="1:15" ht="28.8">
      <c r="A164" s="161" t="s">
        <v>2068</v>
      </c>
      <c r="B164" s="161" t="s">
        <v>1752</v>
      </c>
      <c r="C164" s="161" t="s">
        <v>1749</v>
      </c>
      <c r="D164" s="162">
        <v>43588</v>
      </c>
      <c r="E164" s="161" t="s">
        <v>2069</v>
      </c>
      <c r="F164" s="161" t="s">
        <v>1784</v>
      </c>
      <c r="G164" s="161">
        <v>4</v>
      </c>
      <c r="H164" s="161">
        <v>11</v>
      </c>
      <c r="I164" s="161">
        <v>12.5</v>
      </c>
      <c r="J164" s="161">
        <v>98.5</v>
      </c>
      <c r="K164" s="161"/>
      <c r="L164" s="163">
        <v>-1.1200000000000001</v>
      </c>
      <c r="M164" s="163">
        <v>0.7</v>
      </c>
      <c r="N164" s="161">
        <v>-2.2599999999999998</v>
      </c>
      <c r="O164" s="164" t="s">
        <v>1747</v>
      </c>
    </row>
    <row r="165" spans="1:15" ht="72">
      <c r="A165" s="161" t="s">
        <v>2070</v>
      </c>
      <c r="B165" s="161" t="s">
        <v>1752</v>
      </c>
      <c r="C165" s="161" t="s">
        <v>1749</v>
      </c>
      <c r="D165" s="162">
        <v>43866</v>
      </c>
      <c r="E165" s="161" t="s">
        <v>2071</v>
      </c>
      <c r="F165" s="161" t="s">
        <v>1784</v>
      </c>
      <c r="G165" s="161">
        <v>12</v>
      </c>
      <c r="H165" s="161">
        <v>7</v>
      </c>
      <c r="I165" s="161">
        <v>11.4</v>
      </c>
      <c r="J165" s="161">
        <v>92.5</v>
      </c>
      <c r="K165" s="161"/>
      <c r="L165" s="163">
        <v>-0.91</v>
      </c>
      <c r="M165" s="163">
        <v>0.99</v>
      </c>
      <c r="N165" s="161">
        <v>-2.14</v>
      </c>
      <c r="O165" s="164" t="s">
        <v>1747</v>
      </c>
    </row>
    <row r="166" spans="1:15" ht="43.2">
      <c r="A166" s="161" t="s">
        <v>2072</v>
      </c>
      <c r="B166" s="161" t="s">
        <v>1752</v>
      </c>
      <c r="C166" s="161" t="s">
        <v>1749</v>
      </c>
      <c r="D166" s="162">
        <v>43892</v>
      </c>
      <c r="E166" s="161" t="s">
        <v>2073</v>
      </c>
      <c r="F166" s="161" t="s">
        <v>1784</v>
      </c>
      <c r="G166" s="161">
        <v>1</v>
      </c>
      <c r="H166" s="161">
        <v>3</v>
      </c>
      <c r="I166" s="161">
        <v>10.9</v>
      </c>
      <c r="J166" s="161">
        <v>86</v>
      </c>
      <c r="K166" s="161">
        <v>14</v>
      </c>
      <c r="L166" s="163">
        <v>-2.12</v>
      </c>
      <c r="M166" s="163">
        <v>-2.4500000000000002</v>
      </c>
      <c r="N166" s="161">
        <v>-1.1200000000000001</v>
      </c>
      <c r="O166" s="164" t="s">
        <v>1760</v>
      </c>
    </row>
    <row r="167" spans="1:15" ht="28.8">
      <c r="A167" s="161" t="s">
        <v>2074</v>
      </c>
      <c r="B167" s="161" t="s">
        <v>1752</v>
      </c>
      <c r="C167" s="161" t="s">
        <v>1786</v>
      </c>
      <c r="D167" s="162">
        <v>43271</v>
      </c>
      <c r="E167" s="161" t="s">
        <v>2075</v>
      </c>
      <c r="F167" s="161" t="s">
        <v>1784</v>
      </c>
      <c r="G167" s="161">
        <v>8</v>
      </c>
      <c r="H167" s="161">
        <v>3</v>
      </c>
      <c r="I167" s="161">
        <v>13.2</v>
      </c>
      <c r="J167" s="161">
        <v>101.4</v>
      </c>
      <c r="K167" s="161"/>
      <c r="L167" s="163">
        <v>-1.56</v>
      </c>
      <c r="M167" s="163">
        <v>-0.21</v>
      </c>
      <c r="N167" s="161">
        <v>-2.2000000000000002</v>
      </c>
      <c r="O167" s="164" t="s">
        <v>1747</v>
      </c>
    </row>
    <row r="168" spans="1:15" ht="28.8">
      <c r="A168" s="161" t="s">
        <v>2076</v>
      </c>
      <c r="B168" s="161" t="s">
        <v>1743</v>
      </c>
      <c r="C168" s="161" t="s">
        <v>1779</v>
      </c>
      <c r="D168" s="162">
        <v>43109</v>
      </c>
      <c r="E168" s="161" t="s">
        <v>2077</v>
      </c>
      <c r="F168" s="161" t="s">
        <v>1784</v>
      </c>
      <c r="G168" s="161">
        <v>2</v>
      </c>
      <c r="H168" s="161">
        <v>4</v>
      </c>
      <c r="I168" s="161">
        <v>18</v>
      </c>
      <c r="J168" s="161">
        <v>96</v>
      </c>
      <c r="K168" s="161">
        <v>16</v>
      </c>
      <c r="L168" s="163">
        <v>-0.08</v>
      </c>
      <c r="M168" s="163">
        <v>-2.82</v>
      </c>
      <c r="N168" s="161">
        <v>2.56</v>
      </c>
      <c r="O168" s="164" t="s">
        <v>2078</v>
      </c>
    </row>
    <row r="169" spans="1:15" ht="43.2">
      <c r="A169" s="161" t="s">
        <v>2079</v>
      </c>
      <c r="B169" s="161" t="s">
        <v>1743</v>
      </c>
      <c r="C169" s="161" t="s">
        <v>1779</v>
      </c>
      <c r="D169" s="162">
        <v>43150</v>
      </c>
      <c r="E169" s="161" t="s">
        <v>2080</v>
      </c>
      <c r="F169" s="161" t="s">
        <v>1807</v>
      </c>
      <c r="G169" s="161">
        <v>2</v>
      </c>
      <c r="H169" s="161">
        <v>11</v>
      </c>
      <c r="I169" s="161">
        <v>11.9</v>
      </c>
      <c r="J169" s="161">
        <v>85.5</v>
      </c>
      <c r="K169" s="161">
        <v>16</v>
      </c>
      <c r="L169" s="163">
        <v>-3.01</v>
      </c>
      <c r="M169" s="163">
        <v>-4.93</v>
      </c>
      <c r="N169" s="161">
        <v>0.36</v>
      </c>
      <c r="O169" s="164" t="s">
        <v>1760</v>
      </c>
    </row>
    <row r="170" spans="1:15" ht="43.2">
      <c r="A170" s="161" t="s">
        <v>2081</v>
      </c>
      <c r="B170" s="161" t="s">
        <v>1752</v>
      </c>
      <c r="C170" s="161" t="s">
        <v>1779</v>
      </c>
      <c r="D170" s="162">
        <v>43145</v>
      </c>
      <c r="E170" s="161" t="s">
        <v>1806</v>
      </c>
      <c r="F170" s="161" t="s">
        <v>1807</v>
      </c>
      <c r="G170" s="161">
        <v>11</v>
      </c>
      <c r="H170" s="161">
        <v>3</v>
      </c>
      <c r="I170" s="161">
        <v>13</v>
      </c>
      <c r="J170" s="161">
        <v>98</v>
      </c>
      <c r="K170" s="161"/>
      <c r="L170" s="163">
        <v>-2.54</v>
      </c>
      <c r="M170" s="163">
        <v>-2.46</v>
      </c>
      <c r="N170" s="161">
        <v>-1.64</v>
      </c>
      <c r="O170" s="164" t="s">
        <v>1760</v>
      </c>
    </row>
    <row r="171" spans="1:15" ht="43.2">
      <c r="A171" s="161" t="s">
        <v>2082</v>
      </c>
      <c r="B171" s="161" t="s">
        <v>1743</v>
      </c>
      <c r="C171" s="161" t="s">
        <v>1749</v>
      </c>
      <c r="D171" s="162">
        <v>43646</v>
      </c>
      <c r="E171" s="161" t="s">
        <v>1809</v>
      </c>
      <c r="F171" s="161" t="s">
        <v>1807</v>
      </c>
      <c r="G171" s="161">
        <v>5</v>
      </c>
      <c r="H171" s="161">
        <v>3</v>
      </c>
      <c r="I171" s="161">
        <v>11</v>
      </c>
      <c r="J171" s="161">
        <v>95.2</v>
      </c>
      <c r="K171" s="161"/>
      <c r="L171" s="163">
        <v>-1.62</v>
      </c>
      <c r="M171" s="163">
        <v>0.46</v>
      </c>
      <c r="N171" s="161">
        <v>-2.76</v>
      </c>
      <c r="O171" s="164" t="s">
        <v>1747</v>
      </c>
    </row>
    <row r="172" spans="1:15" ht="43.2">
      <c r="A172" s="161" t="s">
        <v>2083</v>
      </c>
      <c r="B172" s="161" t="s">
        <v>1752</v>
      </c>
      <c r="C172" s="161" t="s">
        <v>1755</v>
      </c>
      <c r="D172" s="162">
        <v>44512</v>
      </c>
      <c r="E172" s="161" t="s">
        <v>2084</v>
      </c>
      <c r="F172" s="162"/>
      <c r="G172" s="161">
        <v>7</v>
      </c>
      <c r="H172" s="161">
        <v>2</v>
      </c>
      <c r="I172" s="161">
        <v>7.5</v>
      </c>
      <c r="J172" s="161">
        <v>72</v>
      </c>
      <c r="K172" s="161"/>
      <c r="L172" s="163">
        <v>0.05</v>
      </c>
      <c r="M172" s="163">
        <v>2.98</v>
      </c>
      <c r="N172" s="161">
        <v>-2.09</v>
      </c>
      <c r="O172" s="164" t="s">
        <v>1747</v>
      </c>
    </row>
    <row r="173" spans="1:15" ht="28.8">
      <c r="A173" s="161" t="s">
        <v>2085</v>
      </c>
      <c r="B173" s="161" t="s">
        <v>1752</v>
      </c>
      <c r="C173" s="161" t="s">
        <v>1786</v>
      </c>
      <c r="D173" s="162">
        <v>43298</v>
      </c>
      <c r="E173" s="161" t="s">
        <v>2086</v>
      </c>
      <c r="F173" s="162"/>
      <c r="G173" s="161">
        <v>6</v>
      </c>
      <c r="H173" s="161">
        <v>12</v>
      </c>
      <c r="I173" s="161">
        <v>9.3000000000000007</v>
      </c>
      <c r="J173" s="161">
        <v>87</v>
      </c>
      <c r="K173" s="161">
        <v>14</v>
      </c>
      <c r="L173" s="163">
        <v>-4.16</v>
      </c>
      <c r="M173" s="163">
        <v>-3.75</v>
      </c>
      <c r="N173" s="161">
        <v>-3.26</v>
      </c>
      <c r="O173" s="164" t="s">
        <v>1790</v>
      </c>
    </row>
    <row r="174" spans="1:15" ht="28.8">
      <c r="A174" s="161" t="s">
        <v>2087</v>
      </c>
      <c r="B174" s="161" t="s">
        <v>1743</v>
      </c>
      <c r="C174" s="161" t="s">
        <v>1749</v>
      </c>
      <c r="D174" s="162">
        <v>43645</v>
      </c>
      <c r="E174" s="161" t="s">
        <v>2088</v>
      </c>
      <c r="F174" s="162"/>
      <c r="G174" s="161">
        <v>1</v>
      </c>
      <c r="H174" s="161">
        <v>1</v>
      </c>
      <c r="I174" s="161">
        <v>8.6999999999999993</v>
      </c>
      <c r="J174" s="161">
        <v>82.3</v>
      </c>
      <c r="K174" s="161"/>
      <c r="L174" s="163">
        <v>-3.53</v>
      </c>
      <c r="M174" s="163">
        <v>-2.95</v>
      </c>
      <c r="N174" s="161">
        <v>-2.46</v>
      </c>
      <c r="O174" s="164" t="s">
        <v>1747</v>
      </c>
    </row>
    <row r="175" spans="1:15" ht="43.2">
      <c r="A175" s="161" t="s">
        <v>2089</v>
      </c>
      <c r="B175" s="161" t="s">
        <v>1752</v>
      </c>
      <c r="C175" s="161" t="s">
        <v>1779</v>
      </c>
      <c r="D175" s="162">
        <v>42859</v>
      </c>
      <c r="E175" s="161" t="s">
        <v>2090</v>
      </c>
      <c r="F175" s="161" t="s">
        <v>1769</v>
      </c>
      <c r="G175" s="161">
        <v>7</v>
      </c>
      <c r="H175" s="161">
        <v>2</v>
      </c>
      <c r="I175" s="161">
        <v>15.3</v>
      </c>
      <c r="J175" s="161">
        <v>110</v>
      </c>
      <c r="K175" s="161"/>
      <c r="L175" s="163">
        <v>-1.31</v>
      </c>
      <c r="M175" s="163">
        <v>0.1</v>
      </c>
      <c r="N175" s="161">
        <v>-2.2400000000000002</v>
      </c>
      <c r="O175" s="164" t="s">
        <v>1747</v>
      </c>
    </row>
    <row r="176" spans="1:15" ht="43.2">
      <c r="A176" s="161" t="s">
        <v>2091</v>
      </c>
      <c r="B176" s="161" t="s">
        <v>1743</v>
      </c>
      <c r="C176" s="161" t="s">
        <v>1779</v>
      </c>
      <c r="D176" s="162">
        <v>43191</v>
      </c>
      <c r="E176" s="161" t="s">
        <v>1771</v>
      </c>
      <c r="F176" s="161" t="s">
        <v>1769</v>
      </c>
      <c r="G176" s="161">
        <v>2</v>
      </c>
      <c r="H176" s="161">
        <v>8</v>
      </c>
      <c r="I176" s="161">
        <v>8.8000000000000007</v>
      </c>
      <c r="J176" s="161">
        <v>86.3</v>
      </c>
      <c r="K176" s="161">
        <v>12.5</v>
      </c>
      <c r="L176" s="163">
        <v>-4.46</v>
      </c>
      <c r="M176" s="163">
        <v>-4.01</v>
      </c>
      <c r="N176" s="161">
        <v>-3.2</v>
      </c>
      <c r="O176" s="164" t="s">
        <v>1790</v>
      </c>
    </row>
    <row r="177" spans="1:15" ht="43.2">
      <c r="A177" s="161" t="s">
        <v>2092</v>
      </c>
      <c r="B177" s="161" t="s">
        <v>1752</v>
      </c>
      <c r="C177" s="161" t="s">
        <v>1786</v>
      </c>
      <c r="D177" s="162">
        <v>43384</v>
      </c>
      <c r="E177" s="161" t="s">
        <v>2093</v>
      </c>
      <c r="F177" s="161" t="s">
        <v>1769</v>
      </c>
      <c r="G177" s="161">
        <v>1</v>
      </c>
      <c r="H177" s="161">
        <v>12</v>
      </c>
      <c r="I177" s="161">
        <v>13.5</v>
      </c>
      <c r="J177" s="161">
        <v>102</v>
      </c>
      <c r="K177" s="161"/>
      <c r="L177" s="163">
        <v>-1.04</v>
      </c>
      <c r="M177" s="163">
        <v>0.55000000000000004</v>
      </c>
      <c r="N177" s="161">
        <v>-2.0499999999999998</v>
      </c>
      <c r="O177" s="164" t="s">
        <v>1747</v>
      </c>
    </row>
    <row r="178" spans="1:15" ht="43.2">
      <c r="A178" s="161" t="s">
        <v>2094</v>
      </c>
      <c r="B178" s="161" t="s">
        <v>1752</v>
      </c>
      <c r="C178" s="161" t="s">
        <v>1744</v>
      </c>
      <c r="D178" s="162">
        <v>44217</v>
      </c>
      <c r="E178" s="161" t="s">
        <v>2095</v>
      </c>
      <c r="F178" s="161" t="s">
        <v>1769</v>
      </c>
      <c r="G178" s="161">
        <v>1</v>
      </c>
      <c r="H178" s="161">
        <v>12</v>
      </c>
      <c r="I178" s="161">
        <v>13.35</v>
      </c>
      <c r="J178" s="161">
        <v>80</v>
      </c>
      <c r="K178" s="161">
        <v>19</v>
      </c>
      <c r="L178" s="163">
        <v>0.87</v>
      </c>
      <c r="M178" s="163">
        <v>-2.25</v>
      </c>
      <c r="N178" s="161">
        <v>2.69</v>
      </c>
      <c r="O178" s="164" t="s">
        <v>2078</v>
      </c>
    </row>
    <row r="179" spans="1:15" ht="57.6">
      <c r="A179" s="161" t="s">
        <v>2096</v>
      </c>
      <c r="B179" s="161" t="s">
        <v>1752</v>
      </c>
      <c r="C179" s="161" t="s">
        <v>1786</v>
      </c>
      <c r="D179" s="162">
        <v>43395</v>
      </c>
      <c r="E179" s="161" t="s">
        <v>2097</v>
      </c>
      <c r="F179" s="161" t="s">
        <v>1769</v>
      </c>
      <c r="G179" s="161">
        <v>6</v>
      </c>
      <c r="H179" s="161">
        <v>5</v>
      </c>
      <c r="I179" s="161">
        <v>13.5</v>
      </c>
      <c r="J179" s="161">
        <v>102</v>
      </c>
      <c r="K179" s="161"/>
      <c r="L179" s="163">
        <v>-1</v>
      </c>
      <c r="M179" s="163">
        <v>0.61</v>
      </c>
      <c r="N179" s="161">
        <v>-2.0499999999999998</v>
      </c>
      <c r="O179" s="164" t="s">
        <v>1747</v>
      </c>
    </row>
    <row r="180" spans="1:15" ht="43.2">
      <c r="A180" s="161" t="s">
        <v>2098</v>
      </c>
      <c r="B180" s="161" t="s">
        <v>1752</v>
      </c>
      <c r="C180" s="161" t="s">
        <v>1744</v>
      </c>
      <c r="D180" s="162">
        <v>44286</v>
      </c>
      <c r="E180" s="161" t="s">
        <v>2099</v>
      </c>
      <c r="F180" s="161" t="s">
        <v>1769</v>
      </c>
      <c r="G180" s="161">
        <v>9</v>
      </c>
      <c r="H180" s="161">
        <v>5</v>
      </c>
      <c r="I180" s="161">
        <v>8.8000000000000007</v>
      </c>
      <c r="J180" s="161">
        <v>79</v>
      </c>
      <c r="K180" s="161"/>
      <c r="L180" s="163">
        <v>-2.4500000000000002</v>
      </c>
      <c r="M180" s="163">
        <v>-2.21</v>
      </c>
      <c r="N180" s="161">
        <v>-1.9</v>
      </c>
      <c r="O180" s="164" t="s">
        <v>1760</v>
      </c>
    </row>
    <row r="181" spans="1:15" ht="43.2">
      <c r="A181" s="161" t="s">
        <v>2100</v>
      </c>
      <c r="B181" s="161" t="s">
        <v>1752</v>
      </c>
      <c r="C181" s="161" t="s">
        <v>1786</v>
      </c>
      <c r="D181" s="162">
        <v>43397</v>
      </c>
      <c r="E181" s="161" t="s">
        <v>2101</v>
      </c>
      <c r="F181" s="161" t="s">
        <v>1769</v>
      </c>
      <c r="G181" s="161">
        <v>9</v>
      </c>
      <c r="H181" s="161">
        <v>12</v>
      </c>
      <c r="I181" s="161">
        <v>13.5</v>
      </c>
      <c r="J181" s="161">
        <v>102</v>
      </c>
      <c r="K181" s="161"/>
      <c r="L181" s="163">
        <v>-1</v>
      </c>
      <c r="M181" s="163">
        <v>0.62</v>
      </c>
      <c r="N181" s="161">
        <v>-2.0499999999999998</v>
      </c>
      <c r="O181" s="164" t="s">
        <v>1747</v>
      </c>
    </row>
    <row r="182" spans="1:15" ht="43.2">
      <c r="A182" s="161" t="s">
        <v>2102</v>
      </c>
      <c r="B182" s="161" t="s">
        <v>1752</v>
      </c>
      <c r="C182" s="161" t="s">
        <v>1786</v>
      </c>
      <c r="D182" s="162">
        <v>43398</v>
      </c>
      <c r="E182" s="161" t="s">
        <v>2103</v>
      </c>
      <c r="F182" s="161" t="s">
        <v>1774</v>
      </c>
      <c r="G182" s="161">
        <v>2</v>
      </c>
      <c r="H182" s="161">
        <v>7</v>
      </c>
      <c r="I182" s="161">
        <v>13.5</v>
      </c>
      <c r="J182" s="161">
        <v>102</v>
      </c>
      <c r="K182" s="161"/>
      <c r="L182" s="163">
        <v>-1</v>
      </c>
      <c r="M182" s="163">
        <v>0.62</v>
      </c>
      <c r="N182" s="161">
        <v>-2.0499999999999998</v>
      </c>
      <c r="O182" s="164" t="s">
        <v>1747</v>
      </c>
    </row>
    <row r="183" spans="1:15" ht="43.2">
      <c r="A183" s="161" t="s">
        <v>2104</v>
      </c>
      <c r="B183" s="161" t="s">
        <v>1752</v>
      </c>
      <c r="C183" s="161" t="s">
        <v>1755</v>
      </c>
      <c r="D183" s="162">
        <v>44371</v>
      </c>
      <c r="E183" s="161" t="s">
        <v>2105</v>
      </c>
      <c r="F183" s="161" t="s">
        <v>1777</v>
      </c>
      <c r="G183" s="161">
        <v>4</v>
      </c>
      <c r="H183" s="161">
        <v>2</v>
      </c>
      <c r="I183" s="161">
        <v>9</v>
      </c>
      <c r="J183" s="161">
        <v>76.400000000000006</v>
      </c>
      <c r="K183" s="161">
        <v>16.5</v>
      </c>
      <c r="L183" s="163">
        <v>-1.85</v>
      </c>
      <c r="M183" s="163">
        <v>-2.36</v>
      </c>
      <c r="N183" s="161">
        <v>-1.02</v>
      </c>
      <c r="O183" s="164" t="s">
        <v>1760</v>
      </c>
    </row>
    <row r="184" spans="1:15" ht="57.6">
      <c r="A184" s="161" t="s">
        <v>2106</v>
      </c>
      <c r="B184" s="161" t="s">
        <v>1752</v>
      </c>
      <c r="C184" s="161" t="s">
        <v>1786</v>
      </c>
      <c r="D184" s="162">
        <v>43406</v>
      </c>
      <c r="E184" s="161" t="s">
        <v>2107</v>
      </c>
      <c r="F184" s="161" t="s">
        <v>1777</v>
      </c>
      <c r="G184" s="161">
        <v>4</v>
      </c>
      <c r="H184" s="161">
        <v>2</v>
      </c>
      <c r="I184" s="161">
        <v>13.2</v>
      </c>
      <c r="J184" s="161">
        <v>101</v>
      </c>
      <c r="K184" s="161"/>
      <c r="L184" s="163">
        <v>-1.1599999999999999</v>
      </c>
      <c r="M184" s="163">
        <v>0.41</v>
      </c>
      <c r="N184" s="161">
        <v>-2.11</v>
      </c>
      <c r="O184" s="164" t="s">
        <v>1747</v>
      </c>
    </row>
    <row r="185" spans="1:15" ht="43.2">
      <c r="A185" s="161" t="s">
        <v>2108</v>
      </c>
      <c r="B185" s="161" t="s">
        <v>1752</v>
      </c>
      <c r="C185" s="161" t="s">
        <v>1786</v>
      </c>
      <c r="D185" s="162">
        <v>43407</v>
      </c>
      <c r="E185" s="161" t="s">
        <v>2109</v>
      </c>
      <c r="F185" s="161" t="s">
        <v>1777</v>
      </c>
      <c r="G185" s="161">
        <v>4</v>
      </c>
      <c r="H185" s="161">
        <v>2</v>
      </c>
      <c r="I185" s="161">
        <v>13.2</v>
      </c>
      <c r="J185" s="161">
        <v>101</v>
      </c>
      <c r="K185" s="161"/>
      <c r="L185" s="163">
        <v>-1.1499999999999999</v>
      </c>
      <c r="M185" s="163">
        <v>0.42</v>
      </c>
      <c r="N185" s="161">
        <v>-2.11</v>
      </c>
      <c r="O185" s="164" t="s">
        <v>1747</v>
      </c>
    </row>
    <row r="186" spans="1:15" ht="43.2">
      <c r="A186" s="161" t="s">
        <v>2110</v>
      </c>
      <c r="B186" s="161" t="s">
        <v>1752</v>
      </c>
      <c r="C186" s="161" t="s">
        <v>1786</v>
      </c>
      <c r="D186" s="162">
        <v>43412</v>
      </c>
      <c r="E186" s="161" t="s">
        <v>2111</v>
      </c>
      <c r="F186" s="161" t="s">
        <v>1777</v>
      </c>
      <c r="G186" s="161">
        <v>8</v>
      </c>
      <c r="H186" s="161">
        <v>5</v>
      </c>
      <c r="I186" s="161">
        <v>13.2</v>
      </c>
      <c r="J186" s="161">
        <v>101</v>
      </c>
      <c r="K186" s="161"/>
      <c r="L186" s="163">
        <v>-1.1399999999999999</v>
      </c>
      <c r="M186" s="163">
        <v>0.44</v>
      </c>
      <c r="N186" s="161">
        <v>-2.11</v>
      </c>
      <c r="O186" s="164" t="s">
        <v>1747</v>
      </c>
    </row>
    <row r="187" spans="1:15" ht="43.2">
      <c r="A187" s="161" t="s">
        <v>2112</v>
      </c>
      <c r="B187" s="161" t="s">
        <v>1752</v>
      </c>
      <c r="C187" s="161" t="s">
        <v>1786</v>
      </c>
      <c r="D187" s="162">
        <v>43423</v>
      </c>
      <c r="E187" s="161" t="s">
        <v>2021</v>
      </c>
      <c r="F187" s="161" t="s">
        <v>1777</v>
      </c>
      <c r="G187" s="161">
        <v>7</v>
      </c>
      <c r="H187" s="161">
        <v>10</v>
      </c>
      <c r="I187" s="161">
        <v>13.2</v>
      </c>
      <c r="J187" s="161">
        <v>101</v>
      </c>
      <c r="K187" s="161"/>
      <c r="L187" s="163">
        <v>-1.1100000000000001</v>
      </c>
      <c r="M187" s="163">
        <v>0.5</v>
      </c>
      <c r="N187" s="161">
        <v>-2.11</v>
      </c>
      <c r="O187" s="164" t="s">
        <v>1747</v>
      </c>
    </row>
    <row r="188" spans="1:15" ht="43.2">
      <c r="A188" s="161" t="s">
        <v>2113</v>
      </c>
      <c r="B188" s="161" t="s">
        <v>1752</v>
      </c>
      <c r="C188" s="161" t="s">
        <v>1786</v>
      </c>
      <c r="D188" s="162">
        <v>43433</v>
      </c>
      <c r="E188" s="161" t="s">
        <v>1776</v>
      </c>
      <c r="F188" s="161" t="s">
        <v>1777</v>
      </c>
      <c r="G188" s="161">
        <v>1</v>
      </c>
      <c r="H188" s="161">
        <v>2</v>
      </c>
      <c r="I188" s="161">
        <v>13.2</v>
      </c>
      <c r="J188" s="161">
        <v>101</v>
      </c>
      <c r="K188" s="161"/>
      <c r="L188" s="163">
        <v>-1.08</v>
      </c>
      <c r="M188" s="163">
        <v>0.55000000000000004</v>
      </c>
      <c r="N188" s="161">
        <v>-2.11</v>
      </c>
      <c r="O188" s="164" t="s">
        <v>1747</v>
      </c>
    </row>
    <row r="189" spans="1:15" ht="43.2">
      <c r="A189" s="161" t="s">
        <v>2114</v>
      </c>
      <c r="B189" s="161" t="s">
        <v>1752</v>
      </c>
      <c r="C189" s="161" t="s">
        <v>1786</v>
      </c>
      <c r="D189" s="162">
        <v>43443</v>
      </c>
      <c r="E189" s="161" t="s">
        <v>2019</v>
      </c>
      <c r="F189" s="161" t="s">
        <v>1777</v>
      </c>
      <c r="G189" s="161">
        <v>1</v>
      </c>
      <c r="H189" s="161">
        <v>15</v>
      </c>
      <c r="I189" s="161">
        <v>13</v>
      </c>
      <c r="J189" s="161">
        <v>100</v>
      </c>
      <c r="K189" s="161"/>
      <c r="L189" s="163">
        <v>-1.18</v>
      </c>
      <c r="M189" s="163">
        <v>0.35</v>
      </c>
      <c r="N189" s="161">
        <v>-2.09</v>
      </c>
      <c r="O189" s="164" t="s">
        <v>1747</v>
      </c>
    </row>
    <row r="190" spans="1:15" ht="43.2">
      <c r="A190" s="161" t="s">
        <v>2115</v>
      </c>
      <c r="B190" s="161" t="s">
        <v>1752</v>
      </c>
      <c r="C190" s="161" t="s">
        <v>1786</v>
      </c>
      <c r="D190" s="162">
        <v>43458</v>
      </c>
      <c r="E190" s="161" t="s">
        <v>2011</v>
      </c>
      <c r="F190" s="161" t="s">
        <v>1777</v>
      </c>
      <c r="G190" s="161">
        <v>1</v>
      </c>
      <c r="H190" s="161">
        <v>9</v>
      </c>
      <c r="I190" s="161">
        <v>13</v>
      </c>
      <c r="J190" s="161">
        <v>100</v>
      </c>
      <c r="K190" s="161"/>
      <c r="L190" s="163">
        <v>-1.1299999999999999</v>
      </c>
      <c r="M190" s="163">
        <v>0.43</v>
      </c>
      <c r="N190" s="161">
        <v>-2.09</v>
      </c>
      <c r="O190" s="164" t="s">
        <v>1747</v>
      </c>
    </row>
    <row r="191" spans="1:15" ht="43.2">
      <c r="A191" s="161" t="s">
        <v>2116</v>
      </c>
      <c r="B191" s="161" t="s">
        <v>1743</v>
      </c>
      <c r="C191" s="161" t="s">
        <v>1749</v>
      </c>
      <c r="D191" s="162">
        <v>43853</v>
      </c>
      <c r="E191" s="161" t="s">
        <v>2117</v>
      </c>
      <c r="F191" s="161" t="s">
        <v>1781</v>
      </c>
      <c r="G191" s="161">
        <v>2</v>
      </c>
      <c r="H191" s="161">
        <v>9</v>
      </c>
      <c r="I191" s="161">
        <v>8.9</v>
      </c>
      <c r="J191" s="161">
        <v>84</v>
      </c>
      <c r="K191" s="161">
        <v>13</v>
      </c>
      <c r="L191" s="163">
        <v>-2.48</v>
      </c>
      <c r="M191" s="163">
        <v>-1.1000000000000001</v>
      </c>
      <c r="N191" s="161">
        <v>-2.64</v>
      </c>
      <c r="O191" s="164" t="s">
        <v>1747</v>
      </c>
    </row>
    <row r="192" spans="1:15" ht="43.2">
      <c r="A192" s="161" t="s">
        <v>2118</v>
      </c>
      <c r="B192" s="161" t="s">
        <v>1743</v>
      </c>
      <c r="C192" s="161" t="s">
        <v>1786</v>
      </c>
      <c r="D192" s="162">
        <v>43249</v>
      </c>
      <c r="E192" s="161" t="s">
        <v>2119</v>
      </c>
      <c r="F192" s="161" t="s">
        <v>1781</v>
      </c>
      <c r="G192" s="161">
        <v>2</v>
      </c>
      <c r="H192" s="161">
        <v>2</v>
      </c>
      <c r="I192" s="161">
        <v>13</v>
      </c>
      <c r="J192" s="161">
        <v>102.2</v>
      </c>
      <c r="K192" s="161"/>
      <c r="L192" s="163">
        <v>-1.49</v>
      </c>
      <c r="M192" s="163">
        <v>0.04</v>
      </c>
      <c r="N192" s="161">
        <v>-2.27</v>
      </c>
      <c r="O192" s="164" t="s">
        <v>1747</v>
      </c>
    </row>
    <row r="193" spans="1:15" ht="28.8">
      <c r="A193" s="161" t="s">
        <v>2120</v>
      </c>
      <c r="B193" s="161" t="s">
        <v>1752</v>
      </c>
      <c r="C193" s="161" t="s">
        <v>1786</v>
      </c>
      <c r="D193" s="162">
        <v>43314</v>
      </c>
      <c r="E193" s="161" t="s">
        <v>2036</v>
      </c>
      <c r="F193" s="161" t="s">
        <v>1784</v>
      </c>
      <c r="G193" s="161">
        <v>2</v>
      </c>
      <c r="H193" s="161">
        <v>4</v>
      </c>
      <c r="I193" s="161">
        <v>12.9</v>
      </c>
      <c r="J193" s="161">
        <v>102</v>
      </c>
      <c r="K193" s="161"/>
      <c r="L193" s="163">
        <v>-1.63</v>
      </c>
      <c r="M193" s="163">
        <v>0.13</v>
      </c>
      <c r="N193" s="161">
        <v>-2.63</v>
      </c>
      <c r="O193" s="164" t="s">
        <v>1747</v>
      </c>
    </row>
    <row r="194" spans="1:15" ht="43.2">
      <c r="A194" s="161" t="s">
        <v>2121</v>
      </c>
      <c r="B194" s="161" t="s">
        <v>1743</v>
      </c>
      <c r="C194" s="161" t="s">
        <v>1786</v>
      </c>
      <c r="D194" s="162">
        <v>43462</v>
      </c>
      <c r="E194" s="161" t="s">
        <v>1907</v>
      </c>
      <c r="F194" s="161" t="s">
        <v>1784</v>
      </c>
      <c r="G194" s="161">
        <v>3</v>
      </c>
      <c r="H194" s="161">
        <v>2</v>
      </c>
      <c r="I194" s="161">
        <v>13</v>
      </c>
      <c r="J194" s="161">
        <v>101.2</v>
      </c>
      <c r="K194" s="161"/>
      <c r="L194" s="163">
        <v>-0.88</v>
      </c>
      <c r="M194" s="163">
        <v>0.89</v>
      </c>
      <c r="N194" s="161">
        <v>-2.0499999999999998</v>
      </c>
      <c r="O194" s="164" t="s">
        <v>1747</v>
      </c>
    </row>
    <row r="195" spans="1:15" ht="28.8">
      <c r="A195" s="161" t="s">
        <v>2122</v>
      </c>
      <c r="B195" s="161" t="s">
        <v>1743</v>
      </c>
      <c r="C195" s="161" t="s">
        <v>1786</v>
      </c>
      <c r="D195" s="162">
        <v>43524</v>
      </c>
      <c r="E195" s="161" t="s">
        <v>1802</v>
      </c>
      <c r="F195" s="161" t="s">
        <v>1784</v>
      </c>
      <c r="G195" s="161">
        <v>3</v>
      </c>
      <c r="H195" s="161">
        <v>7</v>
      </c>
      <c r="I195" s="161">
        <v>11.4</v>
      </c>
      <c r="J195" s="161">
        <v>94.3</v>
      </c>
      <c r="K195" s="161"/>
      <c r="L195" s="163">
        <v>-1.74</v>
      </c>
      <c r="M195" s="163">
        <v>-0.51</v>
      </c>
      <c r="N195" s="161">
        <v>-2.14</v>
      </c>
      <c r="O195" s="164" t="s">
        <v>1747</v>
      </c>
    </row>
    <row r="196" spans="1:15" ht="28.8">
      <c r="A196" s="161" t="s">
        <v>2123</v>
      </c>
      <c r="B196" s="161" t="s">
        <v>1752</v>
      </c>
      <c r="C196" s="161" t="s">
        <v>1749</v>
      </c>
      <c r="D196" s="162">
        <v>43725</v>
      </c>
      <c r="E196" s="161" t="s">
        <v>1798</v>
      </c>
      <c r="F196" s="161" t="s">
        <v>1784</v>
      </c>
      <c r="G196" s="161">
        <v>4</v>
      </c>
      <c r="H196" s="161">
        <v>5</v>
      </c>
      <c r="I196" s="161">
        <v>11.2</v>
      </c>
      <c r="J196" s="161">
        <v>94</v>
      </c>
      <c r="K196" s="161"/>
      <c r="L196" s="163">
        <v>-1.59</v>
      </c>
      <c r="M196" s="163">
        <v>0.34</v>
      </c>
      <c r="N196" s="161">
        <v>-2.71</v>
      </c>
      <c r="O196" s="164" t="s">
        <v>1747</v>
      </c>
    </row>
    <row r="197" spans="1:15" ht="43.2">
      <c r="A197" s="161" t="s">
        <v>2124</v>
      </c>
      <c r="B197" s="161" t="s">
        <v>1752</v>
      </c>
      <c r="C197" s="161" t="s">
        <v>1749</v>
      </c>
      <c r="D197" s="162">
        <v>43733</v>
      </c>
      <c r="E197" s="161" t="s">
        <v>2125</v>
      </c>
      <c r="F197" s="161" t="s">
        <v>1807</v>
      </c>
      <c r="G197" s="161">
        <v>3</v>
      </c>
      <c r="H197" s="161">
        <v>4</v>
      </c>
      <c r="I197" s="161">
        <v>11.2</v>
      </c>
      <c r="J197" s="161">
        <v>93.1</v>
      </c>
      <c r="K197" s="161"/>
      <c r="L197" s="163">
        <v>-1.57</v>
      </c>
      <c r="M197" s="163">
        <v>0.14000000000000001</v>
      </c>
      <c r="N197" s="161">
        <v>-2.5099999999999998</v>
      </c>
      <c r="O197" s="164" t="s">
        <v>1747</v>
      </c>
    </row>
    <row r="198" spans="1:15" ht="43.2">
      <c r="A198" s="161" t="s">
        <v>2126</v>
      </c>
      <c r="B198" s="161" t="s">
        <v>1752</v>
      </c>
      <c r="C198" s="161" t="s">
        <v>1755</v>
      </c>
      <c r="D198" s="162">
        <v>44673</v>
      </c>
      <c r="E198" s="161" t="s">
        <v>2127</v>
      </c>
      <c r="F198" s="161" t="s">
        <v>1807</v>
      </c>
      <c r="G198" s="161">
        <v>2</v>
      </c>
      <c r="H198" s="161">
        <v>3</v>
      </c>
      <c r="I198" s="161">
        <v>2.2000000000000002</v>
      </c>
      <c r="J198" s="161">
        <v>48</v>
      </c>
      <c r="K198" s="161"/>
      <c r="L198" s="163">
        <v>-4.0599999999999996</v>
      </c>
      <c r="M198" s="163">
        <v>-2.5099999999999998</v>
      </c>
      <c r="N198" s="161">
        <v>-3.86</v>
      </c>
      <c r="O198" s="164" t="s">
        <v>1790</v>
      </c>
    </row>
    <row r="199" spans="1:15" ht="43.2">
      <c r="A199" s="161" t="s">
        <v>2128</v>
      </c>
      <c r="B199" s="161" t="s">
        <v>1752</v>
      </c>
      <c r="C199" s="161" t="s">
        <v>1755</v>
      </c>
      <c r="D199" s="162">
        <v>44657</v>
      </c>
      <c r="E199" s="161" t="s">
        <v>2129</v>
      </c>
      <c r="F199" s="161" t="s">
        <v>1746</v>
      </c>
      <c r="G199" s="161">
        <v>6</v>
      </c>
      <c r="H199" s="161">
        <v>1</v>
      </c>
      <c r="I199" s="161">
        <v>2.5</v>
      </c>
      <c r="J199" s="161">
        <v>48</v>
      </c>
      <c r="K199" s="161"/>
      <c r="L199" s="163">
        <v>-2.13</v>
      </c>
      <c r="M199" s="163">
        <v>-1.18</v>
      </c>
      <c r="N199" s="161">
        <v>-2.39</v>
      </c>
      <c r="O199" s="164" t="s">
        <v>1747</v>
      </c>
    </row>
    <row r="200" spans="1:15" ht="28.8">
      <c r="A200" s="161" t="s">
        <v>2130</v>
      </c>
      <c r="B200" s="161" t="s">
        <v>1752</v>
      </c>
      <c r="C200" s="161" t="s">
        <v>1744</v>
      </c>
      <c r="D200" s="162">
        <v>44144</v>
      </c>
      <c r="E200" s="161" t="s">
        <v>2131</v>
      </c>
      <c r="F200" s="161" t="s">
        <v>1746</v>
      </c>
      <c r="G200" s="161">
        <v>5</v>
      </c>
      <c r="H200" s="161">
        <v>3</v>
      </c>
      <c r="I200" s="161">
        <v>8.5</v>
      </c>
      <c r="J200" s="161">
        <v>78.5</v>
      </c>
      <c r="K200" s="161"/>
      <c r="L200" s="163">
        <v>-2.1</v>
      </c>
      <c r="M200" s="163">
        <v>-1.04</v>
      </c>
      <c r="N200" s="161">
        <v>-2.23</v>
      </c>
      <c r="O200" s="164" t="s">
        <v>1747</v>
      </c>
    </row>
    <row r="201" spans="1:15" ht="43.2">
      <c r="A201" s="161" t="s">
        <v>2132</v>
      </c>
      <c r="B201" s="161" t="s">
        <v>1743</v>
      </c>
      <c r="C201" s="161" t="s">
        <v>1755</v>
      </c>
      <c r="D201" s="162">
        <v>44505</v>
      </c>
      <c r="E201" s="161" t="s">
        <v>2133</v>
      </c>
      <c r="F201" s="161" t="s">
        <v>1746</v>
      </c>
      <c r="G201" s="161">
        <v>4</v>
      </c>
      <c r="H201" s="161">
        <v>3</v>
      </c>
      <c r="I201" s="161">
        <v>5.4</v>
      </c>
      <c r="J201" s="161">
        <v>64.2</v>
      </c>
      <c r="K201" s="161"/>
      <c r="L201" s="163">
        <v>-2.0699999999999998</v>
      </c>
      <c r="M201" s="163">
        <v>-0.02</v>
      </c>
      <c r="N201" s="161">
        <v>-2.81</v>
      </c>
      <c r="O201" s="164" t="s">
        <v>1747</v>
      </c>
    </row>
    <row r="202" spans="1:15" ht="28.8">
      <c r="A202" s="161" t="s">
        <v>2134</v>
      </c>
      <c r="B202" s="161" t="s">
        <v>1752</v>
      </c>
      <c r="C202" s="161" t="s">
        <v>1755</v>
      </c>
      <c r="D202" s="162">
        <v>44658</v>
      </c>
      <c r="E202" s="161" t="s">
        <v>2135</v>
      </c>
      <c r="F202" s="161" t="s">
        <v>1746</v>
      </c>
      <c r="G202" s="161">
        <v>6</v>
      </c>
      <c r="H202" s="161">
        <v>4</v>
      </c>
      <c r="I202" s="161">
        <v>2.9</v>
      </c>
      <c r="J202" s="161">
        <v>50</v>
      </c>
      <c r="K202" s="161"/>
      <c r="L202" s="163">
        <v>-1.24</v>
      </c>
      <c r="M202" s="163">
        <v>-0.22</v>
      </c>
      <c r="N202" s="161">
        <v>-2.1</v>
      </c>
      <c r="O202" s="164" t="s">
        <v>1747</v>
      </c>
    </row>
    <row r="203" spans="1:15" ht="43.2">
      <c r="A203" s="161" t="s">
        <v>2136</v>
      </c>
      <c r="B203" s="161" t="s">
        <v>1743</v>
      </c>
      <c r="C203" s="161" t="s">
        <v>1866</v>
      </c>
      <c r="D203" s="162">
        <v>42835</v>
      </c>
      <c r="E203" s="161" t="s">
        <v>2137</v>
      </c>
      <c r="F203" s="161" t="s">
        <v>1769</v>
      </c>
      <c r="G203" s="161">
        <v>1</v>
      </c>
      <c r="H203" s="161">
        <v>12</v>
      </c>
      <c r="I203" s="161">
        <v>15</v>
      </c>
      <c r="J203" s="161">
        <v>110</v>
      </c>
      <c r="K203" s="161"/>
      <c r="L203" s="163">
        <v>-1.39</v>
      </c>
      <c r="M203" s="163">
        <v>7.0000000000000007E-2</v>
      </c>
      <c r="N203" s="161">
        <v>-2.38</v>
      </c>
      <c r="O203" s="164" t="s">
        <v>1747</v>
      </c>
    </row>
    <row r="204" spans="1:15" ht="57.6">
      <c r="A204" s="161" t="s">
        <v>2138</v>
      </c>
      <c r="B204" s="161" t="s">
        <v>1752</v>
      </c>
      <c r="C204" s="161" t="s">
        <v>1749</v>
      </c>
      <c r="D204" s="162">
        <v>43798</v>
      </c>
      <c r="E204" s="161" t="s">
        <v>2139</v>
      </c>
      <c r="F204" s="161" t="s">
        <v>1769</v>
      </c>
      <c r="G204" s="161">
        <v>4</v>
      </c>
      <c r="H204" s="161">
        <v>8</v>
      </c>
      <c r="I204" s="161">
        <v>11.2</v>
      </c>
      <c r="J204" s="161">
        <v>94.3</v>
      </c>
      <c r="K204" s="161"/>
      <c r="L204" s="163">
        <v>-1.33</v>
      </c>
      <c r="M204" s="163">
        <v>0.98</v>
      </c>
      <c r="N204" s="161">
        <v>-2.78</v>
      </c>
      <c r="O204" s="164" t="s">
        <v>1747</v>
      </c>
    </row>
    <row r="205" spans="1:15" ht="43.2">
      <c r="A205" s="161" t="s">
        <v>2140</v>
      </c>
      <c r="B205" s="161" t="s">
        <v>1752</v>
      </c>
      <c r="C205" s="161" t="s">
        <v>1779</v>
      </c>
      <c r="D205" s="162">
        <v>43215</v>
      </c>
      <c r="E205" s="161" t="s">
        <v>2141</v>
      </c>
      <c r="F205" s="161" t="s">
        <v>1769</v>
      </c>
      <c r="G205" s="161">
        <v>4</v>
      </c>
      <c r="H205" s="161">
        <v>1</v>
      </c>
      <c r="I205" s="161">
        <v>13.1</v>
      </c>
      <c r="J205" s="161">
        <v>102</v>
      </c>
      <c r="K205" s="161"/>
      <c r="L205" s="163">
        <v>-1.82</v>
      </c>
      <c r="M205" s="163">
        <v>-0.42</v>
      </c>
      <c r="N205" s="161">
        <v>-2.4300000000000002</v>
      </c>
      <c r="O205" s="164" t="s">
        <v>1747</v>
      </c>
    </row>
    <row r="206" spans="1:15" ht="43.2">
      <c r="A206" s="161" t="s">
        <v>2142</v>
      </c>
      <c r="B206" s="161" t="s">
        <v>1752</v>
      </c>
      <c r="C206" s="161" t="s">
        <v>1755</v>
      </c>
      <c r="D206" s="162">
        <v>44317</v>
      </c>
      <c r="E206" s="161" t="s">
        <v>2143</v>
      </c>
      <c r="F206" s="161" t="s">
        <v>1769</v>
      </c>
      <c r="G206" s="161">
        <v>4</v>
      </c>
      <c r="H206" s="161">
        <v>1</v>
      </c>
      <c r="I206" s="161">
        <v>2.2999999999999998</v>
      </c>
      <c r="J206" s="161">
        <v>47</v>
      </c>
      <c r="K206" s="161"/>
      <c r="L206" s="163">
        <v>-2.36</v>
      </c>
      <c r="M206" s="163">
        <v>-1.25</v>
      </c>
      <c r="N206" s="161">
        <v>-2.66</v>
      </c>
      <c r="O206" s="164" t="s">
        <v>1747</v>
      </c>
    </row>
    <row r="207" spans="1:15" ht="43.2">
      <c r="A207" s="161" t="s">
        <v>2144</v>
      </c>
      <c r="B207" s="161" t="s">
        <v>1752</v>
      </c>
      <c r="C207" s="161" t="s">
        <v>1786</v>
      </c>
      <c r="D207" s="162">
        <v>43530</v>
      </c>
      <c r="E207" s="161" t="s">
        <v>2145</v>
      </c>
      <c r="F207" s="161" t="s">
        <v>1769</v>
      </c>
      <c r="G207" s="161">
        <v>4</v>
      </c>
      <c r="H207" s="161">
        <v>3</v>
      </c>
      <c r="I207" s="161">
        <v>11</v>
      </c>
      <c r="J207" s="161">
        <v>91</v>
      </c>
      <c r="K207" s="161"/>
      <c r="L207" s="163">
        <v>-2.41</v>
      </c>
      <c r="M207" s="163">
        <v>-1.71</v>
      </c>
      <c r="N207" s="161">
        <v>-2.27</v>
      </c>
      <c r="O207" s="164" t="s">
        <v>1747</v>
      </c>
    </row>
    <row r="208" spans="1:15" ht="43.2">
      <c r="A208" s="161" t="s">
        <v>2146</v>
      </c>
      <c r="B208" s="161" t="s">
        <v>1743</v>
      </c>
      <c r="C208" s="161" t="s">
        <v>1779</v>
      </c>
      <c r="D208" s="162">
        <v>42888</v>
      </c>
      <c r="E208" s="161" t="s">
        <v>1771</v>
      </c>
      <c r="F208" s="161" t="s">
        <v>1769</v>
      </c>
      <c r="G208" s="161">
        <v>2</v>
      </c>
      <c r="H208" s="161">
        <v>8</v>
      </c>
      <c r="I208" s="161">
        <v>14.3</v>
      </c>
      <c r="J208" s="161">
        <v>106</v>
      </c>
      <c r="K208" s="161"/>
      <c r="L208" s="163">
        <v>-1.66</v>
      </c>
      <c r="M208" s="163">
        <v>-0.65</v>
      </c>
      <c r="N208" s="161">
        <v>-2.0099999999999998</v>
      </c>
      <c r="O208" s="164" t="s">
        <v>1747</v>
      </c>
    </row>
    <row r="209" spans="1:15" ht="43.2">
      <c r="A209" s="161" t="s">
        <v>2147</v>
      </c>
      <c r="B209" s="161" t="s">
        <v>1743</v>
      </c>
      <c r="C209" s="161" t="s">
        <v>1779</v>
      </c>
      <c r="D209" s="162">
        <v>43176</v>
      </c>
      <c r="E209" s="161" t="s">
        <v>2148</v>
      </c>
      <c r="F209" s="161" t="s">
        <v>1769</v>
      </c>
      <c r="G209" s="161">
        <v>4</v>
      </c>
      <c r="H209" s="161">
        <v>8</v>
      </c>
      <c r="I209" s="161">
        <v>13.2</v>
      </c>
      <c r="J209" s="161">
        <v>102.3</v>
      </c>
      <c r="K209" s="161"/>
      <c r="L209" s="163">
        <v>-1.64</v>
      </c>
      <c r="M209" s="163">
        <v>-0.4</v>
      </c>
      <c r="N209" s="161">
        <v>-2.11</v>
      </c>
      <c r="O209" s="164" t="s">
        <v>1747</v>
      </c>
    </row>
    <row r="210" spans="1:15" ht="43.2">
      <c r="A210" s="161" t="s">
        <v>2149</v>
      </c>
      <c r="B210" s="161" t="s">
        <v>1752</v>
      </c>
      <c r="C210" s="161" t="s">
        <v>1779</v>
      </c>
      <c r="D210" s="162">
        <v>43181</v>
      </c>
      <c r="E210" s="161" t="s">
        <v>2150</v>
      </c>
      <c r="F210" s="161" t="s">
        <v>1769</v>
      </c>
      <c r="G210" s="161">
        <v>7</v>
      </c>
      <c r="H210" s="161">
        <v>1</v>
      </c>
      <c r="I210" s="161">
        <v>13.2</v>
      </c>
      <c r="J210" s="161">
        <v>102</v>
      </c>
      <c r="K210" s="161"/>
      <c r="L210" s="163">
        <v>-1.85</v>
      </c>
      <c r="M210" s="163">
        <v>-0.57999999999999996</v>
      </c>
      <c r="N210" s="161">
        <v>-2.34</v>
      </c>
      <c r="O210" s="164" t="s">
        <v>1747</v>
      </c>
    </row>
    <row r="211" spans="1:15" ht="43.2">
      <c r="A211" s="161" t="s">
        <v>2151</v>
      </c>
      <c r="B211" s="161" t="s">
        <v>1752</v>
      </c>
      <c r="C211" s="161" t="s">
        <v>1779</v>
      </c>
      <c r="D211" s="162">
        <v>43189</v>
      </c>
      <c r="E211" s="161" t="s">
        <v>2152</v>
      </c>
      <c r="F211" s="161" t="s">
        <v>1769</v>
      </c>
      <c r="G211" s="161">
        <v>4</v>
      </c>
      <c r="H211" s="161">
        <v>1</v>
      </c>
      <c r="I211" s="161">
        <v>13.5</v>
      </c>
      <c r="J211" s="161">
        <v>102.6</v>
      </c>
      <c r="K211" s="161"/>
      <c r="L211" s="163">
        <v>-1.65</v>
      </c>
      <c r="M211" s="163">
        <v>-0.41</v>
      </c>
      <c r="N211" s="161">
        <v>-2.1800000000000002</v>
      </c>
      <c r="O211" s="164" t="s">
        <v>1747</v>
      </c>
    </row>
    <row r="212" spans="1:15" ht="43.2">
      <c r="A212" s="161" t="s">
        <v>2153</v>
      </c>
      <c r="B212" s="161" t="s">
        <v>1752</v>
      </c>
      <c r="C212" s="161" t="s">
        <v>1779</v>
      </c>
      <c r="D212" s="162">
        <v>43197</v>
      </c>
      <c r="E212" s="161" t="s">
        <v>2154</v>
      </c>
      <c r="F212" s="161" t="s">
        <v>1769</v>
      </c>
      <c r="G212" s="161">
        <v>8</v>
      </c>
      <c r="H212" s="161">
        <v>1</v>
      </c>
      <c r="I212" s="161">
        <v>12.9</v>
      </c>
      <c r="J212" s="161">
        <v>101.8</v>
      </c>
      <c r="K212" s="161"/>
      <c r="L212" s="163">
        <v>-1.99</v>
      </c>
      <c r="M212" s="163">
        <v>-0.56000000000000005</v>
      </c>
      <c r="N212" s="161">
        <v>-2.59</v>
      </c>
      <c r="O212" s="164" t="s">
        <v>1747</v>
      </c>
    </row>
    <row r="213" spans="1:15" ht="43.2">
      <c r="A213" s="161" t="s">
        <v>2155</v>
      </c>
      <c r="B213" s="161" t="s">
        <v>1752</v>
      </c>
      <c r="C213" s="161" t="s">
        <v>1779</v>
      </c>
      <c r="D213" s="162">
        <v>43205</v>
      </c>
      <c r="E213" s="161" t="s">
        <v>2156</v>
      </c>
      <c r="F213" s="161" t="s">
        <v>1769</v>
      </c>
      <c r="G213" s="161">
        <v>4</v>
      </c>
      <c r="H213" s="161">
        <v>12</v>
      </c>
      <c r="I213" s="161">
        <v>13</v>
      </c>
      <c r="J213" s="161">
        <v>102</v>
      </c>
      <c r="K213" s="161"/>
      <c r="L213" s="163">
        <v>-1.91</v>
      </c>
      <c r="M213" s="163">
        <v>-0.48</v>
      </c>
      <c r="N213" s="161">
        <v>-2.5299999999999998</v>
      </c>
      <c r="O213" s="164" t="s">
        <v>1747</v>
      </c>
    </row>
    <row r="214" spans="1:15" ht="43.2">
      <c r="A214" s="161" t="s">
        <v>2157</v>
      </c>
      <c r="B214" s="161" t="s">
        <v>1752</v>
      </c>
      <c r="C214" s="161" t="s">
        <v>1786</v>
      </c>
      <c r="D214" s="162">
        <v>43226</v>
      </c>
      <c r="E214" s="161" t="s">
        <v>2158</v>
      </c>
      <c r="F214" s="161" t="s">
        <v>1769</v>
      </c>
      <c r="G214" s="161">
        <v>1</v>
      </c>
      <c r="H214" s="161">
        <v>2</v>
      </c>
      <c r="I214" s="161">
        <v>13.2</v>
      </c>
      <c r="J214" s="161">
        <v>101.6</v>
      </c>
      <c r="K214" s="161"/>
      <c r="L214" s="163">
        <v>-1.74</v>
      </c>
      <c r="M214" s="163">
        <v>-0.49</v>
      </c>
      <c r="N214" s="161">
        <v>-2.25</v>
      </c>
      <c r="O214" s="164" t="s">
        <v>1747</v>
      </c>
    </row>
    <row r="215" spans="1:15" ht="43.2">
      <c r="A215" s="161" t="s">
        <v>2159</v>
      </c>
      <c r="B215" s="161" t="s">
        <v>1752</v>
      </c>
      <c r="C215" s="161" t="s">
        <v>1786</v>
      </c>
      <c r="D215" s="162">
        <v>43242</v>
      </c>
      <c r="E215" s="161" t="s">
        <v>1924</v>
      </c>
      <c r="F215" s="161" t="s">
        <v>1769</v>
      </c>
      <c r="G215" s="161">
        <v>4</v>
      </c>
      <c r="H215" s="161">
        <v>8</v>
      </c>
      <c r="I215" s="161">
        <v>13</v>
      </c>
      <c r="J215" s="161">
        <v>101</v>
      </c>
      <c r="K215" s="161"/>
      <c r="L215" s="163">
        <v>-1.82</v>
      </c>
      <c r="M215" s="163">
        <v>-0.56000000000000005</v>
      </c>
      <c r="N215" s="161">
        <v>-2.31</v>
      </c>
      <c r="O215" s="164" t="s">
        <v>1747</v>
      </c>
    </row>
    <row r="216" spans="1:15" ht="43.2">
      <c r="A216" s="161" t="s">
        <v>2160</v>
      </c>
      <c r="B216" s="161" t="s">
        <v>1752</v>
      </c>
      <c r="C216" s="161" t="s">
        <v>1786</v>
      </c>
      <c r="D216" s="162">
        <v>43245</v>
      </c>
      <c r="E216" s="161" t="s">
        <v>2161</v>
      </c>
      <c r="F216" s="161" t="s">
        <v>1769</v>
      </c>
      <c r="G216" s="161">
        <v>8</v>
      </c>
      <c r="H216" s="161">
        <v>1</v>
      </c>
      <c r="I216" s="161">
        <v>13.4</v>
      </c>
      <c r="J216" s="161">
        <v>102</v>
      </c>
      <c r="K216" s="161"/>
      <c r="L216" s="163">
        <v>-1.57</v>
      </c>
      <c r="M216" s="163">
        <v>-0.31</v>
      </c>
      <c r="N216" s="161">
        <v>-2.14</v>
      </c>
      <c r="O216" s="164" t="s">
        <v>1747</v>
      </c>
    </row>
    <row r="217" spans="1:15" ht="43.2">
      <c r="A217" s="161" t="s">
        <v>2162</v>
      </c>
      <c r="B217" s="161" t="s">
        <v>1743</v>
      </c>
      <c r="C217" s="161" t="s">
        <v>1786</v>
      </c>
      <c r="D217" s="162">
        <v>43267</v>
      </c>
      <c r="E217" s="161" t="s">
        <v>2163</v>
      </c>
      <c r="F217" s="161" t="s">
        <v>1769</v>
      </c>
      <c r="G217" s="161">
        <v>8</v>
      </c>
      <c r="H217" s="161">
        <v>12</v>
      </c>
      <c r="I217" s="161">
        <v>13.1</v>
      </c>
      <c r="J217" s="161">
        <v>101.6</v>
      </c>
      <c r="K217" s="161"/>
      <c r="L217" s="163">
        <v>-1.46</v>
      </c>
      <c r="M217" s="163">
        <v>-0.16</v>
      </c>
      <c r="N217" s="161">
        <v>-2.0499999999999998</v>
      </c>
      <c r="O217" s="164" t="s">
        <v>1747</v>
      </c>
    </row>
    <row r="218" spans="1:15" ht="43.2">
      <c r="A218" s="161" t="s">
        <v>2164</v>
      </c>
      <c r="B218" s="161" t="s">
        <v>1752</v>
      </c>
      <c r="C218" s="161" t="s">
        <v>1786</v>
      </c>
      <c r="D218" s="162">
        <v>43330</v>
      </c>
      <c r="E218" s="161" t="s">
        <v>2165</v>
      </c>
      <c r="F218" s="161" t="s">
        <v>1769</v>
      </c>
      <c r="G218" s="161">
        <v>1</v>
      </c>
      <c r="H218" s="161">
        <v>12</v>
      </c>
      <c r="I218" s="161">
        <v>12.6</v>
      </c>
      <c r="J218" s="161">
        <v>102.4</v>
      </c>
      <c r="K218" s="161"/>
      <c r="L218" s="163">
        <v>-1.86</v>
      </c>
      <c r="M218" s="163">
        <v>0.17</v>
      </c>
      <c r="N218" s="161">
        <v>-3.02</v>
      </c>
      <c r="O218" s="164" t="s">
        <v>1790</v>
      </c>
    </row>
    <row r="219" spans="1:15" ht="57.6">
      <c r="A219" s="161" t="s">
        <v>2166</v>
      </c>
      <c r="B219" s="161" t="s">
        <v>1752</v>
      </c>
      <c r="C219" s="161" t="s">
        <v>1744</v>
      </c>
      <c r="D219" s="162">
        <v>43952</v>
      </c>
      <c r="E219" s="161" t="s">
        <v>2097</v>
      </c>
      <c r="F219" s="161" t="s">
        <v>1769</v>
      </c>
      <c r="G219" s="161">
        <v>6</v>
      </c>
      <c r="H219" s="161">
        <v>5</v>
      </c>
      <c r="I219" s="161">
        <v>11.7</v>
      </c>
      <c r="J219" s="161">
        <v>73.599999999999994</v>
      </c>
      <c r="K219" s="161"/>
      <c r="L219" s="163">
        <v>-0.3</v>
      </c>
      <c r="M219" s="163">
        <v>-4.5999999999999996</v>
      </c>
      <c r="N219" s="161">
        <v>2.77</v>
      </c>
      <c r="O219" s="164" t="s">
        <v>2078</v>
      </c>
    </row>
    <row r="220" spans="1:15" ht="43.2">
      <c r="A220" s="161" t="s">
        <v>2167</v>
      </c>
      <c r="B220" s="161" t="s">
        <v>1752</v>
      </c>
      <c r="C220" s="161" t="s">
        <v>1744</v>
      </c>
      <c r="D220" s="162">
        <v>43952</v>
      </c>
      <c r="E220" s="161" t="s">
        <v>2099</v>
      </c>
      <c r="F220" s="161" t="s">
        <v>1769</v>
      </c>
      <c r="G220" s="161">
        <v>9</v>
      </c>
      <c r="H220" s="161">
        <v>5</v>
      </c>
      <c r="I220" s="161">
        <v>11.4</v>
      </c>
      <c r="J220" s="161">
        <v>73.2</v>
      </c>
      <c r="K220" s="161"/>
      <c r="L220" s="163">
        <v>-0.52</v>
      </c>
      <c r="M220" s="163">
        <v>-4.74</v>
      </c>
      <c r="N220" s="161">
        <v>2.58</v>
      </c>
      <c r="O220" s="164" t="s">
        <v>2078</v>
      </c>
    </row>
    <row r="221" spans="1:15" ht="43.2">
      <c r="A221" s="161" t="s">
        <v>2168</v>
      </c>
      <c r="B221" s="161" t="s">
        <v>1752</v>
      </c>
      <c r="C221" s="161" t="s">
        <v>1744</v>
      </c>
      <c r="D221" s="162">
        <v>44027</v>
      </c>
      <c r="E221" s="161" t="s">
        <v>2169</v>
      </c>
      <c r="F221" s="161" t="s">
        <v>1769</v>
      </c>
      <c r="G221" s="161">
        <v>6</v>
      </c>
      <c r="H221" s="161">
        <v>2</v>
      </c>
      <c r="I221" s="161">
        <v>12</v>
      </c>
      <c r="J221" s="161">
        <v>73.2</v>
      </c>
      <c r="K221" s="161"/>
      <c r="L221" s="163">
        <v>0.3</v>
      </c>
      <c r="M221" s="163">
        <v>-4.22</v>
      </c>
      <c r="N221" s="161">
        <v>3.16</v>
      </c>
      <c r="O221" s="164" t="s">
        <v>2170</v>
      </c>
    </row>
    <row r="222" spans="1:15" ht="43.2">
      <c r="A222" s="161" t="s">
        <v>2171</v>
      </c>
      <c r="B222" s="161" t="s">
        <v>1752</v>
      </c>
      <c r="C222" s="161" t="s">
        <v>1744</v>
      </c>
      <c r="D222" s="162">
        <v>44035</v>
      </c>
      <c r="E222" s="161" t="s">
        <v>2172</v>
      </c>
      <c r="F222" s="161" t="s">
        <v>1769</v>
      </c>
      <c r="G222" s="161">
        <v>1</v>
      </c>
      <c r="H222" s="161">
        <v>12</v>
      </c>
      <c r="I222" s="161">
        <v>11.9</v>
      </c>
      <c r="J222" s="161">
        <v>73.099999999999994</v>
      </c>
      <c r="K222" s="161"/>
      <c r="L222" s="163">
        <v>0.26</v>
      </c>
      <c r="M222" s="163">
        <v>-4.1900000000000004</v>
      </c>
      <c r="N222" s="161">
        <v>3.09</v>
      </c>
      <c r="O222" s="164" t="s">
        <v>2170</v>
      </c>
    </row>
    <row r="223" spans="1:15" ht="43.2">
      <c r="A223" s="161" t="s">
        <v>2173</v>
      </c>
      <c r="B223" s="161" t="s">
        <v>1752</v>
      </c>
      <c r="C223" s="161" t="s">
        <v>1744</v>
      </c>
      <c r="D223" s="162">
        <v>44048</v>
      </c>
      <c r="E223" s="161" t="s">
        <v>2174</v>
      </c>
      <c r="F223" s="161" t="s">
        <v>1769</v>
      </c>
      <c r="G223" s="161">
        <v>1</v>
      </c>
      <c r="H223" s="161">
        <v>12</v>
      </c>
      <c r="I223" s="161">
        <v>11</v>
      </c>
      <c r="J223" s="161">
        <v>74.2</v>
      </c>
      <c r="K223" s="161"/>
      <c r="L223" s="163">
        <v>-0.37</v>
      </c>
      <c r="M223" s="163">
        <v>-3.71</v>
      </c>
      <c r="N223" s="161">
        <v>1.92</v>
      </c>
      <c r="O223" s="164" t="s">
        <v>1757</v>
      </c>
    </row>
    <row r="224" spans="1:15" ht="43.2">
      <c r="A224" s="161" t="s">
        <v>2175</v>
      </c>
      <c r="B224" s="161" t="s">
        <v>1752</v>
      </c>
      <c r="C224" s="161" t="s">
        <v>1786</v>
      </c>
      <c r="D224" s="162">
        <v>43343</v>
      </c>
      <c r="E224" s="161" t="s">
        <v>2093</v>
      </c>
      <c r="F224" s="161" t="s">
        <v>1769</v>
      </c>
      <c r="G224" s="161">
        <v>1</v>
      </c>
      <c r="H224" s="161">
        <v>12</v>
      </c>
      <c r="I224" s="161">
        <v>13.3</v>
      </c>
      <c r="J224" s="161">
        <v>102.2</v>
      </c>
      <c r="K224" s="161"/>
      <c r="L224" s="163">
        <v>-1.39</v>
      </c>
      <c r="M224" s="163">
        <v>0.18</v>
      </c>
      <c r="N224" s="161">
        <v>-2.2799999999999998</v>
      </c>
      <c r="O224" s="164" t="s">
        <v>1747</v>
      </c>
    </row>
    <row r="225" spans="1:15" ht="43.2">
      <c r="A225" s="161" t="s">
        <v>2176</v>
      </c>
      <c r="B225" s="161" t="s">
        <v>1752</v>
      </c>
      <c r="C225" s="161" t="s">
        <v>1786</v>
      </c>
      <c r="D225" s="162">
        <v>43353</v>
      </c>
      <c r="E225" s="161" t="s">
        <v>2177</v>
      </c>
      <c r="F225" s="161" t="s">
        <v>1769</v>
      </c>
      <c r="G225" s="161">
        <v>7</v>
      </c>
      <c r="H225" s="161">
        <v>1</v>
      </c>
      <c r="I225" s="161">
        <v>13.4</v>
      </c>
      <c r="J225" s="161">
        <v>101.6</v>
      </c>
      <c r="K225" s="161"/>
      <c r="L225" s="163">
        <v>-1.3</v>
      </c>
      <c r="M225" s="163">
        <v>0.08</v>
      </c>
      <c r="N225" s="161">
        <v>-2.0499999999999998</v>
      </c>
      <c r="O225" s="164" t="s">
        <v>1747</v>
      </c>
    </row>
    <row r="226" spans="1:15" ht="43.2">
      <c r="A226" s="161" t="s">
        <v>2178</v>
      </c>
      <c r="B226" s="161" t="s">
        <v>1743</v>
      </c>
      <c r="C226" s="161" t="s">
        <v>1786</v>
      </c>
      <c r="D226" s="162">
        <v>43367</v>
      </c>
      <c r="E226" s="161" t="s">
        <v>2179</v>
      </c>
      <c r="F226" s="161" t="s">
        <v>1774</v>
      </c>
      <c r="G226" s="161">
        <v>1</v>
      </c>
      <c r="H226" s="161">
        <v>1</v>
      </c>
      <c r="I226" s="161">
        <v>12.7</v>
      </c>
      <c r="J226" s="161">
        <v>101.7</v>
      </c>
      <c r="K226" s="161"/>
      <c r="L226" s="163">
        <v>-1.44</v>
      </c>
      <c r="M226" s="163">
        <v>0.34</v>
      </c>
      <c r="N226" s="161">
        <v>-2.44</v>
      </c>
      <c r="O226" s="164" t="s">
        <v>1747</v>
      </c>
    </row>
    <row r="227" spans="1:15" ht="43.2">
      <c r="A227" s="161" t="s">
        <v>2180</v>
      </c>
      <c r="B227" s="161" t="s">
        <v>1752</v>
      </c>
      <c r="C227" s="161" t="s">
        <v>1786</v>
      </c>
      <c r="D227" s="162">
        <v>43382</v>
      </c>
      <c r="E227" s="161" t="s">
        <v>2181</v>
      </c>
      <c r="F227" s="161" t="s">
        <v>1777</v>
      </c>
      <c r="G227" s="161">
        <v>9</v>
      </c>
      <c r="H227" s="161">
        <v>8</v>
      </c>
      <c r="I227" s="161">
        <v>13.1</v>
      </c>
      <c r="J227" s="161">
        <v>102</v>
      </c>
      <c r="K227" s="161"/>
      <c r="L227" s="163">
        <v>-1.41</v>
      </c>
      <c r="M227" s="163">
        <v>0.32</v>
      </c>
      <c r="N227" s="161">
        <v>-2.4300000000000002</v>
      </c>
      <c r="O227" s="164" t="s">
        <v>1747</v>
      </c>
    </row>
    <row r="228" spans="1:15" ht="43.2">
      <c r="A228" s="161" t="s">
        <v>2182</v>
      </c>
      <c r="B228" s="161" t="s">
        <v>1752</v>
      </c>
      <c r="C228" s="161" t="s">
        <v>1786</v>
      </c>
      <c r="D228" s="162">
        <v>43407</v>
      </c>
      <c r="E228" s="161" t="s">
        <v>2011</v>
      </c>
      <c r="F228" s="161" t="s">
        <v>1777</v>
      </c>
      <c r="G228" s="161">
        <v>1</v>
      </c>
      <c r="H228" s="161">
        <v>9</v>
      </c>
      <c r="I228" s="161">
        <v>12.7</v>
      </c>
      <c r="J228" s="161">
        <v>101.1</v>
      </c>
      <c r="K228" s="161"/>
      <c r="L228" s="163">
        <v>-1.59</v>
      </c>
      <c r="M228" s="163">
        <v>0.22</v>
      </c>
      <c r="N228" s="161">
        <v>-2.63</v>
      </c>
      <c r="O228" s="164" t="s">
        <v>1747</v>
      </c>
    </row>
    <row r="229" spans="1:15" ht="43.2">
      <c r="A229" s="161" t="s">
        <v>2183</v>
      </c>
      <c r="B229" s="161" t="s">
        <v>1743</v>
      </c>
      <c r="C229" s="161" t="s">
        <v>1786</v>
      </c>
      <c r="D229" s="162">
        <v>43418</v>
      </c>
      <c r="E229" s="161" t="s">
        <v>2019</v>
      </c>
      <c r="F229" s="161" t="s">
        <v>1777</v>
      </c>
      <c r="G229" s="161">
        <v>1</v>
      </c>
      <c r="H229" s="161">
        <v>15</v>
      </c>
      <c r="I229" s="161">
        <v>12.9</v>
      </c>
      <c r="J229" s="161">
        <v>101</v>
      </c>
      <c r="K229" s="161"/>
      <c r="L229" s="163">
        <v>-1.17</v>
      </c>
      <c r="M229" s="163">
        <v>0.44</v>
      </c>
      <c r="N229" s="161">
        <v>-2.1</v>
      </c>
      <c r="O229" s="164" t="s">
        <v>1747</v>
      </c>
    </row>
    <row r="230" spans="1:15" ht="43.2">
      <c r="A230" s="161" t="s">
        <v>2184</v>
      </c>
      <c r="B230" s="161" t="s">
        <v>1743</v>
      </c>
      <c r="C230" s="161" t="s">
        <v>1749</v>
      </c>
      <c r="D230" s="162">
        <v>43626</v>
      </c>
      <c r="E230" s="161" t="s">
        <v>2111</v>
      </c>
      <c r="F230" s="161" t="s">
        <v>1777</v>
      </c>
      <c r="G230" s="161">
        <v>8</v>
      </c>
      <c r="H230" s="161">
        <v>5</v>
      </c>
      <c r="I230" s="161">
        <v>11</v>
      </c>
      <c r="J230" s="161">
        <v>93.2</v>
      </c>
      <c r="K230" s="161"/>
      <c r="L230" s="163">
        <v>-1.79</v>
      </c>
      <c r="M230" s="163">
        <v>-0.39</v>
      </c>
      <c r="N230" s="161">
        <v>-2.33</v>
      </c>
      <c r="O230" s="164" t="s">
        <v>1747</v>
      </c>
    </row>
    <row r="231" spans="1:15" ht="43.2">
      <c r="A231" s="161" t="s">
        <v>2185</v>
      </c>
      <c r="B231" s="161" t="s">
        <v>1752</v>
      </c>
      <c r="C231" s="161" t="s">
        <v>1749</v>
      </c>
      <c r="D231" s="162">
        <v>43640</v>
      </c>
      <c r="E231" s="161" t="s">
        <v>2021</v>
      </c>
      <c r="F231" s="161" t="s">
        <v>1777</v>
      </c>
      <c r="G231" s="161">
        <v>7</v>
      </c>
      <c r="H231" s="161">
        <v>10</v>
      </c>
      <c r="I231" s="161">
        <v>11.2</v>
      </c>
      <c r="J231" s="161">
        <v>94</v>
      </c>
      <c r="K231" s="161"/>
      <c r="L231" s="163">
        <v>-1.97</v>
      </c>
      <c r="M231" s="163">
        <v>-0.39</v>
      </c>
      <c r="N231" s="161">
        <v>-2.71</v>
      </c>
      <c r="O231" s="164" t="s">
        <v>1747</v>
      </c>
    </row>
    <row r="232" spans="1:15" ht="43.2">
      <c r="A232" s="161" t="s">
        <v>2186</v>
      </c>
      <c r="B232" s="161" t="s">
        <v>1752</v>
      </c>
      <c r="C232" s="161" t="s">
        <v>1749</v>
      </c>
      <c r="D232" s="162">
        <v>43674</v>
      </c>
      <c r="E232" s="161" t="s">
        <v>1776</v>
      </c>
      <c r="F232" s="161" t="s">
        <v>1777</v>
      </c>
      <c r="G232" s="161">
        <v>1</v>
      </c>
      <c r="H232" s="161">
        <v>2</v>
      </c>
      <c r="I232" s="161">
        <v>11.8</v>
      </c>
      <c r="J232" s="161">
        <v>94.3</v>
      </c>
      <c r="K232" s="161"/>
      <c r="L232" s="163">
        <v>-1.42</v>
      </c>
      <c r="M232" s="163">
        <v>-0.1</v>
      </c>
      <c r="N232" s="161">
        <v>-2.09</v>
      </c>
      <c r="O232" s="164" t="s">
        <v>1747</v>
      </c>
    </row>
    <row r="233" spans="1:15" ht="57.6">
      <c r="A233" s="161" t="s">
        <v>2187</v>
      </c>
      <c r="B233" s="161" t="s">
        <v>1752</v>
      </c>
      <c r="C233" s="161" t="s">
        <v>1749</v>
      </c>
      <c r="D233" s="162">
        <v>43707</v>
      </c>
      <c r="E233" s="161" t="s">
        <v>2107</v>
      </c>
      <c r="F233" s="161" t="s">
        <v>1777</v>
      </c>
      <c r="G233" s="161">
        <v>4</v>
      </c>
      <c r="H233" s="161">
        <v>2</v>
      </c>
      <c r="I233" s="161">
        <v>11.5</v>
      </c>
      <c r="J233" s="161">
        <v>94.3</v>
      </c>
      <c r="K233" s="161"/>
      <c r="L233" s="163">
        <v>-1.53</v>
      </c>
      <c r="M233" s="163">
        <v>0.11</v>
      </c>
      <c r="N233" s="161">
        <v>-2.4300000000000002</v>
      </c>
      <c r="O233" s="164" t="s">
        <v>1747</v>
      </c>
    </row>
    <row r="234" spans="1:15" ht="43.2">
      <c r="A234" s="161" t="s">
        <v>2188</v>
      </c>
      <c r="B234" s="161" t="s">
        <v>1743</v>
      </c>
      <c r="C234" s="161" t="s">
        <v>1749</v>
      </c>
      <c r="D234" s="162">
        <v>43748</v>
      </c>
      <c r="E234" s="161" t="s">
        <v>2189</v>
      </c>
      <c r="F234" s="161" t="s">
        <v>2190</v>
      </c>
      <c r="G234" s="161">
        <v>2</v>
      </c>
      <c r="H234" s="161">
        <v>5</v>
      </c>
      <c r="I234" s="161">
        <v>11.5</v>
      </c>
      <c r="J234" s="161">
        <v>94.3</v>
      </c>
      <c r="K234" s="161"/>
      <c r="L234" s="163">
        <v>-0.98</v>
      </c>
      <c r="M234" s="163">
        <v>0.7</v>
      </c>
      <c r="N234" s="161">
        <v>-2.0299999999999998</v>
      </c>
      <c r="O234" s="164" t="s">
        <v>1747</v>
      </c>
    </row>
    <row r="235" spans="1:15" ht="43.2">
      <c r="A235" s="161" t="s">
        <v>2191</v>
      </c>
      <c r="B235" s="161" t="s">
        <v>1752</v>
      </c>
      <c r="C235" s="161" t="s">
        <v>1749</v>
      </c>
      <c r="D235" s="162">
        <v>43758</v>
      </c>
      <c r="E235" s="161" t="s">
        <v>2192</v>
      </c>
      <c r="F235" s="161" t="s">
        <v>2190</v>
      </c>
      <c r="G235" s="161">
        <v>1</v>
      </c>
      <c r="H235" s="161">
        <v>1</v>
      </c>
      <c r="I235" s="161">
        <v>11.3</v>
      </c>
      <c r="J235" s="161">
        <v>93.2</v>
      </c>
      <c r="K235" s="161"/>
      <c r="L235" s="163">
        <v>-1.51</v>
      </c>
      <c r="M235" s="163">
        <v>0.13</v>
      </c>
      <c r="N235" s="161">
        <v>-2.42</v>
      </c>
      <c r="O235" s="164" t="s">
        <v>1747</v>
      </c>
    </row>
    <row r="236" spans="1:15" ht="43.2">
      <c r="A236" s="161" t="s">
        <v>2193</v>
      </c>
      <c r="B236" s="161" t="s">
        <v>1752</v>
      </c>
      <c r="C236" s="161" t="s">
        <v>1749</v>
      </c>
      <c r="D236" s="162">
        <v>43782</v>
      </c>
      <c r="E236" s="161" t="s">
        <v>2194</v>
      </c>
      <c r="F236" s="161" t="s">
        <v>2190</v>
      </c>
      <c r="G236" s="161">
        <v>3</v>
      </c>
      <c r="H236" s="161">
        <v>5</v>
      </c>
      <c r="I236" s="161">
        <v>11.6</v>
      </c>
      <c r="J236" s="161">
        <v>94</v>
      </c>
      <c r="K236" s="161"/>
      <c r="L236" s="163">
        <v>-1.2</v>
      </c>
      <c r="M236" s="163">
        <v>0.53</v>
      </c>
      <c r="N236" s="161">
        <v>-2.25</v>
      </c>
      <c r="O236" s="164" t="s">
        <v>1747</v>
      </c>
    </row>
    <row r="237" spans="1:15" ht="43.2">
      <c r="A237" s="161" t="s">
        <v>2195</v>
      </c>
      <c r="B237" s="161" t="s">
        <v>1752</v>
      </c>
      <c r="C237" s="161" t="s">
        <v>1749</v>
      </c>
      <c r="D237" s="162">
        <v>43788</v>
      </c>
      <c r="E237" s="161" t="s">
        <v>2196</v>
      </c>
      <c r="F237" s="161" t="s">
        <v>1781</v>
      </c>
      <c r="G237" s="161">
        <v>3</v>
      </c>
      <c r="H237" s="161">
        <v>2</v>
      </c>
      <c r="I237" s="161">
        <v>11.5</v>
      </c>
      <c r="J237" s="161">
        <v>93.1</v>
      </c>
      <c r="K237" s="161"/>
      <c r="L237" s="163">
        <v>-1.25</v>
      </c>
      <c r="M237" s="163">
        <v>0.31</v>
      </c>
      <c r="N237" s="161">
        <v>-2.16</v>
      </c>
      <c r="O237" s="164" t="s">
        <v>1747</v>
      </c>
    </row>
    <row r="238" spans="1:15" ht="43.2">
      <c r="A238" s="161" t="s">
        <v>2197</v>
      </c>
      <c r="B238" s="161" t="s">
        <v>1743</v>
      </c>
      <c r="C238" s="161" t="s">
        <v>1749</v>
      </c>
      <c r="D238" s="162">
        <v>43802</v>
      </c>
      <c r="E238" s="161" t="s">
        <v>2119</v>
      </c>
      <c r="F238" s="161" t="s">
        <v>1781</v>
      </c>
      <c r="G238" s="161">
        <v>2</v>
      </c>
      <c r="H238" s="161">
        <v>2</v>
      </c>
      <c r="I238" s="161">
        <v>11</v>
      </c>
      <c r="J238" s="161">
        <v>94</v>
      </c>
      <c r="K238" s="161"/>
      <c r="L238" s="163">
        <v>-1.1299999999999999</v>
      </c>
      <c r="M238" s="163">
        <v>1.02</v>
      </c>
      <c r="N238" s="161">
        <v>-2.5</v>
      </c>
      <c r="O238" s="164" t="s">
        <v>1747</v>
      </c>
    </row>
    <row r="239" spans="1:15" ht="28.8">
      <c r="A239" s="161" t="s">
        <v>2198</v>
      </c>
      <c r="B239" s="161" t="s">
        <v>1743</v>
      </c>
      <c r="C239" s="161" t="s">
        <v>1755</v>
      </c>
      <c r="D239" s="162">
        <v>44551</v>
      </c>
      <c r="E239" s="161" t="s">
        <v>1802</v>
      </c>
      <c r="F239" s="161" t="s">
        <v>1784</v>
      </c>
      <c r="G239" s="161">
        <v>3</v>
      </c>
      <c r="H239" s="161">
        <v>7</v>
      </c>
      <c r="I239" s="161">
        <v>5.5</v>
      </c>
      <c r="J239" s="161">
        <v>63</v>
      </c>
      <c r="K239" s="161"/>
      <c r="L239" s="163">
        <v>-1.89</v>
      </c>
      <c r="M239" s="163">
        <v>-0.51</v>
      </c>
      <c r="N239" s="161">
        <v>-2.09</v>
      </c>
      <c r="O239" s="164" t="s">
        <v>1747</v>
      </c>
    </row>
    <row r="240" spans="1:15" ht="28.8">
      <c r="A240" s="161" t="s">
        <v>2199</v>
      </c>
      <c r="B240" s="161" t="s">
        <v>1743</v>
      </c>
      <c r="C240" s="161" t="s">
        <v>1744</v>
      </c>
      <c r="D240" s="162">
        <v>44215</v>
      </c>
      <c r="E240" s="161" t="s">
        <v>2036</v>
      </c>
      <c r="F240" s="161" t="s">
        <v>1784</v>
      </c>
      <c r="G240" s="161">
        <v>2</v>
      </c>
      <c r="H240" s="161">
        <v>4</v>
      </c>
      <c r="I240" s="161">
        <v>8</v>
      </c>
      <c r="J240" s="161">
        <v>85</v>
      </c>
      <c r="K240" s="161"/>
      <c r="L240" s="163">
        <v>-1.71</v>
      </c>
      <c r="M240" s="163">
        <v>2.27</v>
      </c>
      <c r="N240" s="161">
        <v>-3.94</v>
      </c>
      <c r="O240" s="164" t="s">
        <v>1790</v>
      </c>
    </row>
    <row r="241" spans="1:15" ht="28.8">
      <c r="A241" s="161" t="s">
        <v>2200</v>
      </c>
      <c r="B241" s="161" t="s">
        <v>1752</v>
      </c>
      <c r="C241" s="161" t="s">
        <v>1744</v>
      </c>
      <c r="D241" s="162">
        <v>43966</v>
      </c>
      <c r="E241" s="161" t="s">
        <v>1798</v>
      </c>
      <c r="F241" s="161" t="s">
        <v>1784</v>
      </c>
      <c r="G241" s="161">
        <v>4</v>
      </c>
      <c r="H241" s="161">
        <v>5</v>
      </c>
      <c r="I241" s="161">
        <v>9.8000000000000007</v>
      </c>
      <c r="J241" s="161">
        <v>90</v>
      </c>
      <c r="K241" s="161"/>
      <c r="L241" s="163">
        <v>-1.91</v>
      </c>
      <c r="M241" s="163">
        <v>0.65</v>
      </c>
      <c r="N241" s="161">
        <v>-3.37</v>
      </c>
      <c r="O241" s="164" t="s">
        <v>1790</v>
      </c>
    </row>
    <row r="242" spans="1:15" ht="86.4">
      <c r="A242" s="161" t="s">
        <v>2201</v>
      </c>
      <c r="B242" s="161" t="s">
        <v>1743</v>
      </c>
      <c r="C242" s="161" t="s">
        <v>1744</v>
      </c>
      <c r="D242" s="162">
        <v>44117</v>
      </c>
      <c r="E242" s="161" t="s">
        <v>2202</v>
      </c>
      <c r="F242" s="161" t="s">
        <v>1784</v>
      </c>
      <c r="G242" s="161">
        <v>2</v>
      </c>
      <c r="H242" s="161">
        <v>4</v>
      </c>
      <c r="I242" s="161">
        <v>8</v>
      </c>
      <c r="J242" s="161">
        <v>80</v>
      </c>
      <c r="K242" s="161"/>
      <c r="L242" s="163">
        <v>-2.27</v>
      </c>
      <c r="M242" s="163">
        <v>-0.63</v>
      </c>
      <c r="N242" s="161">
        <v>-2.71</v>
      </c>
      <c r="O242" s="164" t="s">
        <v>1747</v>
      </c>
    </row>
    <row r="243" spans="1:15" ht="28.8">
      <c r="A243" s="161" t="s">
        <v>2203</v>
      </c>
      <c r="B243" s="161" t="s">
        <v>1752</v>
      </c>
      <c r="C243" s="161" t="s">
        <v>1744</v>
      </c>
      <c r="D243" s="162">
        <v>43950</v>
      </c>
      <c r="E243" s="161" t="s">
        <v>1813</v>
      </c>
      <c r="F243" s="161" t="s">
        <v>1746</v>
      </c>
      <c r="G243" s="161">
        <v>1</v>
      </c>
      <c r="H243" s="161">
        <v>2</v>
      </c>
      <c r="I243" s="161">
        <v>9</v>
      </c>
      <c r="J243" s="161">
        <v>81</v>
      </c>
      <c r="K243" s="161"/>
      <c r="L243" s="163">
        <v>-2.72</v>
      </c>
      <c r="M243" s="163">
        <v>-2.38</v>
      </c>
      <c r="N243" s="161">
        <v>-2.0699999999999998</v>
      </c>
      <c r="O243" s="164" t="s">
        <v>1747</v>
      </c>
    </row>
    <row r="244" spans="1:15" ht="28.8">
      <c r="A244" s="161" t="s">
        <v>2204</v>
      </c>
      <c r="B244" s="161" t="s">
        <v>1752</v>
      </c>
      <c r="C244" s="161" t="s">
        <v>1779</v>
      </c>
      <c r="D244" s="162">
        <v>43153</v>
      </c>
      <c r="E244" s="161" t="s">
        <v>2205</v>
      </c>
      <c r="F244" s="161" t="s">
        <v>1746</v>
      </c>
      <c r="G244" s="161">
        <v>1</v>
      </c>
      <c r="H244" s="161">
        <v>6</v>
      </c>
      <c r="I244" s="161">
        <v>13.4</v>
      </c>
      <c r="J244" s="161">
        <v>102</v>
      </c>
      <c r="K244" s="161"/>
      <c r="L244" s="163">
        <v>-1.78</v>
      </c>
      <c r="M244" s="163">
        <v>-0.68</v>
      </c>
      <c r="N244" s="161">
        <v>-2.14</v>
      </c>
      <c r="O244" s="164" t="s">
        <v>1747</v>
      </c>
    </row>
    <row r="245" spans="1:15" ht="43.2">
      <c r="A245" s="161" t="s">
        <v>2206</v>
      </c>
      <c r="B245" s="161" t="s">
        <v>1752</v>
      </c>
      <c r="C245" s="161" t="s">
        <v>1779</v>
      </c>
      <c r="D245" s="162">
        <v>43155</v>
      </c>
      <c r="E245" s="161" t="s">
        <v>2207</v>
      </c>
      <c r="F245" s="161" t="s">
        <v>1746</v>
      </c>
      <c r="G245" s="161">
        <v>7</v>
      </c>
      <c r="H245" s="161">
        <v>7</v>
      </c>
      <c r="I245" s="161">
        <v>12.6</v>
      </c>
      <c r="J245" s="161">
        <v>102</v>
      </c>
      <c r="K245" s="161"/>
      <c r="L245" s="163">
        <v>-2.27</v>
      </c>
      <c r="M245" s="163">
        <v>-0.67</v>
      </c>
      <c r="N245" s="161">
        <v>-2.94</v>
      </c>
      <c r="O245" s="164" t="s">
        <v>1747</v>
      </c>
    </row>
    <row r="246" spans="1:15" ht="43.2">
      <c r="A246" s="161" t="s">
        <v>2208</v>
      </c>
      <c r="B246" s="161" t="s">
        <v>1752</v>
      </c>
      <c r="C246" s="161" t="s">
        <v>1779</v>
      </c>
      <c r="D246" s="162">
        <v>43169</v>
      </c>
      <c r="E246" s="161" t="s">
        <v>2129</v>
      </c>
      <c r="F246" s="161" t="s">
        <v>1746</v>
      </c>
      <c r="G246" s="161">
        <v>6</v>
      </c>
      <c r="H246" s="161">
        <v>1</v>
      </c>
      <c r="I246" s="161">
        <v>12.4</v>
      </c>
      <c r="J246" s="161">
        <v>102</v>
      </c>
      <c r="K246" s="161"/>
      <c r="L246" s="163">
        <v>-2.37</v>
      </c>
      <c r="M246" s="163">
        <v>-0.62</v>
      </c>
      <c r="N246" s="161">
        <v>-3.14</v>
      </c>
      <c r="O246" s="164" t="s">
        <v>1790</v>
      </c>
    </row>
    <row r="247" spans="1:15" ht="28.8">
      <c r="A247" s="161" t="s">
        <v>2209</v>
      </c>
      <c r="B247" s="161" t="s">
        <v>1752</v>
      </c>
      <c r="C247" s="161" t="s">
        <v>1779</v>
      </c>
      <c r="D247" s="162">
        <v>43208</v>
      </c>
      <c r="E247" s="161" t="s">
        <v>2131</v>
      </c>
      <c r="F247" s="161" t="s">
        <v>1746</v>
      </c>
      <c r="G247" s="161">
        <v>5</v>
      </c>
      <c r="H247" s="161">
        <v>3</v>
      </c>
      <c r="I247" s="161">
        <v>12.6</v>
      </c>
      <c r="J247" s="161">
        <v>103</v>
      </c>
      <c r="K247" s="161"/>
      <c r="L247" s="163">
        <v>-2.15</v>
      </c>
      <c r="M247" s="163">
        <v>-0.22</v>
      </c>
      <c r="N247" s="161">
        <v>-3.15</v>
      </c>
      <c r="O247" s="164" t="s">
        <v>1790</v>
      </c>
    </row>
    <row r="248" spans="1:15" ht="28.8">
      <c r="A248" s="161" t="s">
        <v>2210</v>
      </c>
      <c r="B248" s="161" t="s">
        <v>1752</v>
      </c>
      <c r="C248" s="161" t="s">
        <v>1786</v>
      </c>
      <c r="D248" s="162">
        <v>43263</v>
      </c>
      <c r="E248" s="161" t="s">
        <v>2211</v>
      </c>
      <c r="F248" s="161" t="s">
        <v>1746</v>
      </c>
      <c r="G248" s="161">
        <v>1</v>
      </c>
      <c r="H248" s="161">
        <v>6</v>
      </c>
      <c r="I248" s="161">
        <v>13</v>
      </c>
      <c r="J248" s="161">
        <v>102</v>
      </c>
      <c r="K248" s="161"/>
      <c r="L248" s="163">
        <v>-1.76</v>
      </c>
      <c r="M248" s="163">
        <v>-0.22</v>
      </c>
      <c r="N248" s="161">
        <v>-2.5299999999999998</v>
      </c>
      <c r="O248" s="164" t="s">
        <v>1747</v>
      </c>
    </row>
    <row r="249" spans="1:15" ht="28.8">
      <c r="A249" s="161" t="s">
        <v>2212</v>
      </c>
      <c r="B249" s="161" t="s">
        <v>1743</v>
      </c>
      <c r="C249" s="161" t="s">
        <v>1786</v>
      </c>
      <c r="D249" s="162">
        <v>43266</v>
      </c>
      <c r="E249" s="161" t="s">
        <v>2213</v>
      </c>
      <c r="F249" s="161" t="s">
        <v>1746</v>
      </c>
      <c r="G249" s="161">
        <v>2</v>
      </c>
      <c r="H249" s="161">
        <v>7</v>
      </c>
      <c r="I249" s="161">
        <v>12.7</v>
      </c>
      <c r="J249" s="161">
        <v>103</v>
      </c>
      <c r="K249" s="161"/>
      <c r="L249" s="163">
        <v>-1.7</v>
      </c>
      <c r="M249" s="163">
        <v>0.18</v>
      </c>
      <c r="N249" s="161">
        <v>-2.73</v>
      </c>
      <c r="O249" s="164" t="s">
        <v>1747</v>
      </c>
    </row>
    <row r="250" spans="1:15" ht="28.8">
      <c r="A250" s="161" t="s">
        <v>2214</v>
      </c>
      <c r="B250" s="161" t="s">
        <v>1752</v>
      </c>
      <c r="C250" s="161" t="s">
        <v>1786</v>
      </c>
      <c r="D250" s="162">
        <v>43274</v>
      </c>
      <c r="E250" s="161" t="s">
        <v>2215</v>
      </c>
      <c r="F250" s="161" t="s">
        <v>1746</v>
      </c>
      <c r="G250" s="161">
        <v>2</v>
      </c>
      <c r="H250" s="161">
        <v>7</v>
      </c>
      <c r="I250" s="161">
        <v>13.1</v>
      </c>
      <c r="J250" s="161">
        <v>103</v>
      </c>
      <c r="K250" s="161"/>
      <c r="L250" s="163">
        <v>-1.67</v>
      </c>
      <c r="M250" s="163">
        <v>7.0000000000000007E-2</v>
      </c>
      <c r="N250" s="161">
        <v>-2.66</v>
      </c>
      <c r="O250" s="164" t="s">
        <v>1747</v>
      </c>
    </row>
    <row r="251" spans="1:15" ht="28.8">
      <c r="A251" s="161" t="s">
        <v>2216</v>
      </c>
      <c r="B251" s="161" t="s">
        <v>1743</v>
      </c>
      <c r="C251" s="161" t="s">
        <v>1786</v>
      </c>
      <c r="D251" s="162">
        <v>43347</v>
      </c>
      <c r="E251" s="161" t="s">
        <v>2217</v>
      </c>
      <c r="F251" s="161" t="s">
        <v>1746</v>
      </c>
      <c r="G251" s="161">
        <v>1</v>
      </c>
      <c r="H251" s="161">
        <v>7</v>
      </c>
      <c r="I251" s="161">
        <v>12.7</v>
      </c>
      <c r="J251" s="161">
        <v>102</v>
      </c>
      <c r="K251" s="161"/>
      <c r="L251" s="163">
        <v>-1.48</v>
      </c>
      <c r="M251" s="163">
        <v>0.33</v>
      </c>
      <c r="N251" s="161">
        <v>-2.5</v>
      </c>
      <c r="O251" s="164" t="s">
        <v>1747</v>
      </c>
    </row>
    <row r="252" spans="1:15" ht="43.2">
      <c r="A252" s="161" t="s">
        <v>2218</v>
      </c>
      <c r="B252" s="161" t="s">
        <v>1743</v>
      </c>
      <c r="C252" s="161" t="s">
        <v>1786</v>
      </c>
      <c r="D252" s="162">
        <v>43350</v>
      </c>
      <c r="E252" s="161" t="s">
        <v>2219</v>
      </c>
      <c r="F252" s="161" t="s">
        <v>1769</v>
      </c>
      <c r="G252" s="161">
        <v>1</v>
      </c>
      <c r="H252" s="161">
        <v>11</v>
      </c>
      <c r="I252" s="161">
        <v>13.1</v>
      </c>
      <c r="J252" s="161">
        <v>103</v>
      </c>
      <c r="K252" s="161"/>
      <c r="L252" s="163">
        <v>-1.23</v>
      </c>
      <c r="M252" s="163">
        <v>0.59</v>
      </c>
      <c r="N252" s="161">
        <v>-2.36</v>
      </c>
      <c r="O252" s="164" t="s">
        <v>1747</v>
      </c>
    </row>
    <row r="253" spans="1:15" ht="43.2">
      <c r="A253" s="161" t="s">
        <v>2220</v>
      </c>
      <c r="B253" s="161" t="s">
        <v>1752</v>
      </c>
      <c r="C253" s="161" t="s">
        <v>1786</v>
      </c>
      <c r="D253" s="162">
        <v>43426</v>
      </c>
      <c r="E253" s="161" t="s">
        <v>2156</v>
      </c>
      <c r="F253" s="161" t="s">
        <v>1769</v>
      </c>
      <c r="G253" s="161">
        <v>4</v>
      </c>
      <c r="H253" s="161">
        <v>12</v>
      </c>
      <c r="I253" s="161">
        <v>12.6</v>
      </c>
      <c r="J253" s="161">
        <v>102.4</v>
      </c>
      <c r="K253" s="161"/>
      <c r="L253" s="163">
        <v>-1.59</v>
      </c>
      <c r="M253" s="163">
        <v>0.66</v>
      </c>
      <c r="N253" s="161">
        <v>-3.02</v>
      </c>
      <c r="O253" s="164" t="s">
        <v>1790</v>
      </c>
    </row>
    <row r="254" spans="1:15" ht="43.2">
      <c r="A254" s="161" t="s">
        <v>2221</v>
      </c>
      <c r="B254" s="161" t="s">
        <v>1743</v>
      </c>
      <c r="C254" s="161" t="s">
        <v>1786</v>
      </c>
      <c r="D254" s="162">
        <v>43436</v>
      </c>
      <c r="E254" s="161" t="s">
        <v>2158</v>
      </c>
      <c r="F254" s="161" t="s">
        <v>1769</v>
      </c>
      <c r="G254" s="161">
        <v>1</v>
      </c>
      <c r="H254" s="161">
        <v>2</v>
      </c>
      <c r="I254" s="161">
        <v>12.6</v>
      </c>
      <c r="J254" s="161">
        <v>102.8</v>
      </c>
      <c r="K254" s="161"/>
      <c r="L254" s="163">
        <v>-1.29</v>
      </c>
      <c r="M254" s="163">
        <v>1</v>
      </c>
      <c r="N254" s="161">
        <v>-2.78</v>
      </c>
      <c r="O254" s="164" t="s">
        <v>1747</v>
      </c>
    </row>
    <row r="255" spans="1:15" ht="43.2">
      <c r="A255" s="161" t="s">
        <v>2222</v>
      </c>
      <c r="B255" s="161" t="s">
        <v>1752</v>
      </c>
      <c r="C255" s="161" t="s">
        <v>1786</v>
      </c>
      <c r="D255" s="162">
        <v>43451</v>
      </c>
      <c r="E255" s="161" t="s">
        <v>2154</v>
      </c>
      <c r="F255" s="161" t="s">
        <v>1769</v>
      </c>
      <c r="G255" s="161">
        <v>8</v>
      </c>
      <c r="H255" s="161">
        <v>1</v>
      </c>
      <c r="I255" s="161">
        <v>12.5</v>
      </c>
      <c r="J255" s="161">
        <v>102.2</v>
      </c>
      <c r="K255" s="161"/>
      <c r="L255" s="163">
        <v>-1.59</v>
      </c>
      <c r="M255" s="163">
        <v>0.74</v>
      </c>
      <c r="N255" s="161">
        <v>-3.08</v>
      </c>
      <c r="O255" s="164" t="s">
        <v>1790</v>
      </c>
    </row>
    <row r="256" spans="1:15" ht="43.2">
      <c r="A256" s="161" t="s">
        <v>2223</v>
      </c>
      <c r="B256" s="161" t="s">
        <v>1752</v>
      </c>
      <c r="C256" s="161" t="s">
        <v>1749</v>
      </c>
      <c r="D256" s="162">
        <v>43772</v>
      </c>
      <c r="E256" s="161" t="s">
        <v>2224</v>
      </c>
      <c r="F256" s="161" t="s">
        <v>1769</v>
      </c>
      <c r="G256" s="161">
        <v>5</v>
      </c>
      <c r="H256" s="161">
        <v>5</v>
      </c>
      <c r="I256" s="161">
        <v>11.8</v>
      </c>
      <c r="J256" s="161">
        <v>94</v>
      </c>
      <c r="K256" s="161"/>
      <c r="L256" s="163">
        <v>-1.08</v>
      </c>
      <c r="M256" s="163">
        <v>0.49</v>
      </c>
      <c r="N256" s="161">
        <v>-2.02</v>
      </c>
      <c r="O256" s="164" t="s">
        <v>1747</v>
      </c>
    </row>
    <row r="257" spans="1:15" ht="43.2">
      <c r="A257" s="161" t="s">
        <v>2225</v>
      </c>
      <c r="B257" s="161" t="s">
        <v>1752</v>
      </c>
      <c r="C257" s="161" t="s">
        <v>1779</v>
      </c>
      <c r="D257" s="162">
        <v>43199</v>
      </c>
      <c r="E257" s="161" t="s">
        <v>2137</v>
      </c>
      <c r="F257" s="161" t="s">
        <v>1769</v>
      </c>
      <c r="G257" s="161">
        <v>1</v>
      </c>
      <c r="H257" s="161">
        <v>12</v>
      </c>
      <c r="I257" s="161">
        <v>13.7</v>
      </c>
      <c r="J257" s="161">
        <v>103.6</v>
      </c>
      <c r="K257" s="161"/>
      <c r="L257" s="163">
        <v>-1.5</v>
      </c>
      <c r="M257" s="163">
        <v>-0.11</v>
      </c>
      <c r="N257" s="161">
        <v>-2.2200000000000002</v>
      </c>
      <c r="O257" s="164" t="s">
        <v>1747</v>
      </c>
    </row>
    <row r="258" spans="1:15" ht="43.2">
      <c r="A258" s="161" t="s">
        <v>2226</v>
      </c>
      <c r="B258" s="161" t="s">
        <v>1752</v>
      </c>
      <c r="C258" s="161" t="s">
        <v>1786</v>
      </c>
      <c r="D258" s="162">
        <v>43459</v>
      </c>
      <c r="E258" s="161" t="s">
        <v>2145</v>
      </c>
      <c r="F258" s="161" t="s">
        <v>1769</v>
      </c>
      <c r="G258" s="161">
        <v>4</v>
      </c>
      <c r="H258" s="161">
        <v>3</v>
      </c>
      <c r="I258" s="161">
        <v>13</v>
      </c>
      <c r="J258" s="161">
        <v>103.6</v>
      </c>
      <c r="K258" s="161"/>
      <c r="L258" s="163">
        <v>-1.25</v>
      </c>
      <c r="M258" s="163">
        <v>1.1399999999999999</v>
      </c>
      <c r="N258" s="161">
        <v>-2.89</v>
      </c>
      <c r="O258" s="164" t="s">
        <v>1747</v>
      </c>
    </row>
    <row r="259" spans="1:15" ht="43.2">
      <c r="A259" s="161" t="s">
        <v>2227</v>
      </c>
      <c r="B259" s="161" t="s">
        <v>1752</v>
      </c>
      <c r="C259" s="161" t="s">
        <v>1749</v>
      </c>
      <c r="D259" s="162">
        <v>43719</v>
      </c>
      <c r="E259" s="161" t="s">
        <v>2228</v>
      </c>
      <c r="F259" s="161" t="s">
        <v>1769</v>
      </c>
      <c r="G259" s="161">
        <v>8</v>
      </c>
      <c r="H259" s="161">
        <v>1</v>
      </c>
      <c r="I259" s="161">
        <v>9.8000000000000007</v>
      </c>
      <c r="J259" s="161">
        <v>87</v>
      </c>
      <c r="K259" s="161"/>
      <c r="L259" s="163">
        <v>-2.84</v>
      </c>
      <c r="M259" s="163">
        <v>-1.86</v>
      </c>
      <c r="N259" s="161">
        <v>-2.78</v>
      </c>
      <c r="O259" s="164" t="s">
        <v>1747</v>
      </c>
    </row>
    <row r="260" spans="1:15" ht="43.2">
      <c r="A260" s="161" t="s">
        <v>2229</v>
      </c>
      <c r="B260" s="161" t="s">
        <v>1743</v>
      </c>
      <c r="C260" s="161" t="s">
        <v>1749</v>
      </c>
      <c r="D260" s="162">
        <v>43764</v>
      </c>
      <c r="E260" s="161" t="s">
        <v>1771</v>
      </c>
      <c r="F260" s="161" t="s">
        <v>1769</v>
      </c>
      <c r="G260" s="161">
        <v>2</v>
      </c>
      <c r="H260" s="161">
        <v>8</v>
      </c>
      <c r="I260" s="161">
        <v>12.4</v>
      </c>
      <c r="J260" s="161">
        <v>99.9</v>
      </c>
      <c r="K260" s="161"/>
      <c r="L260" s="163">
        <v>-0.28999999999999998</v>
      </c>
      <c r="M260" s="163">
        <v>2.42</v>
      </c>
      <c r="N260" s="161">
        <v>-2.33</v>
      </c>
      <c r="O260" s="164" t="s">
        <v>1747</v>
      </c>
    </row>
    <row r="261" spans="1:15" ht="43.2">
      <c r="A261" s="161" t="s">
        <v>2230</v>
      </c>
      <c r="B261" s="161" t="s">
        <v>1752</v>
      </c>
      <c r="C261" s="161" t="s">
        <v>1749</v>
      </c>
      <c r="D261" s="162">
        <v>43779</v>
      </c>
      <c r="E261" s="161" t="s">
        <v>2231</v>
      </c>
      <c r="F261" s="161" t="s">
        <v>1769</v>
      </c>
      <c r="G261" s="161">
        <v>3</v>
      </c>
      <c r="H261" s="161">
        <v>8</v>
      </c>
      <c r="I261" s="161">
        <v>10</v>
      </c>
      <c r="J261" s="161">
        <v>87</v>
      </c>
      <c r="K261" s="161"/>
      <c r="L261" s="163">
        <v>-2.4700000000000002</v>
      </c>
      <c r="M261" s="163">
        <v>-1.5</v>
      </c>
      <c r="N261" s="161">
        <v>-2.5099999999999998</v>
      </c>
      <c r="O261" s="164" t="s">
        <v>1747</v>
      </c>
    </row>
    <row r="262" spans="1:15" ht="43.2">
      <c r="A262" s="161" t="s">
        <v>2232</v>
      </c>
      <c r="B262" s="161" t="s">
        <v>1752</v>
      </c>
      <c r="C262" s="161" t="s">
        <v>1749</v>
      </c>
      <c r="D262" s="162">
        <v>43808</v>
      </c>
      <c r="E262" s="161" t="s">
        <v>2141</v>
      </c>
      <c r="F262" s="161" t="s">
        <v>1769</v>
      </c>
      <c r="G262" s="161">
        <v>4</v>
      </c>
      <c r="H262" s="161">
        <v>1</v>
      </c>
      <c r="I262" s="161">
        <v>12.3</v>
      </c>
      <c r="J262" s="161">
        <v>99.7</v>
      </c>
      <c r="K262" s="161"/>
      <c r="L262" s="163">
        <v>-0.59</v>
      </c>
      <c r="M262" s="163">
        <v>2.4500000000000002</v>
      </c>
      <c r="N262" s="161">
        <v>-2.74</v>
      </c>
      <c r="O262" s="164" t="s">
        <v>1747</v>
      </c>
    </row>
    <row r="263" spans="1:15" ht="43.2">
      <c r="A263" s="161" t="s">
        <v>2233</v>
      </c>
      <c r="B263" s="161" t="s">
        <v>1752</v>
      </c>
      <c r="C263" s="161" t="s">
        <v>1749</v>
      </c>
      <c r="D263" s="162">
        <v>43814</v>
      </c>
      <c r="E263" s="161" t="s">
        <v>2150</v>
      </c>
      <c r="F263" s="161" t="s">
        <v>1769</v>
      </c>
      <c r="G263" s="161">
        <v>7</v>
      </c>
      <c r="H263" s="161">
        <v>1</v>
      </c>
      <c r="I263" s="161">
        <v>12.7</v>
      </c>
      <c r="J263" s="161">
        <v>99.6</v>
      </c>
      <c r="K263" s="161"/>
      <c r="L263" s="163">
        <v>-0.28999999999999998</v>
      </c>
      <c r="M263" s="163">
        <v>2.4700000000000002</v>
      </c>
      <c r="N263" s="161">
        <v>-2.2999999999999998</v>
      </c>
      <c r="O263" s="164" t="s">
        <v>1747</v>
      </c>
    </row>
    <row r="264" spans="1:15" ht="43.2">
      <c r="A264" s="161" t="s">
        <v>2234</v>
      </c>
      <c r="B264" s="161" t="s">
        <v>1752</v>
      </c>
      <c r="C264" s="161" t="s">
        <v>1755</v>
      </c>
      <c r="D264" s="162">
        <v>44586</v>
      </c>
      <c r="E264" s="161" t="s">
        <v>2148</v>
      </c>
      <c r="F264" s="161" t="s">
        <v>1769</v>
      </c>
      <c r="G264" s="161">
        <v>4</v>
      </c>
      <c r="H264" s="161">
        <v>8</v>
      </c>
      <c r="I264" s="161">
        <v>8</v>
      </c>
      <c r="J264" s="161">
        <v>77.5</v>
      </c>
      <c r="K264" s="161"/>
      <c r="L264" s="163">
        <v>1.35</v>
      </c>
      <c r="M264" s="163">
        <v>6.81</v>
      </c>
      <c r="N264" s="161">
        <v>-2.78</v>
      </c>
      <c r="O264" s="164" t="s">
        <v>1747</v>
      </c>
    </row>
    <row r="265" spans="1:15" ht="43.2">
      <c r="A265" s="161" t="s">
        <v>2235</v>
      </c>
      <c r="B265" s="161" t="s">
        <v>1752</v>
      </c>
      <c r="C265" s="161" t="s">
        <v>1755</v>
      </c>
      <c r="D265" s="162">
        <v>44612</v>
      </c>
      <c r="E265" s="161" t="s">
        <v>2161</v>
      </c>
      <c r="F265" s="161" t="s">
        <v>1769</v>
      </c>
      <c r="G265" s="161">
        <v>8</v>
      </c>
      <c r="H265" s="161">
        <v>1</v>
      </c>
      <c r="I265" s="161">
        <v>7.8</v>
      </c>
      <c r="J265" s="161">
        <v>74</v>
      </c>
      <c r="K265" s="161"/>
      <c r="L265" s="163">
        <v>1.82</v>
      </c>
      <c r="M265" s="163">
        <v>6.26</v>
      </c>
      <c r="N265" s="161">
        <v>-2.19</v>
      </c>
      <c r="O265" s="164" t="s">
        <v>1747</v>
      </c>
    </row>
    <row r="266" spans="1:15" ht="43.2">
      <c r="A266" s="161" t="s">
        <v>2236</v>
      </c>
      <c r="B266" s="161" t="s">
        <v>1743</v>
      </c>
      <c r="C266" s="161" t="s">
        <v>1755</v>
      </c>
      <c r="D266" s="162">
        <v>44664</v>
      </c>
      <c r="E266" s="161" t="s">
        <v>2169</v>
      </c>
      <c r="F266" s="161" t="s">
        <v>1769</v>
      </c>
      <c r="G266" s="161">
        <v>6</v>
      </c>
      <c r="H266" s="161">
        <v>2</v>
      </c>
      <c r="I266" s="161">
        <v>5</v>
      </c>
      <c r="J266" s="161">
        <v>60.8</v>
      </c>
      <c r="K266" s="161"/>
      <c r="L266" s="163">
        <v>0.93</v>
      </c>
      <c r="M266" s="163">
        <v>3.2</v>
      </c>
      <c r="N266" s="161">
        <v>-2.2200000000000002</v>
      </c>
      <c r="O266" s="164" t="s">
        <v>1747</v>
      </c>
    </row>
    <row r="267" spans="1:15" ht="43.2">
      <c r="A267" s="161" t="s">
        <v>2237</v>
      </c>
      <c r="B267" s="161" t="s">
        <v>1752</v>
      </c>
      <c r="C267" s="161" t="s">
        <v>1755</v>
      </c>
      <c r="D267" s="162">
        <v>44677</v>
      </c>
      <c r="E267" s="161" t="s">
        <v>1924</v>
      </c>
      <c r="F267" s="161" t="s">
        <v>1769</v>
      </c>
      <c r="G267" s="161">
        <v>4</v>
      </c>
      <c r="H267" s="161">
        <v>8</v>
      </c>
      <c r="I267" s="161">
        <v>5.0999999999999996</v>
      </c>
      <c r="J267" s="161">
        <v>60.4</v>
      </c>
      <c r="K267" s="161"/>
      <c r="L267" s="163">
        <v>1.47</v>
      </c>
      <c r="M267" s="163">
        <v>3.4</v>
      </c>
      <c r="N267" s="161">
        <v>-2.2200000000000002</v>
      </c>
      <c r="O267" s="164" t="s">
        <v>1747</v>
      </c>
    </row>
    <row r="268" spans="1:15" ht="43.2">
      <c r="A268" s="161" t="s">
        <v>2238</v>
      </c>
      <c r="B268" s="161" t="s">
        <v>1752</v>
      </c>
      <c r="C268" s="161" t="s">
        <v>1779</v>
      </c>
      <c r="D268" s="162">
        <v>42966</v>
      </c>
      <c r="E268" s="161" t="s">
        <v>2163</v>
      </c>
      <c r="F268" s="161" t="s">
        <v>1769</v>
      </c>
      <c r="G268" s="161">
        <v>8</v>
      </c>
      <c r="H268" s="161">
        <v>12</v>
      </c>
      <c r="I268" s="161">
        <v>14</v>
      </c>
      <c r="J268" s="161">
        <v>105.3</v>
      </c>
      <c r="K268" s="161"/>
      <c r="L268" s="163">
        <v>-1.84</v>
      </c>
      <c r="M268" s="163">
        <v>-0.64</v>
      </c>
      <c r="N268" s="161">
        <v>-2.3199999999999998</v>
      </c>
      <c r="O268" s="164" t="s">
        <v>1747</v>
      </c>
    </row>
    <row r="269" spans="1:15" ht="43.2">
      <c r="A269" s="161" t="s">
        <v>2239</v>
      </c>
      <c r="B269" s="161" t="s">
        <v>1752</v>
      </c>
      <c r="C269" s="161" t="s">
        <v>1749</v>
      </c>
      <c r="D269" s="162">
        <v>43747</v>
      </c>
      <c r="E269" s="161" t="s">
        <v>2240</v>
      </c>
      <c r="F269" s="161" t="s">
        <v>1769</v>
      </c>
      <c r="G269" s="161">
        <v>4</v>
      </c>
      <c r="H269" s="161">
        <v>12</v>
      </c>
      <c r="I269" s="161">
        <v>10.5</v>
      </c>
      <c r="J269" s="161">
        <v>90</v>
      </c>
      <c r="K269" s="161">
        <v>14</v>
      </c>
      <c r="L269" s="163">
        <v>-2.16</v>
      </c>
      <c r="M269" s="163">
        <v>-0.84</v>
      </c>
      <c r="N269" s="161">
        <v>-2.64</v>
      </c>
      <c r="O269" s="164" t="s">
        <v>1747</v>
      </c>
    </row>
    <row r="270" spans="1:15" ht="43.2">
      <c r="A270" s="161" t="s">
        <v>2241</v>
      </c>
      <c r="B270" s="161" t="s">
        <v>1752</v>
      </c>
      <c r="C270" s="161" t="s">
        <v>1786</v>
      </c>
      <c r="D270" s="162">
        <v>43445</v>
      </c>
      <c r="E270" s="161" t="s">
        <v>2242</v>
      </c>
      <c r="F270" s="161" t="s">
        <v>1769</v>
      </c>
      <c r="G270" s="161">
        <v>6</v>
      </c>
      <c r="H270" s="161">
        <v>12</v>
      </c>
      <c r="I270" s="161">
        <v>13</v>
      </c>
      <c r="J270" s="161">
        <v>100</v>
      </c>
      <c r="K270" s="161"/>
      <c r="L270" s="163">
        <v>-1.27</v>
      </c>
      <c r="M270" s="163">
        <v>0.19</v>
      </c>
      <c r="N270" s="161">
        <v>-2.09</v>
      </c>
      <c r="O270" s="164" t="s">
        <v>1747</v>
      </c>
    </row>
    <row r="271" spans="1:15" ht="43.2">
      <c r="A271" s="161" t="s">
        <v>2243</v>
      </c>
      <c r="B271" s="161" t="s">
        <v>1743</v>
      </c>
      <c r="C271" s="161" t="s">
        <v>1749</v>
      </c>
      <c r="D271" s="162">
        <v>43664</v>
      </c>
      <c r="E271" s="161" t="s">
        <v>2165</v>
      </c>
      <c r="F271" s="161" t="s">
        <v>1769</v>
      </c>
      <c r="G271" s="161">
        <v>1</v>
      </c>
      <c r="H271" s="161">
        <v>12</v>
      </c>
      <c r="I271" s="161">
        <v>12</v>
      </c>
      <c r="J271" s="161">
        <v>97</v>
      </c>
      <c r="K271" s="161"/>
      <c r="L271" s="163">
        <v>-0.9</v>
      </c>
      <c r="M271" s="163">
        <v>0.94</v>
      </c>
      <c r="N271" s="161">
        <v>-2.1</v>
      </c>
      <c r="O271" s="164" t="s">
        <v>1747</v>
      </c>
    </row>
    <row r="272" spans="1:15" ht="43.2">
      <c r="A272" s="161" t="s">
        <v>2244</v>
      </c>
      <c r="B272" s="161" t="s">
        <v>1743</v>
      </c>
      <c r="C272" s="161" t="s">
        <v>1786</v>
      </c>
      <c r="D272" s="162">
        <v>43418</v>
      </c>
      <c r="E272" s="161" t="s">
        <v>2245</v>
      </c>
      <c r="F272" s="161" t="s">
        <v>1769</v>
      </c>
      <c r="G272" s="161">
        <v>1</v>
      </c>
      <c r="H272" s="161">
        <v>8</v>
      </c>
      <c r="I272" s="161">
        <v>13</v>
      </c>
      <c r="J272" s="161">
        <v>101</v>
      </c>
      <c r="K272" s="161"/>
      <c r="L272" s="163">
        <v>-1.07</v>
      </c>
      <c r="M272" s="163">
        <v>0.49</v>
      </c>
      <c r="N272" s="161">
        <v>-2.0099999999999998</v>
      </c>
      <c r="O272" s="164" t="s">
        <v>1747</v>
      </c>
    </row>
    <row r="273" spans="1:15" ht="43.2">
      <c r="A273" s="161" t="s">
        <v>2246</v>
      </c>
      <c r="B273" s="161" t="s">
        <v>1752</v>
      </c>
      <c r="C273" s="161" t="s">
        <v>1779</v>
      </c>
      <c r="D273" s="162">
        <v>43169</v>
      </c>
      <c r="E273" s="161" t="s">
        <v>2099</v>
      </c>
      <c r="F273" s="161" t="s">
        <v>1769</v>
      </c>
      <c r="G273" s="161">
        <v>9</v>
      </c>
      <c r="H273" s="161">
        <v>5</v>
      </c>
      <c r="I273" s="161">
        <v>13</v>
      </c>
      <c r="J273" s="161">
        <v>101</v>
      </c>
      <c r="K273" s="161"/>
      <c r="L273" s="163">
        <v>-2</v>
      </c>
      <c r="M273" s="163">
        <v>-0.86</v>
      </c>
      <c r="N273" s="161">
        <v>-2.31</v>
      </c>
      <c r="O273" s="164" t="s">
        <v>1747</v>
      </c>
    </row>
    <row r="274" spans="1:15" ht="43.2">
      <c r="A274" s="161" t="s">
        <v>2247</v>
      </c>
      <c r="B274" s="161" t="s">
        <v>1743</v>
      </c>
      <c r="C274" s="161" t="s">
        <v>1749</v>
      </c>
      <c r="D274" s="162">
        <v>43778</v>
      </c>
      <c r="E274" s="161" t="s">
        <v>2248</v>
      </c>
      <c r="F274" s="161" t="s">
        <v>1769</v>
      </c>
      <c r="G274" s="161">
        <v>4</v>
      </c>
      <c r="H274" s="161">
        <v>8</v>
      </c>
      <c r="I274" s="161">
        <v>11.5</v>
      </c>
      <c r="J274" s="161">
        <v>94.3</v>
      </c>
      <c r="K274" s="161"/>
      <c r="L274" s="163">
        <v>-0.86</v>
      </c>
      <c r="M274" s="163">
        <v>0.92</v>
      </c>
      <c r="N274" s="161">
        <v>-2.0299999999999998</v>
      </c>
      <c r="O274" s="164" t="s">
        <v>1747</v>
      </c>
    </row>
    <row r="275" spans="1:15" ht="43.2">
      <c r="A275" s="161" t="s">
        <v>2249</v>
      </c>
      <c r="B275" s="161" t="s">
        <v>1752</v>
      </c>
      <c r="C275" s="161" t="s">
        <v>1786</v>
      </c>
      <c r="D275" s="162">
        <v>43429</v>
      </c>
      <c r="E275" s="161" t="s">
        <v>2250</v>
      </c>
      <c r="F275" s="161" t="s">
        <v>1769</v>
      </c>
      <c r="G275" s="161">
        <v>4</v>
      </c>
      <c r="H275" s="161">
        <v>8</v>
      </c>
      <c r="I275" s="161">
        <v>13.5</v>
      </c>
      <c r="J275" s="161">
        <v>102.5</v>
      </c>
      <c r="K275" s="161"/>
      <c r="L275" s="163">
        <v>-1.02</v>
      </c>
      <c r="M275" s="163">
        <v>0.7</v>
      </c>
      <c r="N275" s="161">
        <v>-2.16</v>
      </c>
      <c r="O275" s="164" t="s">
        <v>1747</v>
      </c>
    </row>
    <row r="276" spans="1:15" ht="43.2">
      <c r="A276" s="161" t="s">
        <v>2251</v>
      </c>
      <c r="B276" s="161" t="s">
        <v>1743</v>
      </c>
      <c r="C276" s="161" t="s">
        <v>1786</v>
      </c>
      <c r="D276" s="162">
        <v>43513</v>
      </c>
      <c r="E276" s="161" t="s">
        <v>2252</v>
      </c>
      <c r="F276" s="161" t="s">
        <v>1769</v>
      </c>
      <c r="G276" s="161">
        <v>5</v>
      </c>
      <c r="H276" s="161">
        <v>5</v>
      </c>
      <c r="I276" s="161">
        <v>12.3</v>
      </c>
      <c r="J276" s="161">
        <v>99.5</v>
      </c>
      <c r="K276" s="161"/>
      <c r="L276" s="163">
        <v>-1.24</v>
      </c>
      <c r="M276" s="163">
        <v>0.61</v>
      </c>
      <c r="N276" s="161">
        <v>-2.34</v>
      </c>
      <c r="O276" s="164" t="s">
        <v>1747</v>
      </c>
    </row>
    <row r="277" spans="1:15" ht="43.2">
      <c r="A277" s="161" t="s">
        <v>2253</v>
      </c>
      <c r="B277" s="161" t="s">
        <v>1752</v>
      </c>
      <c r="C277" s="161" t="s">
        <v>1786</v>
      </c>
      <c r="D277" s="162">
        <v>43532</v>
      </c>
      <c r="E277" s="161" t="s">
        <v>2254</v>
      </c>
      <c r="F277" s="161" t="s">
        <v>1769</v>
      </c>
      <c r="G277" s="161">
        <v>7</v>
      </c>
      <c r="H277" s="161">
        <v>2</v>
      </c>
      <c r="I277" s="161">
        <v>12.9</v>
      </c>
      <c r="J277" s="161">
        <v>99.9</v>
      </c>
      <c r="K277" s="161"/>
      <c r="L277" s="163">
        <v>-1.1000000000000001</v>
      </c>
      <c r="M277" s="163">
        <v>0.59</v>
      </c>
      <c r="N277" s="161">
        <v>-2.16</v>
      </c>
      <c r="O277" s="164" t="s">
        <v>1747</v>
      </c>
    </row>
    <row r="278" spans="1:15" ht="43.2">
      <c r="A278" s="161" t="s">
        <v>2255</v>
      </c>
      <c r="B278" s="161" t="s">
        <v>1752</v>
      </c>
      <c r="C278" s="161" t="s">
        <v>1749</v>
      </c>
      <c r="D278" s="162">
        <v>43808</v>
      </c>
      <c r="E278" s="161" t="s">
        <v>2256</v>
      </c>
      <c r="F278" s="161" t="s">
        <v>1774</v>
      </c>
      <c r="G278" s="161">
        <v>2</v>
      </c>
      <c r="H278" s="161">
        <v>5</v>
      </c>
      <c r="I278" s="161">
        <v>12.4</v>
      </c>
      <c r="J278" s="161">
        <v>99.9</v>
      </c>
      <c r="K278" s="161"/>
      <c r="L278" s="163">
        <v>-0.52</v>
      </c>
      <c r="M278" s="163">
        <v>2.5099999999999998</v>
      </c>
      <c r="N278" s="161">
        <v>-2.68</v>
      </c>
      <c r="O278" s="164" t="s">
        <v>1747</v>
      </c>
    </row>
    <row r="279" spans="1:15" ht="43.2">
      <c r="A279" s="161" t="s">
        <v>2257</v>
      </c>
      <c r="B279" s="161" t="s">
        <v>1743</v>
      </c>
      <c r="C279" s="161" t="s">
        <v>1786</v>
      </c>
      <c r="D279" s="162">
        <v>43492</v>
      </c>
      <c r="E279" s="161" t="s">
        <v>2258</v>
      </c>
      <c r="F279" s="161" t="s">
        <v>1774</v>
      </c>
      <c r="G279" s="161">
        <v>6</v>
      </c>
      <c r="H279" s="161">
        <v>7</v>
      </c>
      <c r="I279" s="161">
        <v>12</v>
      </c>
      <c r="J279" s="161">
        <v>100</v>
      </c>
      <c r="K279" s="161"/>
      <c r="L279" s="163">
        <v>-1.5</v>
      </c>
      <c r="M279" s="163">
        <v>0.62</v>
      </c>
      <c r="N279" s="161">
        <v>-2.74</v>
      </c>
      <c r="O279" s="164" t="s">
        <v>1747</v>
      </c>
    </row>
    <row r="280" spans="1:15" ht="43.2">
      <c r="A280" s="161" t="s">
        <v>2259</v>
      </c>
      <c r="B280" s="161" t="s">
        <v>1743</v>
      </c>
      <c r="C280" s="161" t="s">
        <v>1755</v>
      </c>
      <c r="D280" s="162">
        <v>44472</v>
      </c>
      <c r="E280" s="161" t="s">
        <v>2260</v>
      </c>
      <c r="F280" s="161" t="s">
        <v>1774</v>
      </c>
      <c r="G280" s="161">
        <v>3</v>
      </c>
      <c r="H280" s="161">
        <v>5</v>
      </c>
      <c r="I280" s="161">
        <v>6.3</v>
      </c>
      <c r="J280" s="161">
        <v>69</v>
      </c>
      <c r="K280" s="161"/>
      <c r="L280" s="163">
        <v>-1.76</v>
      </c>
      <c r="M280" s="163">
        <v>0.44</v>
      </c>
      <c r="N280" s="161">
        <v>-2.69</v>
      </c>
      <c r="O280" s="164" t="s">
        <v>1747</v>
      </c>
    </row>
    <row r="281" spans="1:15" ht="43.2">
      <c r="A281" s="161" t="s">
        <v>2261</v>
      </c>
      <c r="B281" s="161" t="s">
        <v>1743</v>
      </c>
      <c r="C281" s="161" t="s">
        <v>1744</v>
      </c>
      <c r="D281" s="162">
        <v>44118</v>
      </c>
      <c r="E281" s="161" t="s">
        <v>2262</v>
      </c>
      <c r="F281" s="161" t="s">
        <v>1774</v>
      </c>
      <c r="G281" s="161">
        <v>1</v>
      </c>
      <c r="H281" s="161">
        <v>7</v>
      </c>
      <c r="I281" s="161">
        <v>9</v>
      </c>
      <c r="J281" s="161">
        <v>87</v>
      </c>
      <c r="K281" s="161"/>
      <c r="L281" s="163">
        <v>-1.24</v>
      </c>
      <c r="M281" s="163">
        <v>1.75</v>
      </c>
      <c r="N281" s="161">
        <v>-3.12</v>
      </c>
      <c r="O281" s="164" t="s">
        <v>1790</v>
      </c>
    </row>
    <row r="282" spans="1:15" ht="57.6">
      <c r="A282" s="161" t="s">
        <v>2263</v>
      </c>
      <c r="B282" s="161" t="s">
        <v>1743</v>
      </c>
      <c r="C282" s="161" t="s">
        <v>1749</v>
      </c>
      <c r="D282" s="162">
        <v>43818</v>
      </c>
      <c r="E282" s="161" t="s">
        <v>2264</v>
      </c>
      <c r="F282" s="161" t="s">
        <v>1777</v>
      </c>
      <c r="G282" s="161">
        <v>1</v>
      </c>
      <c r="H282" s="161">
        <v>12</v>
      </c>
      <c r="I282" s="161">
        <v>10</v>
      </c>
      <c r="J282" s="161">
        <v>89</v>
      </c>
      <c r="K282" s="161"/>
      <c r="L282" s="163">
        <v>-1.84</v>
      </c>
      <c r="M282" s="163">
        <v>-0.45</v>
      </c>
      <c r="N282" s="161">
        <v>-2.34</v>
      </c>
      <c r="O282" s="164" t="s">
        <v>1747</v>
      </c>
    </row>
    <row r="283" spans="1:15" ht="43.2">
      <c r="A283" s="161" t="s">
        <v>2265</v>
      </c>
      <c r="B283" s="161" t="s">
        <v>1752</v>
      </c>
      <c r="C283" s="161" t="s">
        <v>1779</v>
      </c>
      <c r="D283" s="162">
        <v>43018</v>
      </c>
      <c r="E283" s="161" t="s">
        <v>2266</v>
      </c>
      <c r="F283" s="161" t="s">
        <v>1777</v>
      </c>
      <c r="G283" s="161">
        <v>3</v>
      </c>
      <c r="H283" s="161">
        <v>8</v>
      </c>
      <c r="I283" s="161">
        <v>14</v>
      </c>
      <c r="J283" s="161">
        <v>105</v>
      </c>
      <c r="K283" s="161"/>
      <c r="L283" s="163">
        <v>-1.74</v>
      </c>
      <c r="M283" s="163">
        <v>-0.53</v>
      </c>
      <c r="N283" s="161">
        <v>-2.25</v>
      </c>
      <c r="O283" s="164" t="s">
        <v>1747</v>
      </c>
    </row>
    <row r="284" spans="1:15" ht="43.2">
      <c r="A284" s="161" t="s">
        <v>2267</v>
      </c>
      <c r="B284" s="161" t="s">
        <v>1752</v>
      </c>
      <c r="C284" s="161" t="s">
        <v>1786</v>
      </c>
      <c r="D284" s="162">
        <v>43271</v>
      </c>
      <c r="E284" s="161" t="s">
        <v>2268</v>
      </c>
      <c r="F284" s="161" t="s">
        <v>1777</v>
      </c>
      <c r="G284" s="161">
        <v>0</v>
      </c>
      <c r="H284" s="161">
        <v>0</v>
      </c>
      <c r="I284" s="161">
        <v>13.2</v>
      </c>
      <c r="J284" s="161">
        <v>101.4</v>
      </c>
      <c r="K284" s="161"/>
      <c r="L284" s="163">
        <v>-1.63</v>
      </c>
      <c r="M284" s="163">
        <v>-0.34</v>
      </c>
      <c r="N284" s="161">
        <v>-2.2000000000000002</v>
      </c>
      <c r="O284" s="164" t="s">
        <v>1747</v>
      </c>
    </row>
    <row r="285" spans="1:15" ht="43.2">
      <c r="A285" s="161" t="s">
        <v>2269</v>
      </c>
      <c r="B285" s="161" t="s">
        <v>1743</v>
      </c>
      <c r="C285" s="161" t="s">
        <v>1749</v>
      </c>
      <c r="D285" s="162">
        <v>43646</v>
      </c>
      <c r="E285" s="161" t="s">
        <v>2021</v>
      </c>
      <c r="F285" s="161" t="s">
        <v>1777</v>
      </c>
      <c r="G285" s="161">
        <v>7</v>
      </c>
      <c r="H285" s="161">
        <v>10</v>
      </c>
      <c r="I285" s="161">
        <v>11</v>
      </c>
      <c r="J285" s="161">
        <v>95.2</v>
      </c>
      <c r="K285" s="161"/>
      <c r="L285" s="163">
        <v>-1.72</v>
      </c>
      <c r="M285" s="163">
        <v>0.26</v>
      </c>
      <c r="N285" s="161">
        <v>-2.76</v>
      </c>
      <c r="O285" s="164" t="s">
        <v>1747</v>
      </c>
    </row>
    <row r="286" spans="1:15" ht="43.2">
      <c r="A286" s="161" t="s">
        <v>2270</v>
      </c>
      <c r="B286" s="161" t="s">
        <v>1743</v>
      </c>
      <c r="C286" s="161" t="s">
        <v>1749</v>
      </c>
      <c r="D286" s="162">
        <v>43604</v>
      </c>
      <c r="E286" s="161" t="s">
        <v>1776</v>
      </c>
      <c r="F286" s="161" t="s">
        <v>1777</v>
      </c>
      <c r="G286" s="161">
        <v>1</v>
      </c>
      <c r="H286" s="161">
        <v>2</v>
      </c>
      <c r="I286" s="161">
        <v>8.6999999999999993</v>
      </c>
      <c r="J286" s="161">
        <v>87</v>
      </c>
      <c r="K286" s="161"/>
      <c r="L286" s="163">
        <v>-3.77</v>
      </c>
      <c r="M286" s="163">
        <v>-2.12</v>
      </c>
      <c r="N286" s="161">
        <v>-3.67</v>
      </c>
      <c r="O286" s="164" t="s">
        <v>1790</v>
      </c>
    </row>
    <row r="287" spans="1:15" ht="43.2">
      <c r="A287" s="161" t="s">
        <v>2271</v>
      </c>
      <c r="B287" s="161" t="s">
        <v>1743</v>
      </c>
      <c r="C287" s="161" t="s">
        <v>1779</v>
      </c>
      <c r="D287" s="162">
        <v>43135</v>
      </c>
      <c r="E287" s="161" t="s">
        <v>2019</v>
      </c>
      <c r="F287" s="161" t="s">
        <v>1777</v>
      </c>
      <c r="G287" s="161">
        <v>1</v>
      </c>
      <c r="H287" s="161">
        <v>15</v>
      </c>
      <c r="I287" s="161">
        <v>13</v>
      </c>
      <c r="J287" s="161">
        <v>102</v>
      </c>
      <c r="K287" s="161"/>
      <c r="L287" s="163">
        <v>-1.84</v>
      </c>
      <c r="M287" s="163">
        <v>-0.62</v>
      </c>
      <c r="N287" s="161">
        <v>-2.23</v>
      </c>
      <c r="O287" s="164" t="s">
        <v>1747</v>
      </c>
    </row>
    <row r="288" spans="1:15" ht="57.6">
      <c r="A288" s="161" t="s">
        <v>2272</v>
      </c>
      <c r="B288" s="161" t="s">
        <v>1752</v>
      </c>
      <c r="C288" s="161" t="s">
        <v>1779</v>
      </c>
      <c r="D288" s="162">
        <v>43159</v>
      </c>
      <c r="E288" s="161" t="s">
        <v>2107</v>
      </c>
      <c r="F288" s="161" t="s">
        <v>1777</v>
      </c>
      <c r="G288" s="161">
        <v>4</v>
      </c>
      <c r="H288" s="161">
        <v>2</v>
      </c>
      <c r="I288" s="161">
        <v>13.7</v>
      </c>
      <c r="J288" s="161">
        <v>103</v>
      </c>
      <c r="K288" s="161"/>
      <c r="L288" s="163">
        <v>-1.59</v>
      </c>
      <c r="M288" s="163">
        <v>-0.42</v>
      </c>
      <c r="N288" s="161">
        <v>-2.08</v>
      </c>
      <c r="O288" s="164" t="s">
        <v>1747</v>
      </c>
    </row>
    <row r="289" spans="1:15" ht="43.2">
      <c r="A289" s="161" t="s">
        <v>2273</v>
      </c>
      <c r="B289" s="161" t="s">
        <v>1743</v>
      </c>
      <c r="C289" s="161" t="s">
        <v>1779</v>
      </c>
      <c r="D289" s="162">
        <v>43161</v>
      </c>
      <c r="E289" s="161" t="s">
        <v>2274</v>
      </c>
      <c r="F289" s="161" t="s">
        <v>1777</v>
      </c>
      <c r="G289" s="161">
        <v>2</v>
      </c>
      <c r="H289" s="161">
        <v>15</v>
      </c>
      <c r="I289" s="161">
        <v>13.4</v>
      </c>
      <c r="J289" s="161">
        <v>103</v>
      </c>
      <c r="K289" s="161"/>
      <c r="L289" s="163">
        <v>-1.55</v>
      </c>
      <c r="M289" s="163">
        <v>-0.28000000000000003</v>
      </c>
      <c r="N289" s="161">
        <v>-2.09</v>
      </c>
      <c r="O289" s="164" t="s">
        <v>1747</v>
      </c>
    </row>
    <row r="290" spans="1:15" ht="43.2">
      <c r="A290" s="161" t="s">
        <v>2275</v>
      </c>
      <c r="B290" s="161" t="s">
        <v>1743</v>
      </c>
      <c r="C290" s="161" t="s">
        <v>1786</v>
      </c>
      <c r="D290" s="162">
        <v>43333</v>
      </c>
      <c r="E290" s="161" t="s">
        <v>2276</v>
      </c>
      <c r="F290" s="161" t="s">
        <v>2190</v>
      </c>
      <c r="G290" s="161">
        <v>2</v>
      </c>
      <c r="H290" s="161">
        <v>3</v>
      </c>
      <c r="I290" s="161">
        <v>12.7</v>
      </c>
      <c r="J290" s="161">
        <v>102</v>
      </c>
      <c r="K290" s="161"/>
      <c r="L290" s="163">
        <v>-1.52</v>
      </c>
      <c r="M290" s="163">
        <v>0.27</v>
      </c>
      <c r="N290" s="161">
        <v>-2.5</v>
      </c>
      <c r="O290" s="164" t="s">
        <v>1747</v>
      </c>
    </row>
    <row r="291" spans="1:15" ht="43.2">
      <c r="A291" s="161" t="s">
        <v>2277</v>
      </c>
      <c r="B291" s="161" t="s">
        <v>1752</v>
      </c>
      <c r="C291" s="161" t="s">
        <v>1786</v>
      </c>
      <c r="D291" s="162">
        <v>43355</v>
      </c>
      <c r="E291" s="161" t="s">
        <v>2192</v>
      </c>
      <c r="F291" s="161" t="s">
        <v>2190</v>
      </c>
      <c r="G291" s="161">
        <v>1</v>
      </c>
      <c r="H291" s="161">
        <v>1</v>
      </c>
      <c r="I291" s="161">
        <v>13.4</v>
      </c>
      <c r="J291" s="161">
        <v>102.9</v>
      </c>
      <c r="K291" s="161"/>
      <c r="L291" s="163">
        <v>-1.28</v>
      </c>
      <c r="M291" s="163">
        <v>0.43</v>
      </c>
      <c r="N291" s="161">
        <v>-2.34</v>
      </c>
      <c r="O291" s="164" t="s">
        <v>1747</v>
      </c>
    </row>
    <row r="292" spans="1:15" ht="43.2">
      <c r="A292" s="161" t="s">
        <v>2278</v>
      </c>
      <c r="B292" s="161" t="s">
        <v>1743</v>
      </c>
      <c r="C292" s="161" t="s">
        <v>1786</v>
      </c>
      <c r="D292" s="162">
        <v>43379</v>
      </c>
      <c r="E292" s="161" t="s">
        <v>2279</v>
      </c>
      <c r="F292" s="161" t="s">
        <v>2190</v>
      </c>
      <c r="G292" s="161">
        <v>4</v>
      </c>
      <c r="H292" s="161">
        <v>6</v>
      </c>
      <c r="I292" s="161">
        <v>13</v>
      </c>
      <c r="J292" s="161">
        <v>102.4</v>
      </c>
      <c r="K292" s="161"/>
      <c r="L292" s="163">
        <v>-1.21</v>
      </c>
      <c r="M292" s="163">
        <v>0.59</v>
      </c>
      <c r="N292" s="161">
        <v>-2.3199999999999998</v>
      </c>
      <c r="O292" s="164" t="s">
        <v>1747</v>
      </c>
    </row>
    <row r="293" spans="1:15" ht="43.2">
      <c r="A293" s="161" t="s">
        <v>2280</v>
      </c>
      <c r="B293" s="161" t="s">
        <v>1752</v>
      </c>
      <c r="C293" s="161" t="s">
        <v>1786</v>
      </c>
      <c r="D293" s="162">
        <v>43392</v>
      </c>
      <c r="E293" s="161" t="s">
        <v>2194</v>
      </c>
      <c r="F293" s="161" t="s">
        <v>2190</v>
      </c>
      <c r="G293" s="161">
        <v>3</v>
      </c>
      <c r="H293" s="161">
        <v>5</v>
      </c>
      <c r="I293" s="161">
        <v>13.6</v>
      </c>
      <c r="J293" s="161">
        <v>103</v>
      </c>
      <c r="K293" s="161"/>
      <c r="L293" s="163">
        <v>-1.06</v>
      </c>
      <c r="M293" s="163">
        <v>0.64</v>
      </c>
      <c r="N293" s="161">
        <v>-2.1800000000000002</v>
      </c>
      <c r="O293" s="164" t="s">
        <v>1747</v>
      </c>
    </row>
    <row r="294" spans="1:15" ht="43.2">
      <c r="A294" s="161" t="s">
        <v>2281</v>
      </c>
      <c r="B294" s="161" t="s">
        <v>1752</v>
      </c>
      <c r="C294" s="161" t="s">
        <v>1786</v>
      </c>
      <c r="D294" s="162">
        <v>43427</v>
      </c>
      <c r="E294" s="161" t="s">
        <v>2282</v>
      </c>
      <c r="F294" s="161" t="s">
        <v>2190</v>
      </c>
      <c r="G294" s="161">
        <v>2</v>
      </c>
      <c r="H294" s="161">
        <v>1</v>
      </c>
      <c r="I294" s="161">
        <v>13</v>
      </c>
      <c r="J294" s="161">
        <v>102.3</v>
      </c>
      <c r="K294" s="161"/>
      <c r="L294" s="163">
        <v>-1.33</v>
      </c>
      <c r="M294" s="163">
        <v>0.64</v>
      </c>
      <c r="N294" s="161">
        <v>-2.6</v>
      </c>
      <c r="O294" s="164" t="s">
        <v>1747</v>
      </c>
    </row>
    <row r="295" spans="1:15" ht="43.2">
      <c r="A295" s="161" t="s">
        <v>2283</v>
      </c>
      <c r="B295" s="161" t="s">
        <v>1752</v>
      </c>
      <c r="C295" s="161" t="s">
        <v>1786</v>
      </c>
      <c r="D295" s="162">
        <v>43491</v>
      </c>
      <c r="E295" s="161" t="s">
        <v>2279</v>
      </c>
      <c r="F295" s="161" t="s">
        <v>2190</v>
      </c>
      <c r="G295" s="161">
        <v>4</v>
      </c>
      <c r="H295" s="161">
        <v>6</v>
      </c>
      <c r="I295" s="161">
        <v>12</v>
      </c>
      <c r="J295" s="161">
        <v>95</v>
      </c>
      <c r="K295" s="161"/>
      <c r="L295" s="163">
        <v>-1.81</v>
      </c>
      <c r="M295" s="163">
        <v>-0.9</v>
      </c>
      <c r="N295" s="161">
        <v>-2.02</v>
      </c>
      <c r="O295" s="164" t="s">
        <v>1747</v>
      </c>
    </row>
    <row r="296" spans="1:15" ht="43.2">
      <c r="A296" s="161" t="s">
        <v>2284</v>
      </c>
      <c r="B296" s="161" t="s">
        <v>1752</v>
      </c>
      <c r="C296" s="161" t="s">
        <v>1786</v>
      </c>
      <c r="D296" s="162">
        <v>43255</v>
      </c>
      <c r="E296" s="161" t="s">
        <v>2285</v>
      </c>
      <c r="F296" s="161" t="s">
        <v>2190</v>
      </c>
      <c r="G296" s="161">
        <v>5</v>
      </c>
      <c r="H296" s="161">
        <v>2</v>
      </c>
      <c r="I296" s="161">
        <v>13.5</v>
      </c>
      <c r="J296" s="161">
        <v>103.2</v>
      </c>
      <c r="K296" s="161"/>
      <c r="L296" s="163">
        <v>-1.48</v>
      </c>
      <c r="M296" s="163">
        <v>0.04</v>
      </c>
      <c r="N296" s="161">
        <v>-2.31</v>
      </c>
      <c r="O296" s="164" t="s">
        <v>1747</v>
      </c>
    </row>
    <row r="297" spans="1:15" ht="43.2">
      <c r="A297" s="161" t="s">
        <v>2286</v>
      </c>
      <c r="B297" s="161" t="s">
        <v>1752</v>
      </c>
      <c r="C297" s="161" t="s">
        <v>1786</v>
      </c>
      <c r="D297" s="162">
        <v>43267</v>
      </c>
      <c r="E297" s="161" t="s">
        <v>2287</v>
      </c>
      <c r="F297" s="161" t="s">
        <v>2190</v>
      </c>
      <c r="G297" s="161">
        <v>5</v>
      </c>
      <c r="H297" s="161">
        <v>2</v>
      </c>
      <c r="I297" s="161">
        <v>13</v>
      </c>
      <c r="J297" s="161">
        <v>102.9</v>
      </c>
      <c r="K297" s="161"/>
      <c r="L297" s="163">
        <v>-1.75</v>
      </c>
      <c r="M297" s="163">
        <v>0.02</v>
      </c>
      <c r="N297" s="161">
        <v>-2.73</v>
      </c>
      <c r="O297" s="164" t="s">
        <v>1747</v>
      </c>
    </row>
    <row r="298" spans="1:15" ht="43.2">
      <c r="A298" s="161" t="s">
        <v>2288</v>
      </c>
      <c r="B298" s="161" t="s">
        <v>1752</v>
      </c>
      <c r="C298" s="161" t="s">
        <v>1786</v>
      </c>
      <c r="D298" s="162">
        <v>43481</v>
      </c>
      <c r="E298" s="161" t="s">
        <v>2289</v>
      </c>
      <c r="F298" s="161" t="s">
        <v>2190</v>
      </c>
      <c r="G298" s="161">
        <v>2</v>
      </c>
      <c r="H298" s="161">
        <v>2</v>
      </c>
      <c r="I298" s="161">
        <v>12.7</v>
      </c>
      <c r="J298" s="161">
        <v>99.8</v>
      </c>
      <c r="K298" s="161"/>
      <c r="L298" s="163">
        <v>-1.38</v>
      </c>
      <c r="M298" s="163">
        <v>0.28999999999999998</v>
      </c>
      <c r="N298" s="161">
        <v>-2.34</v>
      </c>
      <c r="O298" s="164" t="s">
        <v>1747</v>
      </c>
    </row>
    <row r="299" spans="1:15" ht="43.2">
      <c r="A299" s="161" t="s">
        <v>2290</v>
      </c>
      <c r="B299" s="161" t="s">
        <v>1743</v>
      </c>
      <c r="C299" s="161" t="s">
        <v>1786</v>
      </c>
      <c r="D299" s="162">
        <v>43526</v>
      </c>
      <c r="E299" s="161" t="s">
        <v>2287</v>
      </c>
      <c r="F299" s="161" t="s">
        <v>2190</v>
      </c>
      <c r="G299" s="161">
        <v>5</v>
      </c>
      <c r="H299" s="161">
        <v>2</v>
      </c>
      <c r="I299" s="161">
        <v>12.4</v>
      </c>
      <c r="J299" s="161">
        <v>100</v>
      </c>
      <c r="K299" s="161"/>
      <c r="L299" s="163">
        <v>-1.1399999999999999</v>
      </c>
      <c r="M299" s="163">
        <v>0.81</v>
      </c>
      <c r="N299" s="161">
        <v>-2.35</v>
      </c>
      <c r="O299" s="164" t="s">
        <v>1747</v>
      </c>
    </row>
    <row r="300" spans="1:15" ht="43.2">
      <c r="A300" s="161" t="s">
        <v>2291</v>
      </c>
      <c r="B300" s="161" t="s">
        <v>1752</v>
      </c>
      <c r="C300" s="161" t="s">
        <v>1749</v>
      </c>
      <c r="D300" s="162">
        <v>43586</v>
      </c>
      <c r="E300" s="161" t="s">
        <v>2292</v>
      </c>
      <c r="F300" s="161" t="s">
        <v>2190</v>
      </c>
      <c r="G300" s="161">
        <v>3</v>
      </c>
      <c r="H300" s="161">
        <v>2</v>
      </c>
      <c r="I300" s="161">
        <v>12.7</v>
      </c>
      <c r="J300" s="161">
        <v>99.7</v>
      </c>
      <c r="K300" s="161"/>
      <c r="L300" s="163">
        <v>-1.07</v>
      </c>
      <c r="M300" s="163">
        <v>0.86</v>
      </c>
      <c r="N300" s="161">
        <v>-2.3199999999999998</v>
      </c>
      <c r="O300" s="164" t="s">
        <v>1747</v>
      </c>
    </row>
    <row r="301" spans="1:15" ht="43.2">
      <c r="A301" s="161" t="s">
        <v>2293</v>
      </c>
      <c r="B301" s="161" t="s">
        <v>1743</v>
      </c>
      <c r="C301" s="161" t="s">
        <v>1749</v>
      </c>
      <c r="D301" s="162">
        <v>43683</v>
      </c>
      <c r="E301" s="161" t="s">
        <v>2294</v>
      </c>
      <c r="F301" s="161" t="s">
        <v>2190</v>
      </c>
      <c r="G301" s="161">
        <v>3</v>
      </c>
      <c r="H301" s="161">
        <v>3</v>
      </c>
      <c r="I301" s="161">
        <v>12.4</v>
      </c>
      <c r="J301" s="161">
        <v>99.9</v>
      </c>
      <c r="K301" s="161"/>
      <c r="L301" s="163">
        <v>-0.6</v>
      </c>
      <c r="M301" s="163">
        <v>1.8</v>
      </c>
      <c r="N301" s="161">
        <v>-2.33</v>
      </c>
      <c r="O301" s="164" t="s">
        <v>1747</v>
      </c>
    </row>
    <row r="302" spans="1:15" ht="57.6">
      <c r="A302" s="161" t="s">
        <v>2295</v>
      </c>
      <c r="B302" s="161" t="s">
        <v>1752</v>
      </c>
      <c r="C302" s="161" t="s">
        <v>1749</v>
      </c>
      <c r="D302" s="162">
        <v>43755</v>
      </c>
      <c r="E302" s="161" t="s">
        <v>2296</v>
      </c>
      <c r="F302" s="161" t="s">
        <v>2190</v>
      </c>
      <c r="G302" s="161">
        <v>1</v>
      </c>
      <c r="H302" s="161">
        <v>3</v>
      </c>
      <c r="I302" s="161">
        <v>12.4</v>
      </c>
      <c r="J302" s="161">
        <v>100</v>
      </c>
      <c r="K302" s="161"/>
      <c r="L302" s="163">
        <v>-0.72</v>
      </c>
      <c r="M302" s="163">
        <v>2.1</v>
      </c>
      <c r="N302" s="161">
        <v>-2.7</v>
      </c>
      <c r="O302" s="164" t="s">
        <v>1747</v>
      </c>
    </row>
    <row r="303" spans="1:15" ht="43.2">
      <c r="A303" s="161" t="s">
        <v>2297</v>
      </c>
      <c r="B303" s="161" t="s">
        <v>1752</v>
      </c>
      <c r="C303" s="161" t="s">
        <v>1749</v>
      </c>
      <c r="D303" s="162">
        <v>43642</v>
      </c>
      <c r="E303" s="161" t="s">
        <v>2298</v>
      </c>
      <c r="F303" s="161" t="s">
        <v>2190</v>
      </c>
      <c r="G303" s="161">
        <v>8</v>
      </c>
      <c r="H303" s="161">
        <v>3</v>
      </c>
      <c r="I303" s="161">
        <v>12.9</v>
      </c>
      <c r="J303" s="161">
        <v>100</v>
      </c>
      <c r="K303" s="161"/>
      <c r="L303" s="163">
        <v>-0.76</v>
      </c>
      <c r="M303" s="163">
        <v>1.29</v>
      </c>
      <c r="N303" s="161">
        <v>-2.19</v>
      </c>
      <c r="O303" s="164" t="s">
        <v>1747</v>
      </c>
    </row>
    <row r="304" spans="1:15" ht="43.2">
      <c r="A304" s="161" t="s">
        <v>2299</v>
      </c>
      <c r="B304" s="161" t="s">
        <v>1752</v>
      </c>
      <c r="C304" s="161" t="s">
        <v>1786</v>
      </c>
      <c r="D304" s="162">
        <v>43316</v>
      </c>
      <c r="E304" s="161" t="s">
        <v>2300</v>
      </c>
      <c r="F304" s="161" t="s">
        <v>2190</v>
      </c>
      <c r="G304" s="161">
        <v>5</v>
      </c>
      <c r="H304" s="161">
        <v>3</v>
      </c>
      <c r="I304" s="161">
        <v>13.5</v>
      </c>
      <c r="J304" s="161">
        <v>103</v>
      </c>
      <c r="K304" s="161"/>
      <c r="L304" s="163">
        <v>-1.33</v>
      </c>
      <c r="M304" s="163">
        <v>0.27</v>
      </c>
      <c r="N304" s="161">
        <v>-2.27</v>
      </c>
      <c r="O304" s="164" t="s">
        <v>1747</v>
      </c>
    </row>
    <row r="305" spans="1:15" ht="43.2">
      <c r="A305" s="161" t="s">
        <v>2301</v>
      </c>
      <c r="B305" s="161" t="s">
        <v>1752</v>
      </c>
      <c r="C305" s="161" t="s">
        <v>1779</v>
      </c>
      <c r="D305" s="162">
        <v>42859</v>
      </c>
      <c r="E305" s="161" t="s">
        <v>2302</v>
      </c>
      <c r="F305" s="161" t="s">
        <v>2190</v>
      </c>
      <c r="G305" s="161">
        <v>1</v>
      </c>
      <c r="H305" s="161">
        <v>5</v>
      </c>
      <c r="I305" s="161">
        <v>15.5</v>
      </c>
      <c r="J305" s="161">
        <v>110.2</v>
      </c>
      <c r="K305" s="161"/>
      <c r="L305" s="163">
        <v>-1.27</v>
      </c>
      <c r="M305" s="163">
        <v>0.02</v>
      </c>
      <c r="N305" s="161">
        <v>-2.13</v>
      </c>
      <c r="O305" s="164" t="s">
        <v>1747</v>
      </c>
    </row>
    <row r="306" spans="1:15" ht="43.2">
      <c r="A306" s="161" t="s">
        <v>2303</v>
      </c>
      <c r="B306" s="161" t="s">
        <v>1743</v>
      </c>
      <c r="C306" s="161" t="s">
        <v>1779</v>
      </c>
      <c r="D306" s="162">
        <v>43191</v>
      </c>
      <c r="E306" s="161" t="s">
        <v>2304</v>
      </c>
      <c r="F306" s="161" t="s">
        <v>2190</v>
      </c>
      <c r="G306" s="161">
        <v>3</v>
      </c>
      <c r="H306" s="161">
        <v>5</v>
      </c>
      <c r="I306" s="161">
        <v>8.9</v>
      </c>
      <c r="J306" s="161">
        <v>86.5</v>
      </c>
      <c r="K306" s="161">
        <v>12.5</v>
      </c>
      <c r="L306" s="163">
        <v>-4.4400000000000004</v>
      </c>
      <c r="M306" s="163">
        <v>-4.07</v>
      </c>
      <c r="N306" s="161">
        <v>-3.12</v>
      </c>
      <c r="O306" s="164" t="s">
        <v>1790</v>
      </c>
    </row>
    <row r="307" spans="1:15" ht="43.2">
      <c r="A307" s="161" t="s">
        <v>2305</v>
      </c>
      <c r="B307" s="161" t="s">
        <v>1743</v>
      </c>
      <c r="C307" s="161" t="s">
        <v>1749</v>
      </c>
      <c r="D307" s="162">
        <v>43645</v>
      </c>
      <c r="E307" s="161" t="s">
        <v>2306</v>
      </c>
      <c r="F307" s="161" t="s">
        <v>2190</v>
      </c>
      <c r="G307" s="161">
        <v>1</v>
      </c>
      <c r="H307" s="161">
        <v>6</v>
      </c>
      <c r="I307" s="161">
        <v>8.6999999999999993</v>
      </c>
      <c r="J307" s="161">
        <v>82.8</v>
      </c>
      <c r="K307" s="161"/>
      <c r="L307" s="163">
        <v>-3.63</v>
      </c>
      <c r="M307" s="163">
        <v>-2.98</v>
      </c>
      <c r="N307" s="161">
        <v>-2.6</v>
      </c>
      <c r="O307" s="164" t="s">
        <v>1747</v>
      </c>
    </row>
    <row r="308" spans="1:15" ht="43.2">
      <c r="A308" s="161" t="s">
        <v>2307</v>
      </c>
      <c r="B308" s="161" t="s">
        <v>1743</v>
      </c>
      <c r="C308" s="161" t="s">
        <v>1786</v>
      </c>
      <c r="D308" s="162">
        <v>43249</v>
      </c>
      <c r="E308" s="161" t="s">
        <v>2308</v>
      </c>
      <c r="F308" s="161" t="s">
        <v>1781</v>
      </c>
      <c r="G308" s="161">
        <v>4</v>
      </c>
      <c r="H308" s="161">
        <v>2</v>
      </c>
      <c r="I308" s="161">
        <v>13</v>
      </c>
      <c r="J308" s="161">
        <v>102.2</v>
      </c>
      <c r="K308" s="161"/>
      <c r="L308" s="163">
        <v>-1.57</v>
      </c>
      <c r="M308" s="163">
        <v>-0.1</v>
      </c>
      <c r="N308" s="161">
        <v>-2.27</v>
      </c>
      <c r="O308" s="164" t="s">
        <v>1747</v>
      </c>
    </row>
    <row r="309" spans="1:15" ht="43.2">
      <c r="A309" s="161" t="s">
        <v>2309</v>
      </c>
      <c r="B309" s="161" t="s">
        <v>1752</v>
      </c>
      <c r="C309" s="161" t="s">
        <v>1786</v>
      </c>
      <c r="D309" s="162">
        <v>43314</v>
      </c>
      <c r="E309" s="161" t="s">
        <v>2310</v>
      </c>
      <c r="F309" s="161" t="s">
        <v>1781</v>
      </c>
      <c r="G309" s="161">
        <v>1</v>
      </c>
      <c r="H309" s="161">
        <v>11</v>
      </c>
      <c r="I309" s="161">
        <v>12.9</v>
      </c>
      <c r="J309" s="161">
        <v>102</v>
      </c>
      <c r="K309" s="161"/>
      <c r="L309" s="163">
        <v>-1.71</v>
      </c>
      <c r="M309" s="163">
        <v>-0.01</v>
      </c>
      <c r="N309" s="161">
        <v>-2.63</v>
      </c>
      <c r="O309" s="164" t="s">
        <v>1747</v>
      </c>
    </row>
    <row r="310" spans="1:15" ht="43.2">
      <c r="A310" s="161" t="s">
        <v>2311</v>
      </c>
      <c r="B310" s="161" t="s">
        <v>1743</v>
      </c>
      <c r="C310" s="161" t="s">
        <v>1786</v>
      </c>
      <c r="D310" s="162">
        <v>43462</v>
      </c>
      <c r="E310" s="161" t="s">
        <v>2131</v>
      </c>
      <c r="F310" s="161" t="s">
        <v>1781</v>
      </c>
      <c r="G310" s="161">
        <v>2</v>
      </c>
      <c r="H310" s="161">
        <v>11</v>
      </c>
      <c r="I310" s="161">
        <v>13</v>
      </c>
      <c r="J310" s="161">
        <v>101.2</v>
      </c>
      <c r="K310" s="161"/>
      <c r="L310" s="163">
        <v>-0.97</v>
      </c>
      <c r="M310" s="163">
        <v>0.72</v>
      </c>
      <c r="N310" s="161">
        <v>-2.0499999999999998</v>
      </c>
      <c r="O310" s="164" t="s">
        <v>1747</v>
      </c>
    </row>
    <row r="311" spans="1:15" ht="43.2">
      <c r="A311" s="161" t="s">
        <v>2312</v>
      </c>
      <c r="B311" s="161" t="s">
        <v>1743</v>
      </c>
      <c r="C311" s="161" t="s">
        <v>1786</v>
      </c>
      <c r="D311" s="162">
        <v>43524</v>
      </c>
      <c r="E311" s="161" t="s">
        <v>2313</v>
      </c>
      <c r="F311" s="161" t="s">
        <v>1781</v>
      </c>
      <c r="G311" s="161">
        <v>2</v>
      </c>
      <c r="H311" s="161">
        <v>11</v>
      </c>
      <c r="I311" s="161">
        <v>11.4</v>
      </c>
      <c r="J311" s="161">
        <v>94.3</v>
      </c>
      <c r="K311" s="161"/>
      <c r="L311" s="163">
        <v>-1.84</v>
      </c>
      <c r="M311" s="163">
        <v>-0.68</v>
      </c>
      <c r="N311" s="161">
        <v>-2.14</v>
      </c>
      <c r="O311" s="164" t="s">
        <v>1747</v>
      </c>
    </row>
    <row r="312" spans="1:15" ht="43.2">
      <c r="A312" s="161" t="s">
        <v>2314</v>
      </c>
      <c r="B312" s="161" t="s">
        <v>1752</v>
      </c>
      <c r="C312" s="161" t="s">
        <v>1749</v>
      </c>
      <c r="D312" s="162">
        <v>43725</v>
      </c>
      <c r="E312" s="161" t="s">
        <v>2196</v>
      </c>
      <c r="F312" s="161" t="s">
        <v>1781</v>
      </c>
      <c r="G312" s="161">
        <v>3</v>
      </c>
      <c r="H312" s="161">
        <v>2</v>
      </c>
      <c r="I312" s="161">
        <v>11.2</v>
      </c>
      <c r="J312" s="161">
        <v>94</v>
      </c>
      <c r="K312" s="161"/>
      <c r="L312" s="163">
        <v>-1.7</v>
      </c>
      <c r="M312" s="163">
        <v>0.14000000000000001</v>
      </c>
      <c r="N312" s="161">
        <v>-2.71</v>
      </c>
      <c r="O312" s="164" t="s">
        <v>1747</v>
      </c>
    </row>
    <row r="313" spans="1:15" ht="43.2">
      <c r="A313" s="161" t="s">
        <v>2315</v>
      </c>
      <c r="B313" s="161" t="s">
        <v>1752</v>
      </c>
      <c r="C313" s="161" t="s">
        <v>1749</v>
      </c>
      <c r="D313" s="162">
        <v>43733</v>
      </c>
      <c r="E313" s="161" t="s">
        <v>2119</v>
      </c>
      <c r="F313" s="161" t="s">
        <v>1781</v>
      </c>
      <c r="G313" s="161">
        <v>2</v>
      </c>
      <c r="H313" s="161">
        <v>2</v>
      </c>
      <c r="I313" s="161">
        <v>11.2</v>
      </c>
      <c r="J313" s="161">
        <v>93.1</v>
      </c>
      <c r="K313" s="161"/>
      <c r="L313" s="163">
        <v>-1.67</v>
      </c>
      <c r="M313" s="163">
        <v>-7.0000000000000007E-2</v>
      </c>
      <c r="N313" s="161">
        <v>-2.5099999999999998</v>
      </c>
      <c r="O313" s="164" t="s">
        <v>1747</v>
      </c>
    </row>
    <row r="314" spans="1:15" ht="43.2">
      <c r="A314" s="161" t="s">
        <v>2316</v>
      </c>
      <c r="B314" s="161" t="s">
        <v>1752</v>
      </c>
      <c r="C314" s="161" t="s">
        <v>1786</v>
      </c>
      <c r="D314" s="162">
        <v>43298</v>
      </c>
      <c r="E314" s="161" t="s">
        <v>2317</v>
      </c>
      <c r="F314" s="161" t="s">
        <v>1781</v>
      </c>
      <c r="G314" s="161">
        <v>2</v>
      </c>
      <c r="H314" s="161">
        <v>11</v>
      </c>
      <c r="I314" s="161">
        <v>8.8000000000000007</v>
      </c>
      <c r="J314" s="161">
        <v>84</v>
      </c>
      <c r="K314" s="161"/>
      <c r="L314" s="163">
        <v>-4.58</v>
      </c>
      <c r="M314" s="163">
        <v>-4.45</v>
      </c>
      <c r="N314" s="161">
        <v>-3.32</v>
      </c>
      <c r="O314" s="164" t="s">
        <v>1790</v>
      </c>
    </row>
    <row r="315" spans="1:15" ht="43.2">
      <c r="A315" s="161" t="s">
        <v>2318</v>
      </c>
      <c r="B315" s="161" t="s">
        <v>1743</v>
      </c>
      <c r="C315" s="161" t="s">
        <v>1779</v>
      </c>
      <c r="D315" s="162">
        <v>43185</v>
      </c>
      <c r="E315" s="161" t="s">
        <v>2131</v>
      </c>
      <c r="F315" s="161" t="s">
        <v>1781</v>
      </c>
      <c r="G315" s="161">
        <v>1</v>
      </c>
      <c r="H315" s="161">
        <v>11</v>
      </c>
      <c r="I315" s="161">
        <v>12.7</v>
      </c>
      <c r="J315" s="161">
        <v>102</v>
      </c>
      <c r="K315" s="161"/>
      <c r="L315" s="163">
        <v>-1.9</v>
      </c>
      <c r="M315" s="163">
        <v>-0.41</v>
      </c>
      <c r="N315" s="161">
        <v>-2.5</v>
      </c>
      <c r="O315" s="164" t="s">
        <v>1747</v>
      </c>
    </row>
    <row r="316" spans="1:15" ht="43.2">
      <c r="A316" s="161" t="s">
        <v>2319</v>
      </c>
      <c r="B316" s="161" t="s">
        <v>1752</v>
      </c>
      <c r="C316" s="161" t="s">
        <v>1786</v>
      </c>
      <c r="D316" s="162">
        <v>43272</v>
      </c>
      <c r="E316" s="161" t="s">
        <v>2320</v>
      </c>
      <c r="F316" s="161" t="s">
        <v>1781</v>
      </c>
      <c r="G316" s="161">
        <v>3</v>
      </c>
      <c r="H316" s="161">
        <v>11</v>
      </c>
      <c r="I316" s="161">
        <v>12.6</v>
      </c>
      <c r="J316" s="161">
        <v>102</v>
      </c>
      <c r="K316" s="161"/>
      <c r="L316" s="163">
        <v>-1.99</v>
      </c>
      <c r="M316" s="163">
        <v>-0.18</v>
      </c>
      <c r="N316" s="161">
        <v>-2.94</v>
      </c>
      <c r="O316" s="164" t="s">
        <v>1747</v>
      </c>
    </row>
    <row r="317" spans="1:15" ht="28.8">
      <c r="A317" s="161" t="s">
        <v>2321</v>
      </c>
      <c r="B317" s="161" t="s">
        <v>1752</v>
      </c>
      <c r="C317" s="161" t="s">
        <v>1786</v>
      </c>
      <c r="D317" s="162">
        <v>43420</v>
      </c>
      <c r="E317" s="161" t="s">
        <v>1798</v>
      </c>
      <c r="F317" s="161" t="s">
        <v>1784</v>
      </c>
      <c r="G317" s="161">
        <v>4</v>
      </c>
      <c r="H317" s="161">
        <v>5</v>
      </c>
      <c r="I317" s="161">
        <v>12.3</v>
      </c>
      <c r="J317" s="161">
        <v>102.9</v>
      </c>
      <c r="K317" s="161"/>
      <c r="L317" s="163">
        <v>-1.81</v>
      </c>
      <c r="M317" s="163">
        <v>0.76</v>
      </c>
      <c r="N317" s="161">
        <v>-3.42</v>
      </c>
      <c r="O317" s="164" t="s">
        <v>1790</v>
      </c>
    </row>
    <row r="318" spans="1:15" ht="28.8">
      <c r="A318" s="161" t="s">
        <v>2322</v>
      </c>
      <c r="B318" s="161" t="s">
        <v>1752</v>
      </c>
      <c r="C318" s="161" t="s">
        <v>1786</v>
      </c>
      <c r="D318" s="162">
        <v>43451</v>
      </c>
      <c r="E318" s="161" t="s">
        <v>1802</v>
      </c>
      <c r="F318" s="161" t="s">
        <v>1784</v>
      </c>
      <c r="G318" s="161">
        <v>3</v>
      </c>
      <c r="H318" s="161">
        <v>7</v>
      </c>
      <c r="I318" s="161">
        <v>13.7</v>
      </c>
      <c r="J318" s="161">
        <v>103.8</v>
      </c>
      <c r="K318" s="161"/>
      <c r="L318" s="163">
        <v>-0.84</v>
      </c>
      <c r="M318" s="163">
        <v>1.1499999999999999</v>
      </c>
      <c r="N318" s="161">
        <v>-2.2599999999999998</v>
      </c>
      <c r="O318" s="164" t="s">
        <v>1747</v>
      </c>
    </row>
    <row r="319" spans="1:15" ht="28.8">
      <c r="A319" s="161" t="s">
        <v>2323</v>
      </c>
      <c r="B319" s="161" t="s">
        <v>1752</v>
      </c>
      <c r="C319" s="161" t="s">
        <v>1749</v>
      </c>
      <c r="D319" s="162">
        <v>43802</v>
      </c>
      <c r="E319" s="161" t="s">
        <v>2324</v>
      </c>
      <c r="F319" s="161" t="s">
        <v>1784</v>
      </c>
      <c r="G319" s="161">
        <v>3</v>
      </c>
      <c r="H319" s="161">
        <v>7</v>
      </c>
      <c r="I319" s="161">
        <v>11.7</v>
      </c>
      <c r="J319" s="161">
        <v>93.6</v>
      </c>
      <c r="K319" s="161"/>
      <c r="L319" s="163">
        <v>-1.04</v>
      </c>
      <c r="M319" s="163">
        <v>0.6</v>
      </c>
      <c r="N319" s="161">
        <v>-2.0499999999999998</v>
      </c>
      <c r="O319" s="164" t="s">
        <v>1747</v>
      </c>
    </row>
    <row r="320" spans="1:15" ht="28.8">
      <c r="A320" s="161" t="s">
        <v>2325</v>
      </c>
      <c r="B320" s="161" t="s">
        <v>1743</v>
      </c>
      <c r="C320" s="161" t="s">
        <v>1755</v>
      </c>
      <c r="D320" s="162">
        <v>44505</v>
      </c>
      <c r="E320" s="161" t="s">
        <v>2326</v>
      </c>
      <c r="F320" s="161" t="s">
        <v>1784</v>
      </c>
      <c r="G320" s="161">
        <v>7</v>
      </c>
      <c r="H320" s="161">
        <v>7</v>
      </c>
      <c r="I320" s="161">
        <v>6</v>
      </c>
      <c r="J320" s="161">
        <v>65.5</v>
      </c>
      <c r="K320" s="161"/>
      <c r="L320" s="163">
        <v>-1.73</v>
      </c>
      <c r="M320" s="163">
        <v>-0.28999999999999998</v>
      </c>
      <c r="N320" s="161">
        <v>-2.06</v>
      </c>
      <c r="O320" s="164" t="s">
        <v>1747</v>
      </c>
    </row>
    <row r="321" spans="1:15" ht="43.2">
      <c r="A321" s="161" t="s">
        <v>2327</v>
      </c>
      <c r="B321" s="161" t="s">
        <v>1752</v>
      </c>
      <c r="C321" s="161" t="s">
        <v>1786</v>
      </c>
      <c r="D321" s="162">
        <v>43337</v>
      </c>
      <c r="E321" s="161" t="s">
        <v>2328</v>
      </c>
      <c r="F321" s="161" t="s">
        <v>1784</v>
      </c>
      <c r="G321" s="161">
        <v>3</v>
      </c>
      <c r="H321" s="161">
        <v>4</v>
      </c>
      <c r="I321" s="161">
        <v>13</v>
      </c>
      <c r="J321" s="161">
        <v>102</v>
      </c>
      <c r="K321" s="161"/>
      <c r="L321" s="163">
        <v>-1.58</v>
      </c>
      <c r="M321" s="163">
        <v>0.12</v>
      </c>
      <c r="N321" s="161">
        <v>-2.5299999999999998</v>
      </c>
      <c r="O321" s="164" t="s">
        <v>1747</v>
      </c>
    </row>
    <row r="322" spans="1:15" ht="57.6">
      <c r="A322" s="161" t="s">
        <v>2329</v>
      </c>
      <c r="B322" s="161" t="s">
        <v>1752</v>
      </c>
      <c r="C322" s="161" t="s">
        <v>1749</v>
      </c>
      <c r="D322" s="162">
        <v>43798</v>
      </c>
      <c r="E322" s="161" t="s">
        <v>2330</v>
      </c>
      <c r="F322" s="161" t="s">
        <v>1784</v>
      </c>
      <c r="G322" s="161">
        <v>1</v>
      </c>
      <c r="H322" s="161">
        <v>4</v>
      </c>
      <c r="I322" s="161">
        <v>11.2</v>
      </c>
      <c r="J322" s="161">
        <v>94.3</v>
      </c>
      <c r="K322" s="161"/>
      <c r="L322" s="163">
        <v>-1.44</v>
      </c>
      <c r="M322" s="163">
        <v>0.74</v>
      </c>
      <c r="N322" s="161">
        <v>-2.78</v>
      </c>
      <c r="O322" s="164" t="s">
        <v>1747</v>
      </c>
    </row>
    <row r="323" spans="1:15" ht="28.8">
      <c r="A323" s="161" t="s">
        <v>2331</v>
      </c>
      <c r="B323" s="161" t="s">
        <v>1743</v>
      </c>
      <c r="C323" s="161" t="s">
        <v>1779</v>
      </c>
      <c r="D323" s="162">
        <v>42888</v>
      </c>
      <c r="E323" s="161" t="s">
        <v>2036</v>
      </c>
      <c r="F323" s="161" t="s">
        <v>1784</v>
      </c>
      <c r="G323" s="161">
        <v>2</v>
      </c>
      <c r="H323" s="161">
        <v>4</v>
      </c>
      <c r="I323" s="161">
        <v>14.3</v>
      </c>
      <c r="J323" s="161">
        <v>106</v>
      </c>
      <c r="K323" s="161"/>
      <c r="L323" s="163">
        <v>-1.73</v>
      </c>
      <c r="M323" s="163">
        <v>-0.75</v>
      </c>
      <c r="N323" s="161">
        <v>-2.0099999999999998</v>
      </c>
      <c r="O323" s="164" t="s">
        <v>1747</v>
      </c>
    </row>
    <row r="324" spans="1:15" ht="43.2">
      <c r="A324" s="161" t="s">
        <v>2332</v>
      </c>
      <c r="B324" s="161" t="s">
        <v>1752</v>
      </c>
      <c r="C324" s="161" t="s">
        <v>1786</v>
      </c>
      <c r="D324" s="162">
        <v>43530</v>
      </c>
      <c r="E324" s="161" t="s">
        <v>1907</v>
      </c>
      <c r="F324" s="161" t="s">
        <v>1784</v>
      </c>
      <c r="G324" s="161">
        <v>3</v>
      </c>
      <c r="H324" s="161">
        <v>2</v>
      </c>
      <c r="I324" s="161">
        <v>11</v>
      </c>
      <c r="J324" s="161">
        <v>91</v>
      </c>
      <c r="K324" s="161"/>
      <c r="L324" s="163">
        <v>-2.4900000000000002</v>
      </c>
      <c r="M324" s="163">
        <v>-1.86</v>
      </c>
      <c r="N324" s="161">
        <v>-2.27</v>
      </c>
      <c r="O324" s="164" t="s">
        <v>1747</v>
      </c>
    </row>
    <row r="325" spans="1:15" ht="43.2">
      <c r="A325" s="161" t="s">
        <v>2333</v>
      </c>
      <c r="B325" s="161" t="s">
        <v>1752</v>
      </c>
      <c r="C325" s="161" t="s">
        <v>1749</v>
      </c>
      <c r="D325" s="162">
        <v>43719</v>
      </c>
      <c r="E325" s="161" t="s">
        <v>2334</v>
      </c>
      <c r="F325" s="161" t="s">
        <v>1784</v>
      </c>
      <c r="G325" s="161">
        <v>1</v>
      </c>
      <c r="H325" s="161">
        <v>4</v>
      </c>
      <c r="I325" s="161">
        <v>10</v>
      </c>
      <c r="J325" s="161">
        <v>88</v>
      </c>
      <c r="K325" s="161">
        <v>17</v>
      </c>
      <c r="L325" s="163">
        <v>-2.72</v>
      </c>
      <c r="M325" s="163">
        <v>-1.67</v>
      </c>
      <c r="N325" s="161">
        <v>-2.78</v>
      </c>
      <c r="O325" s="164" t="s">
        <v>1747</v>
      </c>
    </row>
    <row r="326" spans="1:15" ht="28.8">
      <c r="A326" s="161" t="s">
        <v>2335</v>
      </c>
      <c r="B326" s="161" t="s">
        <v>1743</v>
      </c>
      <c r="C326" s="161" t="s">
        <v>1749</v>
      </c>
      <c r="D326" s="162">
        <v>43764</v>
      </c>
      <c r="E326" s="161" t="s">
        <v>2336</v>
      </c>
      <c r="F326" s="161" t="s">
        <v>1784</v>
      </c>
      <c r="G326" s="161">
        <v>1</v>
      </c>
      <c r="H326" s="161">
        <v>4</v>
      </c>
      <c r="I326" s="161">
        <v>12.5</v>
      </c>
      <c r="J326" s="161">
        <v>100</v>
      </c>
      <c r="K326" s="161"/>
      <c r="L326" s="163">
        <v>-0.28999999999999998</v>
      </c>
      <c r="M326" s="163">
        <v>2.3199999999999998</v>
      </c>
      <c r="N326" s="161">
        <v>-2.25</v>
      </c>
      <c r="O326" s="164" t="s">
        <v>1747</v>
      </c>
    </row>
    <row r="327" spans="1:15" ht="28.8">
      <c r="A327" s="161" t="s">
        <v>2337</v>
      </c>
      <c r="B327" s="161" t="s">
        <v>1752</v>
      </c>
      <c r="C327" s="161" t="s">
        <v>1744</v>
      </c>
      <c r="D327" s="162">
        <v>44156</v>
      </c>
      <c r="E327" s="161" t="s">
        <v>2338</v>
      </c>
      <c r="F327" s="161" t="s">
        <v>1784</v>
      </c>
      <c r="G327" s="161">
        <v>1</v>
      </c>
      <c r="H327" s="161">
        <v>4</v>
      </c>
      <c r="I327" s="161">
        <v>9</v>
      </c>
      <c r="J327" s="161">
        <v>81</v>
      </c>
      <c r="K327" s="161"/>
      <c r="L327" s="163">
        <v>-1.88</v>
      </c>
      <c r="M327" s="163">
        <v>-0.49</v>
      </c>
      <c r="N327" s="161">
        <v>-2.2400000000000002</v>
      </c>
      <c r="O327" s="164" t="s">
        <v>1747</v>
      </c>
    </row>
    <row r="328" spans="1:15" ht="72">
      <c r="A328" s="161" t="s">
        <v>2339</v>
      </c>
      <c r="B328" s="161" t="s">
        <v>1743</v>
      </c>
      <c r="C328" s="161" t="s">
        <v>1744</v>
      </c>
      <c r="D328" s="162">
        <v>44117</v>
      </c>
      <c r="E328" s="161" t="s">
        <v>2340</v>
      </c>
      <c r="F328" s="161" t="s">
        <v>1807</v>
      </c>
      <c r="G328" s="161">
        <v>3</v>
      </c>
      <c r="H328" s="161">
        <v>3</v>
      </c>
      <c r="I328" s="161">
        <v>8.1999999999999993</v>
      </c>
      <c r="J328" s="161">
        <v>80</v>
      </c>
      <c r="K328" s="161"/>
      <c r="L328" s="163">
        <v>-2.21</v>
      </c>
      <c r="M328" s="163">
        <v>-0.69</v>
      </c>
      <c r="N328" s="161">
        <v>-2.59</v>
      </c>
      <c r="O328" s="164" t="s">
        <v>1747</v>
      </c>
    </row>
    <row r="329" spans="1:15" ht="43.2">
      <c r="A329" s="161" t="s">
        <v>2341</v>
      </c>
      <c r="B329" s="161" t="s">
        <v>1752</v>
      </c>
      <c r="C329" s="161" t="s">
        <v>1755</v>
      </c>
      <c r="D329" s="162">
        <v>44481</v>
      </c>
      <c r="E329" s="161" t="s">
        <v>1806</v>
      </c>
      <c r="F329" s="161" t="s">
        <v>1807</v>
      </c>
      <c r="G329" s="161">
        <v>11</v>
      </c>
      <c r="H329" s="161">
        <v>3</v>
      </c>
      <c r="I329" s="161">
        <v>6.7</v>
      </c>
      <c r="J329" s="161">
        <v>68</v>
      </c>
      <c r="K329" s="161">
        <v>13</v>
      </c>
      <c r="L329" s="163">
        <v>-2.3199999999999998</v>
      </c>
      <c r="M329" s="163">
        <v>-1.25</v>
      </c>
      <c r="N329" s="161">
        <v>-2.17</v>
      </c>
      <c r="O329" s="164" t="s">
        <v>1747</v>
      </c>
    </row>
    <row r="330" spans="1:15" ht="43.2">
      <c r="A330" s="161" t="s">
        <v>2342</v>
      </c>
      <c r="B330" s="161" t="s">
        <v>1743</v>
      </c>
      <c r="C330" s="161" t="s">
        <v>1749</v>
      </c>
      <c r="D330" s="162">
        <v>43664</v>
      </c>
      <c r="E330" s="161" t="s">
        <v>2343</v>
      </c>
      <c r="F330" s="161" t="s">
        <v>1807</v>
      </c>
      <c r="G330" s="161">
        <v>3</v>
      </c>
      <c r="H330" s="161">
        <v>2</v>
      </c>
      <c r="I330" s="161">
        <v>12.2</v>
      </c>
      <c r="J330" s="161">
        <v>97.8</v>
      </c>
      <c r="K330" s="161"/>
      <c r="L330" s="163">
        <v>-0.85</v>
      </c>
      <c r="M330" s="163">
        <v>1</v>
      </c>
      <c r="N330" s="161">
        <v>-2.0699999999999998</v>
      </c>
      <c r="O330" s="164" t="s">
        <v>1747</v>
      </c>
    </row>
    <row r="331" spans="1:15" ht="43.2">
      <c r="A331" s="161" t="s">
        <v>2344</v>
      </c>
      <c r="B331" s="161" t="s">
        <v>1743</v>
      </c>
      <c r="C331" s="161" t="s">
        <v>1786</v>
      </c>
      <c r="D331" s="162">
        <v>43379</v>
      </c>
      <c r="E331" s="161" t="s">
        <v>2345</v>
      </c>
      <c r="F331" s="161" t="s">
        <v>1807</v>
      </c>
      <c r="G331" s="161">
        <v>1</v>
      </c>
      <c r="H331" s="161">
        <v>3</v>
      </c>
      <c r="I331" s="161">
        <v>13.3</v>
      </c>
      <c r="J331" s="161">
        <v>103.3</v>
      </c>
      <c r="K331" s="161"/>
      <c r="L331" s="163">
        <v>-1.08</v>
      </c>
      <c r="M331" s="163">
        <v>0.72</v>
      </c>
      <c r="N331" s="161">
        <v>-2.25</v>
      </c>
      <c r="O331" s="164" t="s">
        <v>1747</v>
      </c>
    </row>
    <row r="332" spans="1:15" ht="57.6">
      <c r="A332" s="161" t="s">
        <v>2346</v>
      </c>
      <c r="B332" s="161" t="s">
        <v>1752</v>
      </c>
      <c r="C332" s="161" t="s">
        <v>1786</v>
      </c>
      <c r="D332" s="162">
        <v>43392</v>
      </c>
      <c r="E332" s="161" t="s">
        <v>2347</v>
      </c>
      <c r="F332" s="161" t="s">
        <v>1807</v>
      </c>
      <c r="G332" s="161">
        <v>3</v>
      </c>
      <c r="H332" s="161">
        <v>4</v>
      </c>
      <c r="I332" s="161">
        <v>13.7</v>
      </c>
      <c r="J332" s="161">
        <v>103.4</v>
      </c>
      <c r="K332" s="161"/>
      <c r="L332" s="163">
        <v>-1.05</v>
      </c>
      <c r="M332" s="163">
        <v>0.65</v>
      </c>
      <c r="N332" s="161">
        <v>-2.17</v>
      </c>
      <c r="O332" s="164" t="s">
        <v>1747</v>
      </c>
    </row>
    <row r="333" spans="1:15" ht="43.2">
      <c r="A333" s="161" t="s">
        <v>2348</v>
      </c>
      <c r="B333" s="161" t="s">
        <v>1752</v>
      </c>
      <c r="C333" s="161" t="s">
        <v>1786</v>
      </c>
      <c r="D333" s="162">
        <v>43427</v>
      </c>
      <c r="E333" s="161" t="s">
        <v>2349</v>
      </c>
      <c r="F333" s="161" t="s">
        <v>1807</v>
      </c>
      <c r="G333" s="161">
        <v>3</v>
      </c>
      <c r="H333" s="161">
        <v>4</v>
      </c>
      <c r="I333" s="161">
        <v>13.5</v>
      </c>
      <c r="J333" s="161">
        <v>102.5</v>
      </c>
      <c r="K333" s="161"/>
      <c r="L333" s="163">
        <v>-1.08</v>
      </c>
      <c r="M333" s="163">
        <v>0.6</v>
      </c>
      <c r="N333" s="161">
        <v>-2.16</v>
      </c>
      <c r="O333" s="164" t="s">
        <v>1747</v>
      </c>
    </row>
    <row r="334" spans="1:15" ht="28.8">
      <c r="A334" s="161" t="s">
        <v>2350</v>
      </c>
      <c r="B334" s="161" t="s">
        <v>1743</v>
      </c>
      <c r="C334" s="161" t="s">
        <v>1744</v>
      </c>
      <c r="D334" s="162">
        <v>44118</v>
      </c>
      <c r="E334" s="161" t="s">
        <v>1813</v>
      </c>
      <c r="F334" s="161" t="s">
        <v>1746</v>
      </c>
      <c r="G334" s="161">
        <v>1</v>
      </c>
      <c r="H334" s="161">
        <v>2</v>
      </c>
      <c r="I334" s="161">
        <v>9.4</v>
      </c>
      <c r="J334" s="161">
        <v>87.8</v>
      </c>
      <c r="K334" s="161"/>
      <c r="L334" s="163">
        <v>-1.05</v>
      </c>
      <c r="M334" s="163">
        <v>1.65</v>
      </c>
      <c r="N334" s="161">
        <v>-2.8</v>
      </c>
      <c r="O334" s="164" t="s">
        <v>1747</v>
      </c>
    </row>
    <row r="335" spans="1:15" ht="28.8">
      <c r="A335" s="161" t="s">
        <v>2351</v>
      </c>
      <c r="B335" s="161" t="s">
        <v>1752</v>
      </c>
      <c r="C335" s="161" t="s">
        <v>1779</v>
      </c>
      <c r="D335" s="162">
        <v>43018</v>
      </c>
      <c r="E335" s="161" t="s">
        <v>2352</v>
      </c>
      <c r="F335" s="161" t="s">
        <v>1746</v>
      </c>
      <c r="G335" s="161">
        <v>2</v>
      </c>
      <c r="H335" s="161">
        <v>1</v>
      </c>
      <c r="I335" s="161">
        <v>14.2</v>
      </c>
      <c r="J335" s="161">
        <v>105.2</v>
      </c>
      <c r="K335" s="161"/>
      <c r="L335" s="163">
        <v>-1.69</v>
      </c>
      <c r="M335" s="163">
        <v>-0.59</v>
      </c>
      <c r="N335" s="161">
        <v>-2.12</v>
      </c>
      <c r="O335" s="164" t="s">
        <v>1747</v>
      </c>
    </row>
    <row r="336" spans="1:15" ht="28.8">
      <c r="A336" s="161" t="s">
        <v>2353</v>
      </c>
      <c r="B336" s="161" t="s">
        <v>1743</v>
      </c>
      <c r="C336" s="161" t="s">
        <v>1749</v>
      </c>
      <c r="D336" s="162">
        <v>43604</v>
      </c>
      <c r="E336" s="161" t="s">
        <v>2354</v>
      </c>
      <c r="F336" s="161" t="s">
        <v>1746</v>
      </c>
      <c r="G336" s="161">
        <v>1</v>
      </c>
      <c r="H336" s="161">
        <v>7</v>
      </c>
      <c r="I336" s="161">
        <v>8.9</v>
      </c>
      <c r="J336" s="161">
        <v>87.2</v>
      </c>
      <c r="K336" s="161"/>
      <c r="L336" s="163">
        <v>-3.7</v>
      </c>
      <c r="M336" s="163">
        <v>-2.25</v>
      </c>
      <c r="N336" s="161">
        <v>-3.46</v>
      </c>
      <c r="O336" s="164" t="s">
        <v>1790</v>
      </c>
    </row>
    <row r="337" spans="1:15" ht="28.8">
      <c r="A337" s="161" t="s">
        <v>2355</v>
      </c>
      <c r="B337" s="161" t="s">
        <v>1743</v>
      </c>
      <c r="C337" s="161" t="s">
        <v>1749</v>
      </c>
      <c r="D337" s="162">
        <v>43818</v>
      </c>
      <c r="E337" s="161" t="s">
        <v>2356</v>
      </c>
      <c r="F337" s="161" t="s">
        <v>1746</v>
      </c>
      <c r="G337" s="161">
        <v>3</v>
      </c>
      <c r="H337" s="161">
        <v>11</v>
      </c>
      <c r="I337" s="161">
        <v>10.199999999999999</v>
      </c>
      <c r="J337" s="161">
        <v>89.2</v>
      </c>
      <c r="K337" s="161"/>
      <c r="L337" s="163">
        <v>-1.83</v>
      </c>
      <c r="M337" s="163">
        <v>-0.46</v>
      </c>
      <c r="N337" s="161">
        <v>-2.3199999999999998</v>
      </c>
      <c r="O337" s="164" t="s">
        <v>1747</v>
      </c>
    </row>
    <row r="338" spans="1:15" ht="43.2">
      <c r="A338" s="161" t="s">
        <v>2357</v>
      </c>
      <c r="B338" s="161" t="s">
        <v>1743</v>
      </c>
      <c r="C338" s="161" t="s">
        <v>1786</v>
      </c>
      <c r="D338" s="162">
        <v>43492</v>
      </c>
      <c r="E338" s="161" t="s">
        <v>2358</v>
      </c>
      <c r="F338" s="161" t="s">
        <v>1746</v>
      </c>
      <c r="G338" s="161">
        <v>5</v>
      </c>
      <c r="H338" s="161">
        <v>3</v>
      </c>
      <c r="I338" s="161">
        <v>12.2</v>
      </c>
      <c r="J338" s="161">
        <v>100.2</v>
      </c>
      <c r="K338" s="161"/>
      <c r="L338" s="163">
        <v>-1.48</v>
      </c>
      <c r="M338" s="163">
        <v>0.46</v>
      </c>
      <c r="N338" s="161">
        <v>-2.59</v>
      </c>
      <c r="O338" s="164" t="s">
        <v>1747</v>
      </c>
    </row>
    <row r="339" spans="1:15" ht="43.2">
      <c r="A339" s="161" t="s">
        <v>2359</v>
      </c>
      <c r="B339" s="161" t="s">
        <v>1752</v>
      </c>
      <c r="C339" s="161" t="s">
        <v>1786</v>
      </c>
      <c r="D339" s="162">
        <v>43316</v>
      </c>
      <c r="E339" s="161" t="s">
        <v>2360</v>
      </c>
      <c r="F339" s="161" t="s">
        <v>1746</v>
      </c>
      <c r="G339" s="161">
        <v>7</v>
      </c>
      <c r="H339" s="161">
        <v>10</v>
      </c>
      <c r="I339" s="161">
        <v>13.7</v>
      </c>
      <c r="J339" s="161">
        <v>103.5</v>
      </c>
      <c r="K339" s="161"/>
      <c r="L339" s="163">
        <v>-1.25</v>
      </c>
      <c r="M339" s="163">
        <v>0.3</v>
      </c>
      <c r="N339" s="161">
        <v>-2.19</v>
      </c>
      <c r="O339" s="164" t="s">
        <v>1747</v>
      </c>
    </row>
    <row r="340" spans="1:15" ht="28.8">
      <c r="A340" s="161" t="s">
        <v>2361</v>
      </c>
      <c r="B340" s="161" t="s">
        <v>1752</v>
      </c>
      <c r="C340" s="161" t="s">
        <v>1749</v>
      </c>
      <c r="D340" s="162">
        <v>43848</v>
      </c>
      <c r="E340" s="161" t="s">
        <v>2362</v>
      </c>
      <c r="F340" s="161" t="s">
        <v>1746</v>
      </c>
      <c r="G340" s="161">
        <v>8</v>
      </c>
      <c r="H340" s="161">
        <v>10</v>
      </c>
      <c r="I340" s="161">
        <v>9</v>
      </c>
      <c r="J340" s="161">
        <v>81</v>
      </c>
      <c r="K340" s="161">
        <v>13.5</v>
      </c>
      <c r="L340" s="163">
        <v>-3.2</v>
      </c>
      <c r="M340" s="163">
        <v>-3.01</v>
      </c>
      <c r="N340" s="161">
        <v>-2.2400000000000002</v>
      </c>
      <c r="O340" s="164" t="s">
        <v>1747</v>
      </c>
    </row>
    <row r="341" spans="1:15" ht="43.2">
      <c r="A341" s="161" t="s">
        <v>2363</v>
      </c>
      <c r="B341" s="161" t="s">
        <v>1752</v>
      </c>
      <c r="C341" s="161" t="s">
        <v>1786</v>
      </c>
      <c r="D341" s="162">
        <v>43298</v>
      </c>
      <c r="E341" s="161" t="s">
        <v>2364</v>
      </c>
      <c r="F341" s="161" t="s">
        <v>1746</v>
      </c>
      <c r="G341" s="161">
        <v>5</v>
      </c>
      <c r="H341" s="161">
        <v>9</v>
      </c>
      <c r="I341" s="161">
        <v>9</v>
      </c>
      <c r="J341" s="161">
        <v>84.2</v>
      </c>
      <c r="K341" s="161"/>
      <c r="L341" s="163">
        <v>-4.46</v>
      </c>
      <c r="M341" s="163">
        <v>-4.45</v>
      </c>
      <c r="N341" s="161">
        <v>-3.1</v>
      </c>
      <c r="O341" s="164" t="s">
        <v>1790</v>
      </c>
    </row>
    <row r="342" spans="1:15" ht="72">
      <c r="A342" s="161" t="s">
        <v>2365</v>
      </c>
      <c r="B342" s="161" t="s">
        <v>1743</v>
      </c>
      <c r="C342" s="161" t="s">
        <v>1749</v>
      </c>
      <c r="D342" s="162">
        <v>43853</v>
      </c>
      <c r="E342" s="161" t="s">
        <v>2366</v>
      </c>
      <c r="F342" s="161" t="s">
        <v>1746</v>
      </c>
      <c r="G342" s="161">
        <v>3</v>
      </c>
      <c r="H342" s="161">
        <v>6</v>
      </c>
      <c r="I342" s="161">
        <v>9.1</v>
      </c>
      <c r="J342" s="161">
        <v>82.7</v>
      </c>
      <c r="K342" s="161">
        <v>14.2</v>
      </c>
      <c r="L342" s="163">
        <v>-2.62</v>
      </c>
      <c r="M342" s="163">
        <v>-2</v>
      </c>
      <c r="N342" s="161">
        <v>-2.0299999999999998</v>
      </c>
      <c r="O342" s="164" t="s">
        <v>1747</v>
      </c>
    </row>
    <row r="343" spans="1:15" ht="28.8">
      <c r="A343" s="161" t="s">
        <v>2367</v>
      </c>
      <c r="B343" s="161" t="s">
        <v>1743</v>
      </c>
      <c r="C343" s="161" t="s">
        <v>1779</v>
      </c>
      <c r="D343" s="162">
        <v>43191</v>
      </c>
      <c r="E343" s="161" t="s">
        <v>2368</v>
      </c>
      <c r="F343" s="161" t="s">
        <v>1746</v>
      </c>
      <c r="G343" s="161">
        <v>1</v>
      </c>
      <c r="H343" s="161">
        <v>7</v>
      </c>
      <c r="I343" s="161">
        <v>9.1999999999999993</v>
      </c>
      <c r="J343" s="161">
        <v>86.7</v>
      </c>
      <c r="K343" s="161"/>
      <c r="L343" s="163">
        <v>-4.29</v>
      </c>
      <c r="M343" s="163">
        <v>-4.12</v>
      </c>
      <c r="N343" s="161">
        <v>-2.77</v>
      </c>
      <c r="O343" s="164" t="s">
        <v>1747</v>
      </c>
    </row>
    <row r="344" spans="1:15" ht="43.2">
      <c r="A344" s="161" t="s">
        <v>2369</v>
      </c>
      <c r="B344" s="161" t="s">
        <v>1743</v>
      </c>
      <c r="C344" s="161" t="s">
        <v>1749</v>
      </c>
      <c r="D344" s="162">
        <v>43645</v>
      </c>
      <c r="E344" s="161" t="s">
        <v>2370</v>
      </c>
      <c r="F344" s="161" t="s">
        <v>1746</v>
      </c>
      <c r="G344" s="161">
        <v>12</v>
      </c>
      <c r="H344" s="161">
        <v>9</v>
      </c>
      <c r="I344" s="161">
        <v>8.9</v>
      </c>
      <c r="J344" s="161">
        <v>83</v>
      </c>
      <c r="K344" s="161"/>
      <c r="L344" s="163">
        <v>-3.55</v>
      </c>
      <c r="M344" s="163">
        <v>-3.27</v>
      </c>
      <c r="N344" s="161">
        <v>-2.19</v>
      </c>
      <c r="O344" s="164" t="s">
        <v>1747</v>
      </c>
    </row>
    <row r="345" spans="1:15" ht="28.8">
      <c r="A345" s="161" t="s">
        <v>2371</v>
      </c>
      <c r="B345" s="161" t="s">
        <v>1752</v>
      </c>
      <c r="C345" s="161" t="s">
        <v>1786</v>
      </c>
      <c r="D345" s="162">
        <v>43337</v>
      </c>
      <c r="E345" s="161" t="s">
        <v>2372</v>
      </c>
      <c r="F345" s="161" t="s">
        <v>1746</v>
      </c>
      <c r="G345" s="161">
        <v>1</v>
      </c>
      <c r="H345" s="161">
        <v>8</v>
      </c>
      <c r="I345" s="161">
        <v>13.2</v>
      </c>
      <c r="J345" s="161">
        <v>103</v>
      </c>
      <c r="K345" s="161"/>
      <c r="L345" s="163">
        <v>-1.5</v>
      </c>
      <c r="M345" s="163">
        <v>0.28000000000000003</v>
      </c>
      <c r="N345" s="161">
        <v>-2.56</v>
      </c>
      <c r="O345" s="164" t="s">
        <v>1747</v>
      </c>
    </row>
    <row r="346" spans="1:15" ht="28.8">
      <c r="A346" s="161" t="s">
        <v>2373</v>
      </c>
      <c r="B346" s="161" t="s">
        <v>1752</v>
      </c>
      <c r="C346" s="161" t="s">
        <v>2055</v>
      </c>
      <c r="D346" s="162">
        <v>44716</v>
      </c>
      <c r="E346" s="161" t="s">
        <v>2374</v>
      </c>
      <c r="F346" s="161" t="s">
        <v>1746</v>
      </c>
      <c r="G346" s="161">
        <v>1</v>
      </c>
      <c r="H346" s="161">
        <v>8</v>
      </c>
      <c r="I346" s="161">
        <v>2.7</v>
      </c>
      <c r="J346" s="161">
        <v>49</v>
      </c>
      <c r="K346" s="161"/>
      <c r="L346" s="163">
        <v>-1.51</v>
      </c>
      <c r="M346" s="163">
        <v>-0.47</v>
      </c>
      <c r="N346" s="161">
        <v>-2.21</v>
      </c>
      <c r="O346" s="164" t="s">
        <v>1747</v>
      </c>
    </row>
    <row r="347" spans="1:15" ht="43.2">
      <c r="A347" s="161" t="s">
        <v>2375</v>
      </c>
      <c r="B347" s="161" t="s">
        <v>1752</v>
      </c>
      <c r="C347" s="161" t="s">
        <v>1755</v>
      </c>
      <c r="D347" s="162">
        <v>44365</v>
      </c>
      <c r="E347" s="161" t="s">
        <v>2376</v>
      </c>
      <c r="F347" s="161" t="s">
        <v>1746</v>
      </c>
      <c r="G347" s="161">
        <v>4</v>
      </c>
      <c r="H347" s="161">
        <v>1</v>
      </c>
      <c r="I347" s="161">
        <v>8</v>
      </c>
      <c r="J347" s="161">
        <v>76.5</v>
      </c>
      <c r="K347" s="161">
        <v>13.5</v>
      </c>
      <c r="L347" s="163">
        <v>-2.04</v>
      </c>
      <c r="M347" s="163">
        <v>-0.46</v>
      </c>
      <c r="N347" s="161">
        <v>-2.5299999999999998</v>
      </c>
      <c r="O347" s="164" t="s">
        <v>1747</v>
      </c>
    </row>
    <row r="348" spans="1:15" ht="28.8">
      <c r="A348" s="161" t="s">
        <v>2377</v>
      </c>
      <c r="B348" s="161" t="s">
        <v>1752</v>
      </c>
      <c r="C348" s="161" t="s">
        <v>1755</v>
      </c>
      <c r="D348" s="162">
        <v>44611</v>
      </c>
      <c r="E348" s="161" t="s">
        <v>2378</v>
      </c>
      <c r="F348" s="161" t="s">
        <v>1746</v>
      </c>
      <c r="G348" s="161">
        <v>2</v>
      </c>
      <c r="H348" s="161">
        <v>1</v>
      </c>
      <c r="I348" s="161">
        <v>6.1</v>
      </c>
      <c r="J348" s="161">
        <v>66</v>
      </c>
      <c r="K348" s="161">
        <v>14</v>
      </c>
      <c r="L348" s="163">
        <v>-1.73</v>
      </c>
      <c r="M348" s="163">
        <v>0.23</v>
      </c>
      <c r="N348" s="161">
        <v>-2.61</v>
      </c>
      <c r="O348" s="164" t="s">
        <v>1747</v>
      </c>
    </row>
    <row r="349" spans="1:15" ht="28.8">
      <c r="A349" s="161" t="s">
        <v>2379</v>
      </c>
      <c r="B349" s="161" t="s">
        <v>1752</v>
      </c>
      <c r="C349" s="161" t="s">
        <v>2055</v>
      </c>
      <c r="D349" s="162">
        <v>44771</v>
      </c>
      <c r="E349" s="161" t="s">
        <v>2380</v>
      </c>
      <c r="F349" s="161" t="s">
        <v>1746</v>
      </c>
      <c r="G349" s="161">
        <v>2</v>
      </c>
      <c r="H349" s="161">
        <v>5</v>
      </c>
      <c r="I349" s="161">
        <v>2.8</v>
      </c>
      <c r="J349" s="161">
        <v>50</v>
      </c>
      <c r="K349" s="161"/>
      <c r="L349" s="163">
        <v>-3.19</v>
      </c>
      <c r="M349" s="163">
        <v>-1.97</v>
      </c>
      <c r="N349" s="161">
        <v>-2.5299999999999998</v>
      </c>
      <c r="O349" s="164" t="s">
        <v>1747</v>
      </c>
    </row>
    <row r="350" spans="1:15" ht="28.8">
      <c r="A350" s="161" t="s">
        <v>2381</v>
      </c>
      <c r="B350" s="161" t="s">
        <v>1743</v>
      </c>
      <c r="C350" s="161" t="s">
        <v>2055</v>
      </c>
      <c r="D350" s="162">
        <v>44748</v>
      </c>
      <c r="E350" s="161" t="s">
        <v>2382</v>
      </c>
      <c r="F350" s="161" t="s">
        <v>1746</v>
      </c>
      <c r="G350" s="161">
        <v>4</v>
      </c>
      <c r="H350" s="161">
        <v>7</v>
      </c>
      <c r="I350" s="161">
        <v>2.4</v>
      </c>
      <c r="J350" s="161">
        <v>48</v>
      </c>
      <c r="K350" s="161"/>
      <c r="L350" s="163">
        <v>-2.1</v>
      </c>
      <c r="M350" s="163">
        <v>-0.78</v>
      </c>
      <c r="N350" s="161">
        <v>-2.97</v>
      </c>
      <c r="O350" s="164" t="s">
        <v>1747</v>
      </c>
    </row>
    <row r="351" spans="1:15" ht="28.8">
      <c r="A351" s="161" t="s">
        <v>2383</v>
      </c>
      <c r="B351" s="161" t="s">
        <v>1752</v>
      </c>
      <c r="C351" s="161" t="s">
        <v>1779</v>
      </c>
      <c r="D351" s="162">
        <v>43203</v>
      </c>
      <c r="E351" s="161" t="s">
        <v>2213</v>
      </c>
      <c r="F351" s="161" t="s">
        <v>1746</v>
      </c>
      <c r="G351" s="161">
        <v>2</v>
      </c>
      <c r="H351" s="161">
        <v>7</v>
      </c>
      <c r="I351" s="161">
        <v>14</v>
      </c>
      <c r="J351" s="161">
        <v>104</v>
      </c>
      <c r="K351" s="161"/>
      <c r="L351" s="163">
        <v>-1.44</v>
      </c>
      <c r="M351" s="163">
        <v>-0.22</v>
      </c>
      <c r="N351" s="161">
        <v>-2.0299999999999998</v>
      </c>
      <c r="O351" s="164" t="s">
        <v>1747</v>
      </c>
    </row>
    <row r="352" spans="1:15" ht="28.8">
      <c r="A352" s="161" t="s">
        <v>2384</v>
      </c>
      <c r="B352" s="161" t="s">
        <v>1743</v>
      </c>
      <c r="C352" s="161" t="s">
        <v>1779</v>
      </c>
      <c r="D352" s="162">
        <v>42931</v>
      </c>
      <c r="E352" s="161" t="s">
        <v>2385</v>
      </c>
      <c r="F352" s="161" t="s">
        <v>1746</v>
      </c>
      <c r="G352" s="161">
        <v>2</v>
      </c>
      <c r="H352" s="161">
        <v>7</v>
      </c>
      <c r="I352" s="161">
        <v>15.3</v>
      </c>
      <c r="J352" s="161">
        <v>112.8</v>
      </c>
      <c r="K352" s="161"/>
      <c r="L352" s="163">
        <v>-1.2</v>
      </c>
      <c r="M352" s="163">
        <v>0.73</v>
      </c>
      <c r="N352" s="161">
        <v>-2.8</v>
      </c>
      <c r="O352" s="164" t="s">
        <v>1747</v>
      </c>
    </row>
    <row r="353" spans="1:15" ht="28.8">
      <c r="A353" s="161" t="s">
        <v>2386</v>
      </c>
      <c r="B353" s="161" t="s">
        <v>1752</v>
      </c>
      <c r="C353" s="161" t="s">
        <v>1749</v>
      </c>
      <c r="D353" s="162">
        <v>43596</v>
      </c>
      <c r="E353" s="161" t="s">
        <v>2215</v>
      </c>
      <c r="F353" s="161" t="s">
        <v>1746</v>
      </c>
      <c r="G353" s="161">
        <v>2</v>
      </c>
      <c r="H353" s="161">
        <v>7</v>
      </c>
      <c r="I353" s="161">
        <v>11.8</v>
      </c>
      <c r="J353" s="161">
        <v>96</v>
      </c>
      <c r="K353" s="161"/>
      <c r="L353" s="163">
        <v>-1.8</v>
      </c>
      <c r="M353" s="163">
        <v>-0.36</v>
      </c>
      <c r="N353" s="161">
        <v>-2.46</v>
      </c>
      <c r="O353" s="164" t="s">
        <v>1747</v>
      </c>
    </row>
    <row r="354" spans="1:15" ht="28.8">
      <c r="A354" s="161" t="s">
        <v>2387</v>
      </c>
      <c r="B354" s="161" t="s">
        <v>1743</v>
      </c>
      <c r="C354" s="161" t="s">
        <v>1786</v>
      </c>
      <c r="D354" s="162">
        <v>43333</v>
      </c>
      <c r="E354" s="161" t="s">
        <v>2388</v>
      </c>
      <c r="F354" s="161" t="s">
        <v>1746</v>
      </c>
      <c r="G354" s="161">
        <v>1</v>
      </c>
      <c r="H354" s="161">
        <v>2</v>
      </c>
      <c r="I354" s="161">
        <v>14.3</v>
      </c>
      <c r="J354" s="161">
        <v>107</v>
      </c>
      <c r="K354" s="161"/>
      <c r="L354" s="163">
        <v>-0.75</v>
      </c>
      <c r="M354" s="163">
        <v>1.2</v>
      </c>
      <c r="N354" s="161">
        <v>-2.2400000000000002</v>
      </c>
      <c r="O354" s="164" t="s">
        <v>1747</v>
      </c>
    </row>
    <row r="355" spans="1:15" ht="57.6">
      <c r="A355" s="161" t="s">
        <v>2389</v>
      </c>
      <c r="B355" s="161" t="s">
        <v>1752</v>
      </c>
      <c r="C355" s="161" t="s">
        <v>1786</v>
      </c>
      <c r="D355" s="162">
        <v>43285</v>
      </c>
      <c r="E355" s="161" t="s">
        <v>2390</v>
      </c>
      <c r="F355" s="161" t="s">
        <v>1746</v>
      </c>
      <c r="G355" s="161">
        <v>3</v>
      </c>
      <c r="H355" s="161">
        <v>7</v>
      </c>
      <c r="I355" s="161">
        <v>13.6</v>
      </c>
      <c r="J355" s="161">
        <v>103</v>
      </c>
      <c r="K355" s="161"/>
      <c r="L355" s="163">
        <v>-1.47</v>
      </c>
      <c r="M355" s="163">
        <v>-0.1</v>
      </c>
      <c r="N355" s="161">
        <v>-2.1800000000000002</v>
      </c>
      <c r="O355" s="164" t="s">
        <v>1747</v>
      </c>
    </row>
    <row r="356" spans="1:15" ht="28.8">
      <c r="A356" s="161" t="s">
        <v>2391</v>
      </c>
      <c r="B356" s="161" t="s">
        <v>1752</v>
      </c>
      <c r="C356" s="161" t="s">
        <v>1786</v>
      </c>
      <c r="D356" s="162">
        <v>43530</v>
      </c>
      <c r="E356" s="161" t="s">
        <v>2392</v>
      </c>
      <c r="F356" s="161" t="s">
        <v>1746</v>
      </c>
      <c r="G356" s="161">
        <v>1</v>
      </c>
      <c r="H356" s="161">
        <v>10</v>
      </c>
      <c r="I356" s="161">
        <v>11</v>
      </c>
      <c r="J356" s="161">
        <v>92</v>
      </c>
      <c r="K356" s="161"/>
      <c r="L356" s="163">
        <v>-2.57</v>
      </c>
      <c r="M356" s="163">
        <v>-1.73</v>
      </c>
      <c r="N356" s="161">
        <v>-2.5</v>
      </c>
      <c r="O356" s="164" t="s">
        <v>1747</v>
      </c>
    </row>
    <row r="357" spans="1:15" ht="28.8">
      <c r="A357" s="161" t="s">
        <v>2393</v>
      </c>
      <c r="B357" s="161" t="s">
        <v>1743</v>
      </c>
      <c r="C357" s="161" t="s">
        <v>1749</v>
      </c>
      <c r="D357" s="162">
        <v>43642</v>
      </c>
      <c r="E357" s="161" t="s">
        <v>2394</v>
      </c>
      <c r="F357" s="161" t="s">
        <v>1746</v>
      </c>
      <c r="G357" s="161">
        <v>5</v>
      </c>
      <c r="H357" s="161">
        <v>4</v>
      </c>
      <c r="I357" s="161">
        <v>11.7</v>
      </c>
      <c r="J357" s="161">
        <v>96.4</v>
      </c>
      <c r="K357" s="161"/>
      <c r="L357" s="163">
        <v>-1.39</v>
      </c>
      <c r="M357" s="163">
        <v>0.27</v>
      </c>
      <c r="N357" s="161">
        <v>-2.27</v>
      </c>
      <c r="O357" s="164" t="s">
        <v>1747</v>
      </c>
    </row>
    <row r="358" spans="1:15" ht="43.2">
      <c r="A358" s="161" t="s">
        <v>2395</v>
      </c>
      <c r="B358" s="161" t="s">
        <v>1752</v>
      </c>
      <c r="C358" s="161" t="s">
        <v>1749</v>
      </c>
      <c r="D358" s="162">
        <v>43624</v>
      </c>
      <c r="E358" s="161" t="s">
        <v>2396</v>
      </c>
      <c r="F358" s="161" t="s">
        <v>1769</v>
      </c>
      <c r="G358" s="161">
        <v>1</v>
      </c>
      <c r="H358" s="161">
        <v>1</v>
      </c>
      <c r="I358" s="161">
        <v>11.6</v>
      </c>
      <c r="J358" s="161">
        <v>94</v>
      </c>
      <c r="K358" s="161"/>
      <c r="L358" s="163">
        <v>-1.86</v>
      </c>
      <c r="M358" s="163">
        <v>-0.74</v>
      </c>
      <c r="N358" s="161">
        <v>-2.25</v>
      </c>
      <c r="O358" s="164" t="s">
        <v>1747</v>
      </c>
    </row>
    <row r="359" spans="1:15" ht="43.2">
      <c r="A359" s="161" t="s">
        <v>2397</v>
      </c>
      <c r="B359" s="161" t="s">
        <v>1743</v>
      </c>
      <c r="C359" s="161" t="s">
        <v>1786</v>
      </c>
      <c r="D359" s="162">
        <v>43503</v>
      </c>
      <c r="E359" s="161" t="s">
        <v>2398</v>
      </c>
      <c r="F359" s="161" t="s">
        <v>1769</v>
      </c>
      <c r="G359" s="161">
        <v>4</v>
      </c>
      <c r="H359" s="161">
        <v>1</v>
      </c>
      <c r="I359" s="161">
        <v>12.2</v>
      </c>
      <c r="J359" s="161">
        <v>98.5</v>
      </c>
      <c r="K359" s="161"/>
      <c r="L359" s="163">
        <v>-1.5</v>
      </c>
      <c r="M359" s="163">
        <v>0.02</v>
      </c>
      <c r="N359" s="161">
        <v>-2.2200000000000002</v>
      </c>
      <c r="O359" s="164" t="s">
        <v>1747</v>
      </c>
    </row>
    <row r="360" spans="1:15" ht="43.2">
      <c r="A360" s="161" t="s">
        <v>2399</v>
      </c>
      <c r="B360" s="161" t="s">
        <v>1752</v>
      </c>
      <c r="C360" s="161" t="s">
        <v>1779</v>
      </c>
      <c r="D360" s="162">
        <v>43135</v>
      </c>
      <c r="E360" s="161" t="s">
        <v>2400</v>
      </c>
      <c r="F360" s="161" t="s">
        <v>1769</v>
      </c>
      <c r="G360" s="161">
        <v>2</v>
      </c>
      <c r="H360" s="161">
        <v>5</v>
      </c>
      <c r="I360" s="161">
        <v>14.5</v>
      </c>
      <c r="J360" s="161">
        <v>108</v>
      </c>
      <c r="K360" s="161"/>
      <c r="L360" s="163">
        <v>-1.32</v>
      </c>
      <c r="M360" s="163">
        <v>0.41</v>
      </c>
      <c r="N360" s="161">
        <v>-2.4700000000000002</v>
      </c>
      <c r="O360" s="164" t="s">
        <v>1747</v>
      </c>
    </row>
    <row r="361" spans="1:15" ht="43.2">
      <c r="A361" s="161" t="s">
        <v>2401</v>
      </c>
      <c r="B361" s="161" t="s">
        <v>1743</v>
      </c>
      <c r="C361" s="161" t="s">
        <v>1779</v>
      </c>
      <c r="D361" s="162">
        <v>43093</v>
      </c>
      <c r="E361" s="161" t="s">
        <v>2402</v>
      </c>
      <c r="F361" s="161" t="s">
        <v>1769</v>
      </c>
      <c r="G361" s="161">
        <v>7</v>
      </c>
      <c r="H361" s="161">
        <v>5</v>
      </c>
      <c r="I361" s="161">
        <v>14</v>
      </c>
      <c r="J361" s="161">
        <v>105</v>
      </c>
      <c r="K361" s="161"/>
      <c r="L361" s="163">
        <v>-1.5</v>
      </c>
      <c r="M361" s="163">
        <v>-0.32</v>
      </c>
      <c r="N361" s="161">
        <v>-2.0299999999999998</v>
      </c>
      <c r="O361" s="164" t="s">
        <v>1747</v>
      </c>
    </row>
    <row r="362" spans="1:15" ht="43.2">
      <c r="A362" s="161" t="s">
        <v>2403</v>
      </c>
      <c r="B362" s="161" t="s">
        <v>1743</v>
      </c>
      <c r="C362" s="161" t="s">
        <v>1786</v>
      </c>
      <c r="D362" s="162">
        <v>43464</v>
      </c>
      <c r="E362" s="161" t="s">
        <v>1771</v>
      </c>
      <c r="F362" s="161" t="s">
        <v>1769</v>
      </c>
      <c r="G362" s="161">
        <v>2</v>
      </c>
      <c r="H362" s="161">
        <v>8</v>
      </c>
      <c r="I362" s="161">
        <v>13</v>
      </c>
      <c r="J362" s="161">
        <v>104</v>
      </c>
      <c r="K362" s="161"/>
      <c r="L362" s="163">
        <v>-2.0499999999999998</v>
      </c>
      <c r="M362" s="163">
        <v>-0.52</v>
      </c>
      <c r="N362" s="161">
        <v>-2.67</v>
      </c>
      <c r="O362" s="164" t="s">
        <v>1747</v>
      </c>
    </row>
    <row r="363" spans="1:15" ht="43.2">
      <c r="A363" s="161" t="s">
        <v>2404</v>
      </c>
      <c r="B363" s="161" t="s">
        <v>1752</v>
      </c>
      <c r="C363" s="161" t="s">
        <v>1744</v>
      </c>
      <c r="D363" s="162">
        <v>43950</v>
      </c>
      <c r="E363" s="161" t="s">
        <v>2405</v>
      </c>
      <c r="F363" s="161" t="s">
        <v>1769</v>
      </c>
      <c r="G363" s="161">
        <v>2</v>
      </c>
      <c r="H363" s="161">
        <v>8</v>
      </c>
      <c r="I363" s="161">
        <v>9.4</v>
      </c>
      <c r="J363" s="161">
        <v>83.2</v>
      </c>
      <c r="K363" s="161"/>
      <c r="L363" s="163">
        <v>-2.5499999999999998</v>
      </c>
      <c r="M363" s="163">
        <v>-1.84</v>
      </c>
      <c r="N363" s="161">
        <v>-2.25</v>
      </c>
      <c r="O363" s="164" t="s">
        <v>1747</v>
      </c>
    </row>
    <row r="364" spans="1:15" ht="43.2">
      <c r="A364" s="161" t="s">
        <v>2406</v>
      </c>
      <c r="B364" s="161" t="s">
        <v>1743</v>
      </c>
      <c r="C364" s="161" t="s">
        <v>1749</v>
      </c>
      <c r="D364" s="162">
        <v>43782</v>
      </c>
      <c r="E364" s="161" t="s">
        <v>2148</v>
      </c>
      <c r="F364" s="161" t="s">
        <v>1769</v>
      </c>
      <c r="G364" s="161">
        <v>4</v>
      </c>
      <c r="H364" s="161">
        <v>8</v>
      </c>
      <c r="I364" s="161">
        <v>9.4</v>
      </c>
      <c r="J364" s="161">
        <v>92</v>
      </c>
      <c r="K364" s="161">
        <v>15</v>
      </c>
      <c r="L364" s="163">
        <v>-2.74</v>
      </c>
      <c r="M364" s="163">
        <v>-0.03</v>
      </c>
      <c r="N364" s="161">
        <v>-3.9</v>
      </c>
      <c r="O364" s="164" t="s">
        <v>1790</v>
      </c>
    </row>
    <row r="365" spans="1:15" ht="43.2">
      <c r="A365" s="161" t="s">
        <v>2407</v>
      </c>
      <c r="B365" s="161" t="s">
        <v>1752</v>
      </c>
      <c r="C365" s="161" t="s">
        <v>1744</v>
      </c>
      <c r="D365" s="162">
        <v>44082</v>
      </c>
      <c r="E365" s="161" t="s">
        <v>2408</v>
      </c>
      <c r="F365" s="161" t="s">
        <v>1769</v>
      </c>
      <c r="G365" s="161">
        <v>8</v>
      </c>
      <c r="H365" s="161">
        <v>1</v>
      </c>
      <c r="I365" s="161">
        <v>10</v>
      </c>
      <c r="J365" s="161">
        <v>86</v>
      </c>
      <c r="K365" s="161"/>
      <c r="L365" s="163">
        <v>-1.43</v>
      </c>
      <c r="M365" s="163">
        <v>-0.02</v>
      </c>
      <c r="N365" s="161">
        <v>-2.0299999999999998</v>
      </c>
      <c r="O365" s="164" t="s">
        <v>1747</v>
      </c>
    </row>
    <row r="366" spans="1:15" ht="43.2">
      <c r="A366" s="161" t="s">
        <v>2409</v>
      </c>
      <c r="B366" s="161" t="s">
        <v>1743</v>
      </c>
      <c r="C366" s="161" t="s">
        <v>1755</v>
      </c>
      <c r="D366" s="162">
        <v>44537</v>
      </c>
      <c r="E366" s="161" t="s">
        <v>2410</v>
      </c>
      <c r="F366" s="161" t="s">
        <v>1769</v>
      </c>
      <c r="G366" s="161"/>
      <c r="H366" s="161"/>
      <c r="I366" s="161">
        <v>7.3</v>
      </c>
      <c r="J366" s="161">
        <v>75</v>
      </c>
      <c r="K366" s="161"/>
      <c r="L366" s="163">
        <v>-0.46</v>
      </c>
      <c r="M366" s="163">
        <v>3.17</v>
      </c>
      <c r="N366" s="161">
        <v>-2.62</v>
      </c>
      <c r="O366" s="164" t="s">
        <v>1747</v>
      </c>
    </row>
    <row r="367" spans="1:15" ht="43.2">
      <c r="A367" s="161" t="s">
        <v>2411</v>
      </c>
      <c r="B367" s="161" t="s">
        <v>1752</v>
      </c>
      <c r="C367" s="161" t="s">
        <v>1744</v>
      </c>
      <c r="D367" s="162">
        <v>44156</v>
      </c>
      <c r="E367" s="161" t="s">
        <v>2412</v>
      </c>
      <c r="F367" s="161" t="s">
        <v>1769</v>
      </c>
      <c r="G367" s="161">
        <v>4</v>
      </c>
      <c r="H367" s="161">
        <v>8</v>
      </c>
      <c r="I367" s="161">
        <v>9.1</v>
      </c>
      <c r="J367" s="161">
        <v>81</v>
      </c>
      <c r="K367" s="161"/>
      <c r="L367" s="163">
        <v>-1.93</v>
      </c>
      <c r="M367" s="163">
        <v>-0.81</v>
      </c>
      <c r="N367" s="161">
        <v>-2.1</v>
      </c>
      <c r="O367" s="164" t="s">
        <v>1747</v>
      </c>
    </row>
    <row r="368" spans="1:15" ht="43.2">
      <c r="A368" s="161" t="s">
        <v>2413</v>
      </c>
      <c r="B368" s="161" t="s">
        <v>1743</v>
      </c>
      <c r="C368" s="161" t="s">
        <v>1744</v>
      </c>
      <c r="D368" s="162">
        <v>44117</v>
      </c>
      <c r="E368" s="161" t="s">
        <v>2414</v>
      </c>
      <c r="F368" s="161" t="s">
        <v>1769</v>
      </c>
      <c r="G368" s="161">
        <v>4</v>
      </c>
      <c r="H368" s="161">
        <v>8</v>
      </c>
      <c r="I368" s="161">
        <v>8.1999999999999993</v>
      </c>
      <c r="J368" s="161">
        <v>80</v>
      </c>
      <c r="K368" s="161"/>
      <c r="L368" s="163">
        <v>-2.36</v>
      </c>
      <c r="M368" s="163">
        <v>-0.97</v>
      </c>
      <c r="N368" s="161">
        <v>-2.59</v>
      </c>
      <c r="O368" s="164" t="s">
        <v>1747</v>
      </c>
    </row>
    <row r="369" spans="1:15" ht="43.2">
      <c r="A369" s="161" t="s">
        <v>2415</v>
      </c>
      <c r="B369" s="161" t="s">
        <v>1752</v>
      </c>
      <c r="C369" s="161" t="s">
        <v>1749</v>
      </c>
      <c r="D369" s="162">
        <v>43808</v>
      </c>
      <c r="E369" s="161" t="s">
        <v>1924</v>
      </c>
      <c r="F369" s="161" t="s">
        <v>1769</v>
      </c>
      <c r="G369" s="161">
        <v>4</v>
      </c>
      <c r="H369" s="161">
        <v>8</v>
      </c>
      <c r="I369" s="161">
        <v>10.4</v>
      </c>
      <c r="J369" s="161">
        <v>89</v>
      </c>
      <c r="K369" s="161"/>
      <c r="L369" s="163">
        <v>-2.21</v>
      </c>
      <c r="M369" s="163">
        <v>-1.06</v>
      </c>
      <c r="N369" s="161">
        <v>-2.52</v>
      </c>
      <c r="O369" s="164" t="s">
        <v>1747</v>
      </c>
    </row>
    <row r="370" spans="1:15" ht="43.2">
      <c r="A370" s="161" t="s">
        <v>2416</v>
      </c>
      <c r="B370" s="161" t="s">
        <v>1752</v>
      </c>
      <c r="C370" s="161" t="s">
        <v>1779</v>
      </c>
      <c r="D370" s="162">
        <v>43199</v>
      </c>
      <c r="E370" s="161" t="s">
        <v>2161</v>
      </c>
      <c r="F370" s="161" t="s">
        <v>1769</v>
      </c>
      <c r="G370" s="161">
        <v>8</v>
      </c>
      <c r="H370" s="161">
        <v>1</v>
      </c>
      <c r="I370" s="161">
        <v>14</v>
      </c>
      <c r="J370" s="161">
        <v>104</v>
      </c>
      <c r="K370" s="161"/>
      <c r="L370" s="163">
        <v>-1.45</v>
      </c>
      <c r="M370" s="163">
        <v>-0.24</v>
      </c>
      <c r="N370" s="161">
        <v>-2.0299999999999998</v>
      </c>
      <c r="O370" s="164" t="s">
        <v>1747</v>
      </c>
    </row>
    <row r="371" spans="1:15" ht="43.2">
      <c r="A371" s="161" t="s">
        <v>2417</v>
      </c>
      <c r="B371" s="161" t="s">
        <v>1752</v>
      </c>
      <c r="C371" s="161" t="s">
        <v>1786</v>
      </c>
      <c r="D371" s="162">
        <v>43459</v>
      </c>
      <c r="E371" s="161" t="s">
        <v>2418</v>
      </c>
      <c r="F371" s="161" t="s">
        <v>1769</v>
      </c>
      <c r="G371" s="161">
        <v>6</v>
      </c>
      <c r="H371" s="161">
        <v>1</v>
      </c>
      <c r="I371" s="161">
        <v>14</v>
      </c>
      <c r="J371" s="161">
        <v>104</v>
      </c>
      <c r="K371" s="161"/>
      <c r="L371" s="163">
        <v>-0.78</v>
      </c>
      <c r="M371" s="163">
        <v>0.97</v>
      </c>
      <c r="N371" s="161">
        <v>-2.0299999999999998</v>
      </c>
      <c r="O371" s="164" t="s">
        <v>1747</v>
      </c>
    </row>
    <row r="372" spans="1:15" ht="43.2">
      <c r="A372" s="161" t="s">
        <v>2419</v>
      </c>
      <c r="B372" s="161" t="s">
        <v>1752</v>
      </c>
      <c r="C372" s="161" t="s">
        <v>1749</v>
      </c>
      <c r="D372" s="162">
        <v>43719</v>
      </c>
      <c r="E372" s="161" t="s">
        <v>1961</v>
      </c>
      <c r="F372" s="161" t="s">
        <v>1769</v>
      </c>
      <c r="G372" s="161">
        <v>4</v>
      </c>
      <c r="H372" s="161">
        <v>4</v>
      </c>
      <c r="I372" s="161">
        <v>11</v>
      </c>
      <c r="J372" s="161">
        <v>90</v>
      </c>
      <c r="K372" s="161"/>
      <c r="L372" s="163">
        <v>-2.02</v>
      </c>
      <c r="M372" s="163">
        <v>-1.31</v>
      </c>
      <c r="N372" s="161">
        <v>-2.0299999999999998</v>
      </c>
      <c r="O372" s="164" t="s">
        <v>1747</v>
      </c>
    </row>
    <row r="373" spans="1:15" ht="43.2">
      <c r="A373" s="161" t="s">
        <v>2420</v>
      </c>
      <c r="B373" s="161" t="s">
        <v>1752</v>
      </c>
      <c r="C373" s="161" t="s">
        <v>2055</v>
      </c>
      <c r="D373" s="162">
        <v>44767</v>
      </c>
      <c r="E373" s="161" t="s">
        <v>1953</v>
      </c>
      <c r="F373" s="161" t="s">
        <v>1769</v>
      </c>
      <c r="G373" s="161">
        <v>4</v>
      </c>
      <c r="H373" s="161">
        <v>4</v>
      </c>
      <c r="I373" s="161">
        <v>2.4</v>
      </c>
      <c r="J373" s="161">
        <v>48</v>
      </c>
      <c r="K373" s="161"/>
      <c r="L373" s="163">
        <v>-3.81</v>
      </c>
      <c r="M373" s="163">
        <v>-2.72</v>
      </c>
      <c r="N373" s="161">
        <v>-2.89</v>
      </c>
      <c r="O373" s="164" t="s">
        <v>1747</v>
      </c>
    </row>
    <row r="374" spans="1:15" ht="43.2">
      <c r="A374" s="161" t="s">
        <v>2421</v>
      </c>
      <c r="B374" s="161" t="s">
        <v>1752</v>
      </c>
      <c r="C374" s="161" t="s">
        <v>1749</v>
      </c>
      <c r="D374" s="162">
        <v>43663</v>
      </c>
      <c r="E374" s="161" t="s">
        <v>1951</v>
      </c>
      <c r="F374" s="161" t="s">
        <v>1769</v>
      </c>
      <c r="G374" s="161">
        <v>4</v>
      </c>
      <c r="H374" s="161">
        <v>4</v>
      </c>
      <c r="I374" s="161">
        <v>12</v>
      </c>
      <c r="J374" s="161">
        <v>95</v>
      </c>
      <c r="K374" s="161"/>
      <c r="L374" s="163">
        <v>-1.48</v>
      </c>
      <c r="M374" s="163">
        <v>-0.28999999999999998</v>
      </c>
      <c r="N374" s="161">
        <v>-2.02</v>
      </c>
      <c r="O374" s="164" t="s">
        <v>1747</v>
      </c>
    </row>
    <row r="375" spans="1:15" ht="43.2">
      <c r="A375" s="161" t="s">
        <v>2422</v>
      </c>
      <c r="B375" s="161" t="s">
        <v>1752</v>
      </c>
      <c r="C375" s="161" t="s">
        <v>1744</v>
      </c>
      <c r="D375" s="162">
        <v>44256</v>
      </c>
      <c r="E375" s="161" t="s">
        <v>2423</v>
      </c>
      <c r="F375" s="161" t="s">
        <v>1769</v>
      </c>
      <c r="G375" s="161">
        <v>4</v>
      </c>
      <c r="H375" s="161">
        <v>4</v>
      </c>
      <c r="I375" s="161">
        <v>10</v>
      </c>
      <c r="J375" s="161">
        <v>86</v>
      </c>
      <c r="K375" s="161"/>
      <c r="L375" s="163">
        <v>-0.56999999999999995</v>
      </c>
      <c r="M375" s="163">
        <v>1.98</v>
      </c>
      <c r="N375" s="161">
        <v>-2.0299999999999998</v>
      </c>
      <c r="O375" s="164" t="s">
        <v>1747</v>
      </c>
    </row>
    <row r="376" spans="1:15" ht="43.2">
      <c r="A376" s="161" t="s">
        <v>2424</v>
      </c>
      <c r="B376" s="161" t="s">
        <v>1743</v>
      </c>
      <c r="C376" s="161" t="s">
        <v>1786</v>
      </c>
      <c r="D376" s="162">
        <v>43492</v>
      </c>
      <c r="E376" s="161" t="s">
        <v>1957</v>
      </c>
      <c r="F376" s="161" t="s">
        <v>1769</v>
      </c>
      <c r="G376" s="161">
        <v>4</v>
      </c>
      <c r="H376" s="161">
        <v>4</v>
      </c>
      <c r="I376" s="161">
        <v>12.4</v>
      </c>
      <c r="J376" s="161">
        <v>100.5</v>
      </c>
      <c r="K376" s="161"/>
      <c r="L376" s="163">
        <v>-1.42</v>
      </c>
      <c r="M376" s="163">
        <v>0.41</v>
      </c>
      <c r="N376" s="161">
        <v>-2.46</v>
      </c>
      <c r="O376" s="164" t="s">
        <v>1747</v>
      </c>
    </row>
    <row r="377" spans="1:15" ht="43.2">
      <c r="A377" s="161" t="s">
        <v>2425</v>
      </c>
      <c r="B377" s="161" t="s">
        <v>1743</v>
      </c>
      <c r="C377" s="161" t="s">
        <v>1749</v>
      </c>
      <c r="D377" s="162">
        <v>43818</v>
      </c>
      <c r="E377" s="161" t="s">
        <v>2426</v>
      </c>
      <c r="F377" s="161" t="s">
        <v>1769</v>
      </c>
      <c r="G377" s="161">
        <v>4</v>
      </c>
      <c r="H377" s="161">
        <v>4</v>
      </c>
      <c r="I377" s="161">
        <v>10.4</v>
      </c>
      <c r="J377" s="161">
        <v>89.5</v>
      </c>
      <c r="K377" s="161"/>
      <c r="L377" s="163">
        <v>-1.76</v>
      </c>
      <c r="M377" s="163">
        <v>-0.54</v>
      </c>
      <c r="N377" s="161">
        <v>-2.16</v>
      </c>
      <c r="O377" s="164" t="s">
        <v>1747</v>
      </c>
    </row>
    <row r="378" spans="1:15" ht="43.2">
      <c r="A378" s="161" t="s">
        <v>2427</v>
      </c>
      <c r="B378" s="161" t="s">
        <v>1743</v>
      </c>
      <c r="C378" s="161" t="s">
        <v>1744</v>
      </c>
      <c r="D378" s="162">
        <v>44118</v>
      </c>
      <c r="E378" s="161" t="s">
        <v>2428</v>
      </c>
      <c r="F378" s="161" t="s">
        <v>1769</v>
      </c>
      <c r="G378" s="161">
        <v>4</v>
      </c>
      <c r="H378" s="161">
        <v>4</v>
      </c>
      <c r="I378" s="161">
        <v>9.6</v>
      </c>
      <c r="J378" s="161">
        <v>88.1</v>
      </c>
      <c r="K378" s="161"/>
      <c r="L378" s="163">
        <v>-1.03</v>
      </c>
      <c r="M378" s="163">
        <v>1.42</v>
      </c>
      <c r="N378" s="161">
        <v>-2.62</v>
      </c>
      <c r="O378" s="164" t="s">
        <v>1747</v>
      </c>
    </row>
    <row r="379" spans="1:15" ht="57.6">
      <c r="A379" s="161" t="s">
        <v>2429</v>
      </c>
      <c r="B379" s="161" t="s">
        <v>1752</v>
      </c>
      <c r="C379" s="161" t="s">
        <v>1779</v>
      </c>
      <c r="D379" s="162">
        <v>43018</v>
      </c>
      <c r="E379" s="161" t="s">
        <v>2430</v>
      </c>
      <c r="F379" s="161" t="s">
        <v>1769</v>
      </c>
      <c r="G379" s="161">
        <v>4</v>
      </c>
      <c r="H379" s="161">
        <v>12</v>
      </c>
      <c r="I379" s="161">
        <v>14.4</v>
      </c>
      <c r="J379" s="161">
        <v>105.5</v>
      </c>
      <c r="K379" s="161"/>
      <c r="L379" s="163">
        <v>-1.65</v>
      </c>
      <c r="M379" s="163">
        <v>-0.65</v>
      </c>
      <c r="N379" s="161">
        <v>-2.0099999999999998</v>
      </c>
      <c r="O379" s="164" t="s">
        <v>1747</v>
      </c>
    </row>
    <row r="380" spans="1:15" ht="57.6">
      <c r="A380" s="161" t="s">
        <v>2431</v>
      </c>
      <c r="B380" s="161" t="s">
        <v>1743</v>
      </c>
      <c r="C380" s="161" t="s">
        <v>1749</v>
      </c>
      <c r="D380" s="162">
        <v>43604</v>
      </c>
      <c r="E380" s="161" t="s">
        <v>2432</v>
      </c>
      <c r="F380" s="161" t="s">
        <v>1769</v>
      </c>
      <c r="G380" s="161">
        <v>4</v>
      </c>
      <c r="H380" s="161">
        <v>12</v>
      </c>
      <c r="I380" s="161">
        <v>9.1</v>
      </c>
      <c r="J380" s="161">
        <v>87.5</v>
      </c>
      <c r="K380" s="161"/>
      <c r="L380" s="163">
        <v>-3.6</v>
      </c>
      <c r="M380" s="163">
        <v>-2.29</v>
      </c>
      <c r="N380" s="161">
        <v>-3.28</v>
      </c>
      <c r="O380" s="164" t="s">
        <v>1790</v>
      </c>
    </row>
    <row r="381" spans="1:15" ht="43.2">
      <c r="A381" s="161" t="s">
        <v>2433</v>
      </c>
      <c r="B381" s="161" t="s">
        <v>1752</v>
      </c>
      <c r="C381" s="161" t="s">
        <v>1786</v>
      </c>
      <c r="D381" s="162">
        <v>43392</v>
      </c>
      <c r="E381" s="161" t="s">
        <v>2434</v>
      </c>
      <c r="F381" s="161" t="s">
        <v>1769</v>
      </c>
      <c r="G381" s="161">
        <v>5</v>
      </c>
      <c r="H381" s="161">
        <v>12</v>
      </c>
      <c r="I381" s="161">
        <v>13.8</v>
      </c>
      <c r="J381" s="161">
        <v>104.1</v>
      </c>
      <c r="K381" s="161"/>
      <c r="L381" s="163">
        <v>-1.08</v>
      </c>
      <c r="M381" s="163">
        <v>0.66</v>
      </c>
      <c r="N381" s="161">
        <v>-2.23</v>
      </c>
      <c r="O381" s="164" t="s">
        <v>1747</v>
      </c>
    </row>
    <row r="382" spans="1:15" ht="57.6">
      <c r="A382" s="161" t="s">
        <v>2435</v>
      </c>
      <c r="B382" s="161" t="s">
        <v>1743</v>
      </c>
      <c r="C382" s="161" t="s">
        <v>1779</v>
      </c>
      <c r="D382" s="162">
        <v>43063</v>
      </c>
      <c r="E382" s="161" t="s">
        <v>2436</v>
      </c>
      <c r="F382" s="161" t="s">
        <v>1769</v>
      </c>
      <c r="G382" s="161">
        <v>8</v>
      </c>
      <c r="H382" s="161">
        <v>1</v>
      </c>
      <c r="I382" s="161">
        <v>14</v>
      </c>
      <c r="J382" s="161">
        <v>105</v>
      </c>
      <c r="K382" s="161"/>
      <c r="L382" s="163">
        <v>-1.55</v>
      </c>
      <c r="M382" s="163">
        <v>-0.41</v>
      </c>
      <c r="N382" s="161">
        <v>-2.0299999999999998</v>
      </c>
      <c r="O382" s="164" t="s">
        <v>1747</v>
      </c>
    </row>
    <row r="383" spans="1:15" ht="43.2">
      <c r="A383" s="161" t="s">
        <v>2437</v>
      </c>
      <c r="B383" s="161" t="s">
        <v>1743</v>
      </c>
      <c r="C383" s="161" t="s">
        <v>1779</v>
      </c>
      <c r="D383" s="162">
        <v>43027</v>
      </c>
      <c r="E383" s="161" t="s">
        <v>2438</v>
      </c>
      <c r="F383" s="161" t="s">
        <v>1769</v>
      </c>
      <c r="G383" s="161">
        <v>2</v>
      </c>
      <c r="H383" s="161">
        <v>1</v>
      </c>
      <c r="I383" s="161">
        <v>14</v>
      </c>
      <c r="J383" s="161">
        <v>105.3</v>
      </c>
      <c r="K383" s="161"/>
      <c r="L383" s="163">
        <v>-1.64</v>
      </c>
      <c r="M383" s="163">
        <v>-0.48</v>
      </c>
      <c r="N383" s="161">
        <v>-2.1</v>
      </c>
      <c r="O383" s="164" t="s">
        <v>1747</v>
      </c>
    </row>
    <row r="384" spans="1:15" ht="43.2">
      <c r="A384" s="161" t="s">
        <v>2439</v>
      </c>
      <c r="B384" s="161" t="s">
        <v>1752</v>
      </c>
      <c r="C384" s="161" t="s">
        <v>1779</v>
      </c>
      <c r="D384" s="162">
        <v>43138</v>
      </c>
      <c r="E384" s="161" t="s">
        <v>2440</v>
      </c>
      <c r="F384" s="161" t="s">
        <v>1769</v>
      </c>
      <c r="G384" s="161">
        <v>8</v>
      </c>
      <c r="H384" s="161">
        <v>1</v>
      </c>
      <c r="I384" s="161">
        <v>14</v>
      </c>
      <c r="J384" s="161">
        <v>105</v>
      </c>
      <c r="K384" s="161"/>
      <c r="L384" s="163">
        <v>-1.23</v>
      </c>
      <c r="M384" s="163">
        <v>0.39</v>
      </c>
      <c r="N384" s="161">
        <v>-2.25</v>
      </c>
      <c r="O384" s="164" t="s">
        <v>1747</v>
      </c>
    </row>
    <row r="385" spans="1:15" ht="43.2">
      <c r="A385" s="161" t="s">
        <v>2441</v>
      </c>
      <c r="B385" s="161" t="s">
        <v>1752</v>
      </c>
      <c r="C385" s="161" t="s">
        <v>1755</v>
      </c>
      <c r="D385" s="162">
        <v>44389</v>
      </c>
      <c r="E385" s="161" t="s">
        <v>2442</v>
      </c>
      <c r="F385" s="161" t="s">
        <v>1769</v>
      </c>
      <c r="G385" s="161">
        <v>3</v>
      </c>
      <c r="H385" s="161">
        <v>12</v>
      </c>
      <c r="I385" s="161">
        <v>7.4</v>
      </c>
      <c r="J385" s="161">
        <v>73</v>
      </c>
      <c r="K385" s="161">
        <v>13</v>
      </c>
      <c r="L385" s="163">
        <v>-2.4</v>
      </c>
      <c r="M385" s="163">
        <v>-1.1399999999999999</v>
      </c>
      <c r="N385" s="161">
        <v>-2.57</v>
      </c>
      <c r="O385" s="164" t="s">
        <v>1747</v>
      </c>
    </row>
    <row r="386" spans="1:15" ht="43.2">
      <c r="A386" s="161" t="s">
        <v>2443</v>
      </c>
      <c r="B386" s="161" t="s">
        <v>1752</v>
      </c>
      <c r="C386" s="161" t="s">
        <v>1749</v>
      </c>
      <c r="D386" s="162">
        <v>43848</v>
      </c>
      <c r="E386" s="161" t="s">
        <v>2444</v>
      </c>
      <c r="F386" s="161" t="s">
        <v>1769</v>
      </c>
      <c r="G386" s="161">
        <v>3</v>
      </c>
      <c r="H386" s="161">
        <v>11</v>
      </c>
      <c r="I386" s="161">
        <v>9.1999999999999993</v>
      </c>
      <c r="J386" s="161">
        <v>81.2</v>
      </c>
      <c r="K386" s="161"/>
      <c r="L386" s="163">
        <v>-3.13</v>
      </c>
      <c r="M386" s="163">
        <v>-3.12</v>
      </c>
      <c r="N386" s="161">
        <v>-2.0099999999999998</v>
      </c>
      <c r="O386" s="164" t="s">
        <v>1747</v>
      </c>
    </row>
    <row r="387" spans="1:15" ht="43.2">
      <c r="A387" s="161" t="s">
        <v>2445</v>
      </c>
      <c r="B387" s="161" t="s">
        <v>1743</v>
      </c>
      <c r="C387" s="161" t="s">
        <v>1779</v>
      </c>
      <c r="D387" s="162">
        <v>43191</v>
      </c>
      <c r="E387" s="161" t="s">
        <v>2446</v>
      </c>
      <c r="F387" s="161" t="s">
        <v>1769</v>
      </c>
      <c r="G387" s="161">
        <v>9</v>
      </c>
      <c r="H387" s="161">
        <v>12</v>
      </c>
      <c r="I387" s="161">
        <v>9.4</v>
      </c>
      <c r="J387" s="161">
        <v>87</v>
      </c>
      <c r="K387" s="161"/>
      <c r="L387" s="163">
        <v>-4.2</v>
      </c>
      <c r="M387" s="163">
        <v>-3.99</v>
      </c>
      <c r="N387" s="161">
        <v>-2.77</v>
      </c>
      <c r="O387" s="164" t="s">
        <v>1747</v>
      </c>
    </row>
    <row r="388" spans="1:15" ht="43.2">
      <c r="A388" s="161" t="s">
        <v>2447</v>
      </c>
      <c r="B388" s="161" t="s">
        <v>1752</v>
      </c>
      <c r="C388" s="161" t="s">
        <v>1786</v>
      </c>
      <c r="D388" s="162">
        <v>43298</v>
      </c>
      <c r="E388" s="161" t="s">
        <v>2448</v>
      </c>
      <c r="F388" s="161" t="s">
        <v>1769</v>
      </c>
      <c r="G388" s="161">
        <v>6</v>
      </c>
      <c r="H388" s="161">
        <v>12</v>
      </c>
      <c r="I388" s="161">
        <v>9.1999999999999993</v>
      </c>
      <c r="J388" s="161">
        <v>84.5</v>
      </c>
      <c r="K388" s="161"/>
      <c r="L388" s="163">
        <v>-4.3899999999999997</v>
      </c>
      <c r="M388" s="163">
        <v>-4.49</v>
      </c>
      <c r="N388" s="161">
        <v>-2.9</v>
      </c>
      <c r="O388" s="164" t="s">
        <v>1747</v>
      </c>
    </row>
    <row r="389" spans="1:15" ht="43.2">
      <c r="A389" s="161" t="s">
        <v>2449</v>
      </c>
      <c r="B389" s="161" t="s">
        <v>1743</v>
      </c>
      <c r="C389" s="161" t="s">
        <v>1749</v>
      </c>
      <c r="D389" s="162">
        <v>43645</v>
      </c>
      <c r="E389" s="161" t="s">
        <v>2450</v>
      </c>
      <c r="F389" s="161" t="s">
        <v>1769</v>
      </c>
      <c r="G389" s="161">
        <v>6</v>
      </c>
      <c r="H389" s="161">
        <v>12</v>
      </c>
      <c r="I389" s="161">
        <v>9.1</v>
      </c>
      <c r="J389" s="161">
        <v>83.3</v>
      </c>
      <c r="K389" s="161"/>
      <c r="L389" s="163">
        <v>-3.45</v>
      </c>
      <c r="M389" s="163">
        <v>-3.13</v>
      </c>
      <c r="N389" s="161">
        <v>-2.1800000000000002</v>
      </c>
      <c r="O389" s="164" t="s">
        <v>1747</v>
      </c>
    </row>
    <row r="390" spans="1:15" ht="43.2">
      <c r="A390" s="161" t="s">
        <v>2451</v>
      </c>
      <c r="B390" s="161" t="s">
        <v>1743</v>
      </c>
      <c r="C390" s="161" t="s">
        <v>1744</v>
      </c>
      <c r="D390" s="162">
        <v>44044</v>
      </c>
      <c r="E390" s="161" t="s">
        <v>2242</v>
      </c>
      <c r="F390" s="161" t="s">
        <v>1769</v>
      </c>
      <c r="G390" s="161">
        <v>6</v>
      </c>
      <c r="H390" s="161">
        <v>12</v>
      </c>
      <c r="I390" s="161">
        <v>8.4</v>
      </c>
      <c r="J390" s="161">
        <v>80.900000000000006</v>
      </c>
      <c r="K390" s="161">
        <v>12.3</v>
      </c>
      <c r="L390" s="163">
        <v>-2.5499999999999998</v>
      </c>
      <c r="M390" s="163">
        <v>-1.35</v>
      </c>
      <c r="N390" s="161">
        <v>-2.52</v>
      </c>
      <c r="O390" s="164" t="s">
        <v>1747</v>
      </c>
    </row>
    <row r="391" spans="1:15" ht="43.2">
      <c r="A391" s="161" t="s">
        <v>2452</v>
      </c>
      <c r="B391" s="161" t="s">
        <v>1743</v>
      </c>
      <c r="C391" s="161" t="s">
        <v>1779</v>
      </c>
      <c r="D391" s="162">
        <v>43076</v>
      </c>
      <c r="E391" s="161" t="s">
        <v>2453</v>
      </c>
      <c r="F391" s="161" t="s">
        <v>1769</v>
      </c>
      <c r="G391" s="161">
        <v>6</v>
      </c>
      <c r="H391" s="161">
        <v>12</v>
      </c>
      <c r="I391" s="161">
        <v>14</v>
      </c>
      <c r="J391" s="161">
        <v>105</v>
      </c>
      <c r="K391" s="161">
        <v>15.5</v>
      </c>
      <c r="L391" s="163">
        <v>-1.61</v>
      </c>
      <c r="M391" s="163">
        <v>-0.5</v>
      </c>
      <c r="N391" s="161">
        <v>-2.0299999999999998</v>
      </c>
      <c r="O391" s="164" t="s">
        <v>1747</v>
      </c>
    </row>
    <row r="392" spans="1:15" ht="43.2">
      <c r="A392" s="161" t="s">
        <v>2454</v>
      </c>
      <c r="B392" s="161" t="s">
        <v>1743</v>
      </c>
      <c r="C392" s="161" t="s">
        <v>1749</v>
      </c>
      <c r="D392" s="162">
        <v>43930</v>
      </c>
      <c r="E392" s="161" t="s">
        <v>2455</v>
      </c>
      <c r="F392" s="161" t="s">
        <v>1769</v>
      </c>
      <c r="G392" s="161">
        <v>5</v>
      </c>
      <c r="H392" s="161">
        <v>12</v>
      </c>
      <c r="I392" s="161">
        <v>10</v>
      </c>
      <c r="J392" s="161">
        <v>88</v>
      </c>
      <c r="K392" s="161">
        <v>14.5</v>
      </c>
      <c r="L392" s="163">
        <v>-1.68</v>
      </c>
      <c r="M392" s="163">
        <v>-0.26</v>
      </c>
      <c r="N392" s="161">
        <v>-2.27</v>
      </c>
      <c r="O392" s="164" t="s">
        <v>1747</v>
      </c>
    </row>
    <row r="393" spans="1:15" ht="43.2">
      <c r="A393" s="161" t="s">
        <v>2456</v>
      </c>
      <c r="B393" s="161" t="s">
        <v>1743</v>
      </c>
      <c r="C393" s="161" t="s">
        <v>1744</v>
      </c>
      <c r="D393" s="162">
        <v>44237</v>
      </c>
      <c r="E393" s="161" t="s">
        <v>1832</v>
      </c>
      <c r="F393" s="161" t="s">
        <v>1769</v>
      </c>
      <c r="G393" s="161">
        <v>1</v>
      </c>
      <c r="H393" s="161">
        <v>8</v>
      </c>
      <c r="I393" s="161">
        <v>8</v>
      </c>
      <c r="J393" s="161">
        <v>78</v>
      </c>
      <c r="K393" s="161"/>
      <c r="L393" s="163">
        <v>-2.0099999999999998</v>
      </c>
      <c r="M393" s="163">
        <v>-0.57999999999999996</v>
      </c>
      <c r="N393" s="161">
        <v>-2.4</v>
      </c>
      <c r="O393" s="164" t="s">
        <v>1747</v>
      </c>
    </row>
    <row r="394" spans="1:15" ht="43.2">
      <c r="A394" s="161" t="s">
        <v>2457</v>
      </c>
      <c r="B394" s="161" t="s">
        <v>1752</v>
      </c>
      <c r="C394" s="161" t="s">
        <v>1755</v>
      </c>
      <c r="D394" s="162">
        <v>44365</v>
      </c>
      <c r="E394" s="161" t="s">
        <v>2458</v>
      </c>
      <c r="F394" s="161" t="s">
        <v>1769</v>
      </c>
      <c r="G394" s="161">
        <v>3</v>
      </c>
      <c r="H394" s="161">
        <v>5</v>
      </c>
      <c r="I394" s="161">
        <v>8</v>
      </c>
      <c r="J394" s="161">
        <v>76.5</v>
      </c>
      <c r="K394" s="161">
        <v>13.5</v>
      </c>
      <c r="L394" s="163">
        <v>-2.25</v>
      </c>
      <c r="M394" s="163">
        <v>-0.94</v>
      </c>
      <c r="N394" s="161">
        <v>-2.5299999999999998</v>
      </c>
      <c r="O394" s="164" t="s">
        <v>1747</v>
      </c>
    </row>
    <row r="395" spans="1:15" ht="43.2">
      <c r="A395" s="161" t="s">
        <v>2459</v>
      </c>
      <c r="B395" s="161" t="s">
        <v>1752</v>
      </c>
      <c r="C395" s="161" t="s">
        <v>1755</v>
      </c>
      <c r="D395" s="162">
        <v>44611</v>
      </c>
      <c r="E395" s="161" t="s">
        <v>2099</v>
      </c>
      <c r="F395" s="161" t="s">
        <v>1769</v>
      </c>
      <c r="G395" s="161">
        <v>9</v>
      </c>
      <c r="H395" s="161">
        <v>5</v>
      </c>
      <c r="I395" s="161">
        <v>6.2</v>
      </c>
      <c r="J395" s="161">
        <v>66</v>
      </c>
      <c r="K395" s="161">
        <v>16</v>
      </c>
      <c r="L395" s="163">
        <v>-1.94</v>
      </c>
      <c r="M395" s="163">
        <v>-0.31</v>
      </c>
      <c r="N395" s="161">
        <v>-2.4</v>
      </c>
      <c r="O395" s="164" t="s">
        <v>1747</v>
      </c>
    </row>
    <row r="396" spans="1:15" ht="43.2">
      <c r="A396" s="161" t="s">
        <v>2460</v>
      </c>
      <c r="B396" s="161" t="s">
        <v>1752</v>
      </c>
      <c r="C396" s="161" t="s">
        <v>1755</v>
      </c>
      <c r="D396" s="162">
        <v>44609</v>
      </c>
      <c r="E396" s="161" t="s">
        <v>2461</v>
      </c>
      <c r="F396" s="161" t="s">
        <v>1769</v>
      </c>
      <c r="G396" s="161">
        <v>2</v>
      </c>
      <c r="H396" s="161">
        <v>5</v>
      </c>
      <c r="I396" s="161">
        <v>6</v>
      </c>
      <c r="J396" s="161">
        <v>66</v>
      </c>
      <c r="K396" s="161">
        <v>14</v>
      </c>
      <c r="L396" s="163">
        <v>-2.2200000000000002</v>
      </c>
      <c r="M396" s="163">
        <v>-0.31</v>
      </c>
      <c r="N396" s="161">
        <v>-2.83</v>
      </c>
      <c r="O396" s="164" t="s">
        <v>1747</v>
      </c>
    </row>
    <row r="397" spans="1:15" ht="57.6">
      <c r="A397" s="161" t="s">
        <v>2462</v>
      </c>
      <c r="B397" s="161" t="s">
        <v>1752</v>
      </c>
      <c r="C397" s="161" t="s">
        <v>1755</v>
      </c>
      <c r="D397" s="162">
        <v>44332</v>
      </c>
      <c r="E397" s="161" t="s">
        <v>2463</v>
      </c>
      <c r="F397" s="161" t="s">
        <v>1769</v>
      </c>
      <c r="G397" s="161">
        <v>3</v>
      </c>
      <c r="H397" s="161">
        <v>3</v>
      </c>
      <c r="I397" s="161">
        <v>7.9</v>
      </c>
      <c r="J397" s="161">
        <v>76</v>
      </c>
      <c r="K397" s="161"/>
      <c r="L397" s="163">
        <v>-2.3199999999999998</v>
      </c>
      <c r="M397" s="163">
        <v>-1.06</v>
      </c>
      <c r="N397" s="161">
        <v>-2.57</v>
      </c>
      <c r="O397" s="164" t="s">
        <v>1747</v>
      </c>
    </row>
    <row r="398" spans="1:15" ht="43.2">
      <c r="A398" s="161" t="s">
        <v>2464</v>
      </c>
      <c r="B398" s="161" t="s">
        <v>1752</v>
      </c>
      <c r="C398" s="161" t="s">
        <v>1744</v>
      </c>
      <c r="D398" s="162">
        <v>44017</v>
      </c>
      <c r="E398" s="161" t="s">
        <v>2465</v>
      </c>
      <c r="F398" s="161" t="s">
        <v>1769</v>
      </c>
      <c r="G398" s="161">
        <v>3</v>
      </c>
      <c r="H398" s="161">
        <v>2</v>
      </c>
      <c r="I398" s="161">
        <v>10.5</v>
      </c>
      <c r="J398" s="161">
        <v>89</v>
      </c>
      <c r="K398" s="161"/>
      <c r="L398" s="163">
        <v>-1.4</v>
      </c>
      <c r="M398" s="163">
        <v>0.36</v>
      </c>
      <c r="N398" s="161">
        <v>-2.39</v>
      </c>
      <c r="O398" s="164" t="s">
        <v>1747</v>
      </c>
    </row>
    <row r="399" spans="1:15" ht="43.2">
      <c r="A399" s="161" t="s">
        <v>2466</v>
      </c>
      <c r="B399" s="161" t="s">
        <v>1752</v>
      </c>
      <c r="C399" s="161" t="s">
        <v>1755</v>
      </c>
      <c r="D399" s="162">
        <v>44358</v>
      </c>
      <c r="E399" s="161" t="s">
        <v>2467</v>
      </c>
      <c r="F399" s="161" t="s">
        <v>1769</v>
      </c>
      <c r="G399" s="161">
        <v>1</v>
      </c>
      <c r="H399" s="161">
        <v>12</v>
      </c>
      <c r="I399" s="161">
        <v>8.6</v>
      </c>
      <c r="J399" s="161">
        <v>78.5</v>
      </c>
      <c r="K399" s="161"/>
      <c r="L399" s="163">
        <v>-1.4</v>
      </c>
      <c r="M399" s="163">
        <v>0.6</v>
      </c>
      <c r="N399" s="161">
        <v>-2.2400000000000002</v>
      </c>
      <c r="O399" s="164" t="s">
        <v>1747</v>
      </c>
    </row>
    <row r="400" spans="1:15" ht="43.2">
      <c r="A400" s="161" t="s">
        <v>2468</v>
      </c>
      <c r="B400" s="161" t="s">
        <v>1743</v>
      </c>
      <c r="C400" s="161" t="s">
        <v>1749</v>
      </c>
      <c r="D400" s="162">
        <v>43770</v>
      </c>
      <c r="E400" s="161" t="s">
        <v>2469</v>
      </c>
      <c r="F400" s="161" t="s">
        <v>1769</v>
      </c>
      <c r="G400" s="161">
        <v>1</v>
      </c>
      <c r="H400" s="161">
        <v>8</v>
      </c>
      <c r="I400" s="161">
        <v>9.5</v>
      </c>
      <c r="J400" s="161">
        <v>87</v>
      </c>
      <c r="K400" s="161">
        <v>13</v>
      </c>
      <c r="L400" s="163">
        <v>-2.83</v>
      </c>
      <c r="M400" s="163">
        <v>-1.7</v>
      </c>
      <c r="N400" s="161">
        <v>-2.64</v>
      </c>
      <c r="O400" s="164" t="s">
        <v>1747</v>
      </c>
    </row>
    <row r="401" spans="1:15" ht="43.2">
      <c r="A401" s="161" t="s">
        <v>2470</v>
      </c>
      <c r="B401" s="161" t="s">
        <v>1743</v>
      </c>
      <c r="C401" s="161" t="s">
        <v>1779</v>
      </c>
      <c r="D401" s="162">
        <v>43093</v>
      </c>
      <c r="E401" s="161" t="s">
        <v>2471</v>
      </c>
      <c r="F401" s="161" t="s">
        <v>1769</v>
      </c>
      <c r="G401" s="161">
        <v>1</v>
      </c>
      <c r="H401" s="161">
        <v>12</v>
      </c>
      <c r="I401" s="161">
        <v>14</v>
      </c>
      <c r="J401" s="161">
        <v>105</v>
      </c>
      <c r="K401" s="161"/>
      <c r="L401" s="163">
        <v>-1.58</v>
      </c>
      <c r="M401" s="163">
        <v>-0.46</v>
      </c>
      <c r="N401" s="161">
        <v>-2.0299999999999998</v>
      </c>
      <c r="O401" s="164" t="s">
        <v>1747</v>
      </c>
    </row>
    <row r="402" spans="1:15" ht="43.2">
      <c r="A402" s="161" t="s">
        <v>2472</v>
      </c>
      <c r="B402" s="161" t="s">
        <v>1743</v>
      </c>
      <c r="C402" s="161" t="s">
        <v>1786</v>
      </c>
      <c r="D402" s="162">
        <v>43464</v>
      </c>
      <c r="E402" s="161" t="s">
        <v>2473</v>
      </c>
      <c r="F402" s="161" t="s">
        <v>1769</v>
      </c>
      <c r="G402" s="161">
        <v>8</v>
      </c>
      <c r="H402" s="161">
        <v>12</v>
      </c>
      <c r="I402" s="161">
        <v>13.2</v>
      </c>
      <c r="J402" s="161">
        <v>104</v>
      </c>
      <c r="K402" s="161"/>
      <c r="L402" s="163">
        <v>-2.0099999999999998</v>
      </c>
      <c r="M402" s="163">
        <v>-0.66</v>
      </c>
      <c r="N402" s="161">
        <v>-2.4900000000000002</v>
      </c>
      <c r="O402" s="164" t="s">
        <v>1747</v>
      </c>
    </row>
    <row r="403" spans="1:15" ht="43.2">
      <c r="A403" s="161" t="s">
        <v>2474</v>
      </c>
      <c r="B403" s="161" t="s">
        <v>1752</v>
      </c>
      <c r="C403" s="161" t="s">
        <v>1779</v>
      </c>
      <c r="D403" s="162">
        <v>43135</v>
      </c>
      <c r="E403" s="161" t="s">
        <v>2475</v>
      </c>
      <c r="F403" s="161" t="s">
        <v>1769</v>
      </c>
      <c r="G403" s="161">
        <v>8</v>
      </c>
      <c r="H403" s="161">
        <v>12</v>
      </c>
      <c r="I403" s="161">
        <v>14.6</v>
      </c>
      <c r="J403" s="161">
        <v>108</v>
      </c>
      <c r="K403" s="161"/>
      <c r="L403" s="163">
        <v>-1.35</v>
      </c>
      <c r="M403" s="163">
        <v>0.26</v>
      </c>
      <c r="N403" s="161">
        <v>-2.38</v>
      </c>
      <c r="O403" s="164" t="s">
        <v>1747</v>
      </c>
    </row>
    <row r="404" spans="1:15" ht="43.2">
      <c r="A404" s="161" t="s">
        <v>2476</v>
      </c>
      <c r="B404" s="161" t="s">
        <v>1743</v>
      </c>
      <c r="C404" s="161" t="s">
        <v>1779</v>
      </c>
      <c r="D404" s="162">
        <v>43145</v>
      </c>
      <c r="E404" s="161" t="s">
        <v>2477</v>
      </c>
      <c r="F404" s="161" t="s">
        <v>1769</v>
      </c>
      <c r="G404" s="161">
        <v>1</v>
      </c>
      <c r="H404" s="161">
        <v>12</v>
      </c>
      <c r="I404" s="161">
        <v>10.5</v>
      </c>
      <c r="J404" s="161">
        <v>91</v>
      </c>
      <c r="K404" s="161">
        <v>17</v>
      </c>
      <c r="L404" s="163">
        <v>-3.62</v>
      </c>
      <c r="M404" s="163">
        <v>-3.35</v>
      </c>
      <c r="N404" s="161">
        <v>-2.4</v>
      </c>
      <c r="O404" s="164" t="s">
        <v>1747</v>
      </c>
    </row>
    <row r="405" spans="1:15" ht="43.2">
      <c r="A405" s="161" t="s">
        <v>2478</v>
      </c>
      <c r="B405" s="161" t="s">
        <v>1752</v>
      </c>
      <c r="C405" s="161" t="s">
        <v>1779</v>
      </c>
      <c r="D405" s="162">
        <v>43203</v>
      </c>
      <c r="E405" s="161" t="s">
        <v>2479</v>
      </c>
      <c r="F405" s="161" t="s">
        <v>1769</v>
      </c>
      <c r="G405" s="161">
        <v>8</v>
      </c>
      <c r="H405" s="161">
        <v>12</v>
      </c>
      <c r="I405" s="161">
        <v>14</v>
      </c>
      <c r="J405" s="161">
        <v>104</v>
      </c>
      <c r="K405" s="161"/>
      <c r="L405" s="163">
        <v>-1.52</v>
      </c>
      <c r="M405" s="163">
        <v>-0.37</v>
      </c>
      <c r="N405" s="161">
        <v>-2.0299999999999998</v>
      </c>
      <c r="O405" s="164" t="s">
        <v>1747</v>
      </c>
    </row>
    <row r="406" spans="1:15" ht="43.2">
      <c r="A406" s="161" t="s">
        <v>2480</v>
      </c>
      <c r="B406" s="161" t="s">
        <v>1752</v>
      </c>
      <c r="C406" s="161" t="s">
        <v>1786</v>
      </c>
      <c r="D406" s="162">
        <v>43285</v>
      </c>
      <c r="E406" s="161" t="s">
        <v>2481</v>
      </c>
      <c r="F406" s="161" t="s">
        <v>1769</v>
      </c>
      <c r="G406" s="161">
        <v>8</v>
      </c>
      <c r="H406" s="161">
        <v>12</v>
      </c>
      <c r="I406" s="161">
        <v>13.7</v>
      </c>
      <c r="J406" s="161">
        <v>103</v>
      </c>
      <c r="K406" s="161"/>
      <c r="L406" s="163">
        <v>-1.5</v>
      </c>
      <c r="M406" s="163">
        <v>-0.26</v>
      </c>
      <c r="N406" s="161">
        <v>-2.08</v>
      </c>
      <c r="O406" s="164" t="s">
        <v>1747</v>
      </c>
    </row>
    <row r="407" spans="1:15" ht="43.2">
      <c r="A407" s="161" t="s">
        <v>2482</v>
      </c>
      <c r="B407" s="161" t="s">
        <v>1752</v>
      </c>
      <c r="C407" s="161" t="s">
        <v>1786</v>
      </c>
      <c r="D407" s="162">
        <v>43484</v>
      </c>
      <c r="E407" s="161" t="s">
        <v>2483</v>
      </c>
      <c r="F407" s="161" t="s">
        <v>1769</v>
      </c>
      <c r="G407" s="161">
        <v>2</v>
      </c>
      <c r="H407" s="161">
        <v>12</v>
      </c>
      <c r="I407" s="161">
        <v>13</v>
      </c>
      <c r="J407" s="161">
        <v>100</v>
      </c>
      <c r="K407" s="161"/>
      <c r="L407" s="163">
        <v>-1.42</v>
      </c>
      <c r="M407" s="163">
        <v>-0.09</v>
      </c>
      <c r="N407" s="161">
        <v>-2.09</v>
      </c>
      <c r="O407" s="164" t="s">
        <v>1747</v>
      </c>
    </row>
    <row r="408" spans="1:15" ht="43.2">
      <c r="A408" s="161" t="s">
        <v>2484</v>
      </c>
      <c r="B408" s="161" t="s">
        <v>1752</v>
      </c>
      <c r="C408" s="161" t="s">
        <v>1786</v>
      </c>
      <c r="D408" s="162">
        <v>43530</v>
      </c>
      <c r="E408" s="161" t="s">
        <v>2485</v>
      </c>
      <c r="F408" s="161" t="s">
        <v>1769</v>
      </c>
      <c r="G408" s="161">
        <v>2</v>
      </c>
      <c r="H408" s="161">
        <v>12</v>
      </c>
      <c r="I408" s="161">
        <v>11.3</v>
      </c>
      <c r="J408" s="161">
        <v>93</v>
      </c>
      <c r="K408" s="161">
        <v>14.5</v>
      </c>
      <c r="L408" s="163">
        <v>-2.4500000000000002</v>
      </c>
      <c r="M408" s="163">
        <v>-1.64</v>
      </c>
      <c r="N408" s="161">
        <v>-2.37</v>
      </c>
      <c r="O408" s="164" t="s">
        <v>1747</v>
      </c>
    </row>
    <row r="409" spans="1:15" ht="43.2">
      <c r="A409" s="161" t="s">
        <v>2486</v>
      </c>
      <c r="B409" s="161" t="s">
        <v>1743</v>
      </c>
      <c r="C409" s="161" t="s">
        <v>1749</v>
      </c>
      <c r="D409" s="162">
        <v>43586</v>
      </c>
      <c r="E409" s="161" t="s">
        <v>2219</v>
      </c>
      <c r="F409" s="161" t="s">
        <v>1769</v>
      </c>
      <c r="G409" s="161">
        <v>1</v>
      </c>
      <c r="H409" s="161">
        <v>11</v>
      </c>
      <c r="I409" s="161">
        <v>13.2</v>
      </c>
      <c r="J409" s="161">
        <v>102</v>
      </c>
      <c r="K409" s="161">
        <v>14</v>
      </c>
      <c r="L409" s="163">
        <v>-0.73</v>
      </c>
      <c r="M409" s="163">
        <v>1.1499999999999999</v>
      </c>
      <c r="N409" s="161">
        <v>-2.0499999999999998</v>
      </c>
      <c r="O409" s="164" t="s">
        <v>1747</v>
      </c>
    </row>
    <row r="410" spans="1:15" ht="43.2">
      <c r="A410" s="161" t="s">
        <v>2487</v>
      </c>
      <c r="B410" s="161" t="s">
        <v>1752</v>
      </c>
      <c r="C410" s="161" t="s">
        <v>1749</v>
      </c>
      <c r="D410" s="162">
        <v>43596</v>
      </c>
      <c r="E410" s="161" t="s">
        <v>2248</v>
      </c>
      <c r="F410" s="161" t="s">
        <v>1769</v>
      </c>
      <c r="G410" s="161">
        <v>4</v>
      </c>
      <c r="H410" s="161">
        <v>8</v>
      </c>
      <c r="I410" s="161">
        <v>12</v>
      </c>
      <c r="J410" s="161">
        <v>96</v>
      </c>
      <c r="K410" s="161"/>
      <c r="L410" s="163">
        <v>-1.77</v>
      </c>
      <c r="M410" s="163">
        <v>-0.55000000000000004</v>
      </c>
      <c r="N410" s="161">
        <v>-2.2400000000000002</v>
      </c>
      <c r="O410" s="164" t="s">
        <v>1747</v>
      </c>
    </row>
    <row r="411" spans="1:15" ht="43.2">
      <c r="A411" s="161" t="s">
        <v>2488</v>
      </c>
      <c r="B411" s="161" t="s">
        <v>1752</v>
      </c>
      <c r="C411" s="161" t="s">
        <v>1749</v>
      </c>
      <c r="D411" s="162">
        <v>43624</v>
      </c>
      <c r="E411" s="161" t="s">
        <v>2250</v>
      </c>
      <c r="F411" s="161" t="s">
        <v>1769</v>
      </c>
      <c r="G411" s="161">
        <v>4</v>
      </c>
      <c r="H411" s="161">
        <v>8</v>
      </c>
      <c r="I411" s="161">
        <v>12</v>
      </c>
      <c r="J411" s="161">
        <v>95</v>
      </c>
      <c r="K411" s="161"/>
      <c r="L411" s="163">
        <v>-1.69</v>
      </c>
      <c r="M411" s="163">
        <v>-0.67</v>
      </c>
      <c r="N411" s="161">
        <v>-2.02</v>
      </c>
      <c r="O411" s="164" t="s">
        <v>1747</v>
      </c>
    </row>
    <row r="412" spans="1:15" ht="43.2">
      <c r="A412" s="161" t="s">
        <v>2489</v>
      </c>
      <c r="B412" s="161" t="s">
        <v>1743</v>
      </c>
      <c r="C412" s="161" t="s">
        <v>1749</v>
      </c>
      <c r="D412" s="162">
        <v>43642</v>
      </c>
      <c r="E412" s="161" t="s">
        <v>2252</v>
      </c>
      <c r="F412" s="161" t="s">
        <v>1769</v>
      </c>
      <c r="G412" s="161">
        <v>5</v>
      </c>
      <c r="H412" s="161">
        <v>5</v>
      </c>
      <c r="I412" s="161">
        <v>11.6</v>
      </c>
      <c r="J412" s="161">
        <v>97.2</v>
      </c>
      <c r="K412" s="161">
        <v>12.5</v>
      </c>
      <c r="L412" s="163">
        <v>-1.58</v>
      </c>
      <c r="M412" s="163">
        <v>0.26</v>
      </c>
      <c r="N412" s="161">
        <v>-2.5499999999999998</v>
      </c>
      <c r="O412" s="164" t="s">
        <v>1747</v>
      </c>
    </row>
    <row r="413" spans="1:15" ht="43.2">
      <c r="A413" s="161" t="s">
        <v>2490</v>
      </c>
      <c r="B413" s="161" t="s">
        <v>1743</v>
      </c>
      <c r="C413" s="161" t="s">
        <v>1749</v>
      </c>
      <c r="D413" s="162">
        <v>43782</v>
      </c>
      <c r="E413" s="161" t="s">
        <v>2491</v>
      </c>
      <c r="F413" s="161" t="s">
        <v>1769</v>
      </c>
      <c r="G413" s="161">
        <v>6</v>
      </c>
      <c r="H413" s="161">
        <v>5</v>
      </c>
      <c r="I413" s="161">
        <v>10</v>
      </c>
      <c r="J413" s="161">
        <v>87</v>
      </c>
      <c r="K413" s="161">
        <v>13.5</v>
      </c>
      <c r="L413" s="163">
        <v>-2.34</v>
      </c>
      <c r="M413" s="163">
        <v>-1.63</v>
      </c>
      <c r="N413" s="161">
        <v>-2.02</v>
      </c>
      <c r="O413" s="164" t="s">
        <v>1747</v>
      </c>
    </row>
    <row r="414" spans="1:15" ht="43.2">
      <c r="A414" s="161" t="s">
        <v>2492</v>
      </c>
      <c r="B414" s="161" t="s">
        <v>1752</v>
      </c>
      <c r="C414" s="161" t="s">
        <v>1749</v>
      </c>
      <c r="D414" s="162">
        <v>43808</v>
      </c>
      <c r="E414" s="161" t="s">
        <v>2493</v>
      </c>
      <c r="F414" s="161" t="s">
        <v>1769</v>
      </c>
      <c r="G414" s="161">
        <v>8</v>
      </c>
      <c r="H414" s="161">
        <v>5</v>
      </c>
      <c r="I414" s="161">
        <v>10.5</v>
      </c>
      <c r="J414" s="161">
        <v>90</v>
      </c>
      <c r="K414" s="161"/>
      <c r="L414" s="163">
        <v>-2.25</v>
      </c>
      <c r="M414" s="163">
        <v>-1</v>
      </c>
      <c r="N414" s="161">
        <v>-2.64</v>
      </c>
      <c r="O414" s="164" t="s">
        <v>1747</v>
      </c>
    </row>
    <row r="415" spans="1:15" ht="43.2">
      <c r="A415" s="161" t="s">
        <v>2494</v>
      </c>
      <c r="B415" s="161" t="s">
        <v>1752</v>
      </c>
      <c r="C415" s="161" t="s">
        <v>1744</v>
      </c>
      <c r="D415" s="162">
        <v>43950</v>
      </c>
      <c r="E415" s="161" t="s">
        <v>2495</v>
      </c>
      <c r="F415" s="161" t="s">
        <v>1769</v>
      </c>
      <c r="G415" s="161">
        <v>6</v>
      </c>
      <c r="H415" s="161">
        <v>5</v>
      </c>
      <c r="I415" s="161">
        <v>9.1999999999999993</v>
      </c>
      <c r="J415" s="161">
        <v>84</v>
      </c>
      <c r="K415" s="161">
        <v>13.5</v>
      </c>
      <c r="L415" s="163">
        <v>-2.89</v>
      </c>
      <c r="M415" s="163">
        <v>-1.86</v>
      </c>
      <c r="N415" s="161">
        <v>-2.75</v>
      </c>
      <c r="O415" s="164" t="s">
        <v>1747</v>
      </c>
    </row>
    <row r="416" spans="1:15" ht="57.6">
      <c r="A416" s="161" t="s">
        <v>2496</v>
      </c>
      <c r="B416" s="161" t="s">
        <v>1752</v>
      </c>
      <c r="C416" s="161" t="s">
        <v>1744</v>
      </c>
      <c r="D416" s="162">
        <v>44082</v>
      </c>
      <c r="E416" s="161" t="s">
        <v>2497</v>
      </c>
      <c r="F416" s="161" t="s">
        <v>1769</v>
      </c>
      <c r="G416" s="161">
        <v>8</v>
      </c>
      <c r="H416" s="161">
        <v>5</v>
      </c>
      <c r="I416" s="161">
        <v>10</v>
      </c>
      <c r="J416" s="161">
        <v>86</v>
      </c>
      <c r="K416" s="161"/>
      <c r="L416" s="163">
        <v>-1.6</v>
      </c>
      <c r="M416" s="163">
        <v>-0.38</v>
      </c>
      <c r="N416" s="161">
        <v>-2.0299999999999998</v>
      </c>
      <c r="O416" s="164" t="s">
        <v>1747</v>
      </c>
    </row>
    <row r="417" spans="1:15" ht="43.2">
      <c r="A417" s="161" t="s">
        <v>2498</v>
      </c>
      <c r="B417" s="161" t="s">
        <v>1752</v>
      </c>
      <c r="C417" s="161" t="s">
        <v>1786</v>
      </c>
      <c r="D417" s="162">
        <v>43568</v>
      </c>
      <c r="E417" s="161" t="s">
        <v>2499</v>
      </c>
      <c r="F417" s="161" t="s">
        <v>1769</v>
      </c>
      <c r="G417" s="161">
        <v>6</v>
      </c>
      <c r="H417" s="161">
        <v>5</v>
      </c>
      <c r="I417" s="161">
        <v>14.2</v>
      </c>
      <c r="J417" s="161">
        <v>105</v>
      </c>
      <c r="K417" s="161"/>
      <c r="L417" s="163">
        <v>-0.46</v>
      </c>
      <c r="M417" s="163">
        <v>1.62</v>
      </c>
      <c r="N417" s="161">
        <v>-2.0699999999999998</v>
      </c>
      <c r="O417" s="164" t="s">
        <v>1747</v>
      </c>
    </row>
    <row r="418" spans="1:15" ht="43.2">
      <c r="A418" s="161" t="s">
        <v>2500</v>
      </c>
      <c r="B418" s="161" t="s">
        <v>1752</v>
      </c>
      <c r="C418" s="161" t="s">
        <v>1749</v>
      </c>
      <c r="D418" s="162">
        <v>43697</v>
      </c>
      <c r="E418" s="161" t="s">
        <v>2501</v>
      </c>
      <c r="F418" s="161" t="s">
        <v>1769</v>
      </c>
      <c r="G418" s="161">
        <v>7</v>
      </c>
      <c r="H418" s="161">
        <v>5</v>
      </c>
      <c r="I418" s="161">
        <v>14.3</v>
      </c>
      <c r="J418" s="161">
        <v>105.1</v>
      </c>
      <c r="K418" s="161"/>
      <c r="L418" s="163">
        <v>-0.01</v>
      </c>
      <c r="M418" s="163">
        <v>2.46</v>
      </c>
      <c r="N418" s="161">
        <v>-2.0099999999999998</v>
      </c>
      <c r="O418" s="164" t="s">
        <v>1747</v>
      </c>
    </row>
    <row r="419" spans="1:15" ht="43.2">
      <c r="A419" s="161" t="s">
        <v>2502</v>
      </c>
      <c r="B419" s="161" t="s">
        <v>1743</v>
      </c>
      <c r="C419" s="161" t="s">
        <v>1755</v>
      </c>
      <c r="D419" s="162">
        <v>44537</v>
      </c>
      <c r="E419" s="161" t="s">
        <v>2503</v>
      </c>
      <c r="F419" s="161" t="s">
        <v>1769</v>
      </c>
      <c r="G419" s="161">
        <v>3</v>
      </c>
      <c r="H419" s="161">
        <v>5</v>
      </c>
      <c r="I419" s="161">
        <v>7.5</v>
      </c>
      <c r="J419" s="161">
        <v>75</v>
      </c>
      <c r="K419" s="161"/>
      <c r="L419" s="163">
        <v>-0.56000000000000005</v>
      </c>
      <c r="M419" s="163">
        <v>2.46</v>
      </c>
      <c r="N419" s="161">
        <v>-2.29</v>
      </c>
      <c r="O419" s="164" t="s">
        <v>1747</v>
      </c>
    </row>
    <row r="420" spans="1:15" ht="43.2">
      <c r="A420" s="161" t="s">
        <v>2504</v>
      </c>
      <c r="B420" s="161" t="s">
        <v>1752</v>
      </c>
      <c r="C420" s="161" t="s">
        <v>1755</v>
      </c>
      <c r="D420" s="162">
        <v>44554</v>
      </c>
      <c r="E420" s="161" t="s">
        <v>2505</v>
      </c>
      <c r="F420" s="161" t="s">
        <v>1769</v>
      </c>
      <c r="G420" s="161">
        <v>8</v>
      </c>
      <c r="H420" s="161">
        <v>1</v>
      </c>
      <c r="I420" s="161">
        <v>7.9</v>
      </c>
      <c r="J420" s="161">
        <v>74</v>
      </c>
      <c r="K420" s="161">
        <v>14</v>
      </c>
      <c r="L420" s="163">
        <v>-0.69</v>
      </c>
      <c r="M420" s="163">
        <v>1.75</v>
      </c>
      <c r="N420" s="161">
        <v>-2.02</v>
      </c>
      <c r="O420" s="164" t="s">
        <v>1747</v>
      </c>
    </row>
    <row r="421" spans="1:15" ht="43.2">
      <c r="A421" s="161" t="s">
        <v>2506</v>
      </c>
      <c r="B421" s="161" t="s">
        <v>1743</v>
      </c>
      <c r="C421" s="161" t="s">
        <v>1744</v>
      </c>
      <c r="D421" s="162">
        <v>44117</v>
      </c>
      <c r="E421" s="161" t="s">
        <v>2256</v>
      </c>
      <c r="F421" s="161" t="s">
        <v>1774</v>
      </c>
      <c r="G421" s="161">
        <v>2</v>
      </c>
      <c r="H421" s="161">
        <v>5</v>
      </c>
      <c r="I421" s="161">
        <v>8.3000000000000007</v>
      </c>
      <c r="J421" s="161">
        <v>80</v>
      </c>
      <c r="K421" s="161"/>
      <c r="L421" s="163">
        <v>-2.4</v>
      </c>
      <c r="M421" s="163">
        <v>-1.22</v>
      </c>
      <c r="N421" s="161">
        <v>-2.44</v>
      </c>
      <c r="O421" s="164" t="s">
        <v>1747</v>
      </c>
    </row>
    <row r="422" spans="1:15" ht="43.2">
      <c r="A422" s="161" t="s">
        <v>2507</v>
      </c>
      <c r="B422" s="161" t="s">
        <v>1752</v>
      </c>
      <c r="C422" s="161" t="s">
        <v>1786</v>
      </c>
      <c r="D422" s="162">
        <v>43239</v>
      </c>
      <c r="E422" s="161" t="s">
        <v>2262</v>
      </c>
      <c r="F422" s="161" t="s">
        <v>1774</v>
      </c>
      <c r="G422" s="161">
        <v>1</v>
      </c>
      <c r="H422" s="161">
        <v>7</v>
      </c>
      <c r="I422" s="161">
        <v>12.4</v>
      </c>
      <c r="J422" s="161">
        <v>97</v>
      </c>
      <c r="K422" s="161">
        <v>15.5</v>
      </c>
      <c r="L422" s="163">
        <v>-2.41</v>
      </c>
      <c r="M422" s="163">
        <v>-1.85</v>
      </c>
      <c r="N422" s="161">
        <v>-2.0299999999999998</v>
      </c>
      <c r="O422" s="164" t="s">
        <v>1747</v>
      </c>
    </row>
    <row r="423" spans="1:15" ht="43.2">
      <c r="A423" s="161" t="s">
        <v>2508</v>
      </c>
      <c r="B423" s="161" t="s">
        <v>1752</v>
      </c>
      <c r="C423" s="161" t="s">
        <v>1755</v>
      </c>
      <c r="D423" s="162">
        <v>44519</v>
      </c>
      <c r="E423" s="161" t="s">
        <v>2509</v>
      </c>
      <c r="F423" s="161" t="s">
        <v>1777</v>
      </c>
      <c r="G423" s="161">
        <v>2</v>
      </c>
      <c r="H423" s="161">
        <v>10</v>
      </c>
      <c r="I423" s="161">
        <v>7</v>
      </c>
      <c r="J423" s="161">
        <v>69.2</v>
      </c>
      <c r="K423" s="161">
        <v>12</v>
      </c>
      <c r="L423" s="163">
        <v>-2.14</v>
      </c>
      <c r="M423" s="163">
        <v>-1.1399999999999999</v>
      </c>
      <c r="N423" s="161">
        <v>-2.04</v>
      </c>
      <c r="O423" s="164" t="s">
        <v>1747</v>
      </c>
    </row>
    <row r="424" spans="1:15" ht="43.2">
      <c r="A424" s="161" t="s">
        <v>2510</v>
      </c>
      <c r="B424" s="161" t="s">
        <v>1743</v>
      </c>
      <c r="C424" s="161" t="s">
        <v>1744</v>
      </c>
      <c r="D424" s="162">
        <v>44104</v>
      </c>
      <c r="E424" s="161" t="s">
        <v>2511</v>
      </c>
      <c r="F424" s="161" t="s">
        <v>1777</v>
      </c>
      <c r="G424" s="161">
        <v>8</v>
      </c>
      <c r="H424" s="161">
        <v>9</v>
      </c>
      <c r="I424" s="161">
        <v>7</v>
      </c>
      <c r="J424" s="161">
        <v>73</v>
      </c>
      <c r="K424" s="161"/>
      <c r="L424" s="163">
        <v>-3.9</v>
      </c>
      <c r="M424" s="163">
        <v>-3.61</v>
      </c>
      <c r="N424" s="161">
        <v>-2.79</v>
      </c>
      <c r="O424" s="164" t="s">
        <v>1747</v>
      </c>
    </row>
    <row r="425" spans="1:15" ht="43.2">
      <c r="A425" s="161" t="s">
        <v>2512</v>
      </c>
      <c r="B425" s="161" t="s">
        <v>1743</v>
      </c>
      <c r="C425" s="161" t="s">
        <v>2055</v>
      </c>
      <c r="D425" s="162">
        <v>44797</v>
      </c>
      <c r="E425" s="161" t="s">
        <v>2513</v>
      </c>
      <c r="F425" s="161" t="s">
        <v>1777</v>
      </c>
      <c r="G425" s="161">
        <v>3</v>
      </c>
      <c r="H425" s="161">
        <v>10</v>
      </c>
      <c r="I425" s="161">
        <v>2.25</v>
      </c>
      <c r="J425" s="161">
        <v>47</v>
      </c>
      <c r="K425" s="161"/>
      <c r="L425" s="163">
        <v>-3.74</v>
      </c>
      <c r="M425" s="163">
        <v>-2.67</v>
      </c>
      <c r="N425" s="161">
        <v>-3.03</v>
      </c>
      <c r="O425" s="164" t="s">
        <v>1790</v>
      </c>
    </row>
    <row r="426" spans="1:15" ht="43.2">
      <c r="A426" s="161" t="s">
        <v>2514</v>
      </c>
      <c r="B426" s="161" t="s">
        <v>1752</v>
      </c>
      <c r="C426" s="161" t="s">
        <v>1744</v>
      </c>
      <c r="D426" s="162">
        <v>44298</v>
      </c>
      <c r="E426" s="161" t="s">
        <v>2019</v>
      </c>
      <c r="F426" s="161" t="s">
        <v>1777</v>
      </c>
      <c r="G426" s="161">
        <v>1</v>
      </c>
      <c r="H426" s="161">
        <v>15</v>
      </c>
      <c r="I426" s="161">
        <v>8.1999999999999993</v>
      </c>
      <c r="J426" s="161">
        <v>77</v>
      </c>
      <c r="K426" s="161"/>
      <c r="L426" s="163">
        <v>-2.2599999999999998</v>
      </c>
      <c r="M426" s="163">
        <v>-1.26</v>
      </c>
      <c r="N426" s="161">
        <v>-2.34</v>
      </c>
      <c r="O426" s="164" t="s">
        <v>1747</v>
      </c>
    </row>
    <row r="427" spans="1:15" ht="43.2">
      <c r="A427" s="161" t="s">
        <v>2515</v>
      </c>
      <c r="B427" s="161" t="s">
        <v>1752</v>
      </c>
      <c r="C427" s="161" t="s">
        <v>1744</v>
      </c>
      <c r="D427" s="162">
        <v>44286</v>
      </c>
      <c r="E427" s="161" t="s">
        <v>2021</v>
      </c>
      <c r="F427" s="161" t="s">
        <v>1777</v>
      </c>
      <c r="G427" s="161">
        <v>7</v>
      </c>
      <c r="H427" s="161">
        <v>10</v>
      </c>
      <c r="I427" s="161">
        <v>8</v>
      </c>
      <c r="J427" s="161">
        <v>76</v>
      </c>
      <c r="K427" s="161"/>
      <c r="L427" s="163">
        <v>-2.54</v>
      </c>
      <c r="M427" s="163">
        <v>-1.79</v>
      </c>
      <c r="N427" s="161">
        <v>-2.4</v>
      </c>
      <c r="O427" s="164" t="s">
        <v>1747</v>
      </c>
    </row>
    <row r="428" spans="1:15" ht="43.2">
      <c r="A428" s="161" t="s">
        <v>2516</v>
      </c>
      <c r="B428" s="161" t="s">
        <v>1752</v>
      </c>
      <c r="C428" s="161" t="s">
        <v>1749</v>
      </c>
      <c r="D428" s="162">
        <v>43808</v>
      </c>
      <c r="E428" s="161" t="s">
        <v>1776</v>
      </c>
      <c r="F428" s="161" t="s">
        <v>1777</v>
      </c>
      <c r="G428" s="161">
        <v>1</v>
      </c>
      <c r="H428" s="161">
        <v>2</v>
      </c>
      <c r="I428" s="161">
        <v>14.7</v>
      </c>
      <c r="J428" s="161">
        <v>110.6</v>
      </c>
      <c r="K428" s="161"/>
      <c r="L428" s="163">
        <v>0.6</v>
      </c>
      <c r="M428" s="163">
        <v>4.87</v>
      </c>
      <c r="N428" s="161">
        <v>-2.86</v>
      </c>
      <c r="O428" s="164" t="s">
        <v>1747</v>
      </c>
    </row>
    <row r="429" spans="1:15" ht="43.2">
      <c r="A429" s="161" t="s">
        <v>2517</v>
      </c>
      <c r="B429" s="161" t="s">
        <v>1752</v>
      </c>
      <c r="C429" s="161" t="s">
        <v>1744</v>
      </c>
      <c r="D429" s="162">
        <v>44004</v>
      </c>
      <c r="E429" s="161" t="s">
        <v>2518</v>
      </c>
      <c r="F429" s="161" t="s">
        <v>1777</v>
      </c>
      <c r="G429" s="161">
        <v>5</v>
      </c>
      <c r="H429" s="161">
        <v>2</v>
      </c>
      <c r="I429" s="161">
        <v>8.5</v>
      </c>
      <c r="J429" s="161">
        <v>81</v>
      </c>
      <c r="K429" s="161">
        <v>13</v>
      </c>
      <c r="L429" s="163">
        <v>-3.28</v>
      </c>
      <c r="M429" s="163">
        <v>-2.5299999999999998</v>
      </c>
      <c r="N429" s="161">
        <v>-2.81</v>
      </c>
      <c r="O429" s="164" t="s">
        <v>1747</v>
      </c>
    </row>
    <row r="430" spans="1:15" ht="57.6">
      <c r="A430" s="161" t="s">
        <v>2519</v>
      </c>
      <c r="B430" s="161" t="s">
        <v>1743</v>
      </c>
      <c r="C430" s="161" t="s">
        <v>1779</v>
      </c>
      <c r="D430" s="162">
        <v>43111</v>
      </c>
      <c r="E430" s="161" t="s">
        <v>2107</v>
      </c>
      <c r="F430" s="161" t="s">
        <v>1777</v>
      </c>
      <c r="G430" s="161">
        <v>4</v>
      </c>
      <c r="H430" s="161">
        <v>2</v>
      </c>
      <c r="I430" s="161">
        <v>14</v>
      </c>
      <c r="J430" s="161">
        <v>107</v>
      </c>
      <c r="K430" s="161"/>
      <c r="L430" s="163">
        <v>-1.54</v>
      </c>
      <c r="M430" s="163">
        <v>0.06</v>
      </c>
      <c r="N430" s="161">
        <v>-2.48</v>
      </c>
      <c r="O430" s="164" t="s">
        <v>1747</v>
      </c>
    </row>
    <row r="431" spans="1:15" ht="43.2">
      <c r="A431" s="161" t="s">
        <v>2520</v>
      </c>
      <c r="B431" s="161" t="s">
        <v>1752</v>
      </c>
      <c r="C431" s="161" t="s">
        <v>1786</v>
      </c>
      <c r="D431" s="162">
        <v>43318</v>
      </c>
      <c r="E431" s="161" t="s">
        <v>2521</v>
      </c>
      <c r="F431" s="161" t="s">
        <v>1777</v>
      </c>
      <c r="G431" s="161">
        <v>3</v>
      </c>
      <c r="H431" s="161">
        <v>9</v>
      </c>
      <c r="I431" s="161">
        <v>14.4</v>
      </c>
      <c r="J431" s="161">
        <v>105.5</v>
      </c>
      <c r="K431" s="161"/>
      <c r="L431" s="163">
        <v>-1.02</v>
      </c>
      <c r="M431" s="163">
        <v>0.49</v>
      </c>
      <c r="N431" s="161">
        <v>-2.0099999999999998</v>
      </c>
      <c r="O431" s="164" t="s">
        <v>1747</v>
      </c>
    </row>
    <row r="432" spans="1:15" ht="43.2">
      <c r="A432" s="161" t="s">
        <v>2522</v>
      </c>
      <c r="B432" s="161" t="s">
        <v>1752</v>
      </c>
      <c r="C432" s="161" t="s">
        <v>1786</v>
      </c>
      <c r="D432" s="162">
        <v>43328</v>
      </c>
      <c r="E432" s="161" t="s">
        <v>2523</v>
      </c>
      <c r="F432" s="161" t="s">
        <v>2190</v>
      </c>
      <c r="G432" s="161">
        <v>1</v>
      </c>
      <c r="H432" s="161">
        <v>2</v>
      </c>
      <c r="I432" s="161">
        <v>14.4</v>
      </c>
      <c r="J432" s="161">
        <v>105.5</v>
      </c>
      <c r="K432" s="161"/>
      <c r="L432" s="163">
        <v>-0.99</v>
      </c>
      <c r="M432" s="163">
        <v>0.53</v>
      </c>
      <c r="N432" s="161">
        <v>-2.0099999999999998</v>
      </c>
      <c r="O432" s="164" t="s">
        <v>1747</v>
      </c>
    </row>
    <row r="433" spans="1:15" ht="43.2">
      <c r="A433" s="161" t="s">
        <v>2524</v>
      </c>
      <c r="B433" s="161" t="s">
        <v>1752</v>
      </c>
      <c r="C433" s="161" t="s">
        <v>1779</v>
      </c>
      <c r="D433" s="162">
        <v>43018</v>
      </c>
      <c r="E433" s="161" t="s">
        <v>2525</v>
      </c>
      <c r="F433" s="161" t="s">
        <v>2190</v>
      </c>
      <c r="G433" s="161">
        <v>2</v>
      </c>
      <c r="H433" s="161">
        <v>2</v>
      </c>
      <c r="I433" s="161">
        <v>14.4</v>
      </c>
      <c r="J433" s="161">
        <v>106</v>
      </c>
      <c r="K433" s="161"/>
      <c r="L433" s="163">
        <v>-1.7</v>
      </c>
      <c r="M433" s="163">
        <v>-0.64</v>
      </c>
      <c r="N433" s="161">
        <v>-2.12</v>
      </c>
      <c r="O433" s="164" t="s">
        <v>1747</v>
      </c>
    </row>
    <row r="434" spans="1:15" ht="43.2">
      <c r="A434" s="161" t="s">
        <v>2526</v>
      </c>
      <c r="B434" s="161" t="s">
        <v>1743</v>
      </c>
      <c r="C434" s="161" t="s">
        <v>1749</v>
      </c>
      <c r="D434" s="162">
        <v>43604</v>
      </c>
      <c r="E434" s="161" t="s">
        <v>2527</v>
      </c>
      <c r="F434" s="161" t="s">
        <v>2190</v>
      </c>
      <c r="G434" s="161">
        <v>5</v>
      </c>
      <c r="H434" s="161">
        <v>2</v>
      </c>
      <c r="I434" s="161">
        <v>10.199999999999999</v>
      </c>
      <c r="J434" s="161">
        <v>90.6</v>
      </c>
      <c r="K434" s="161"/>
      <c r="L434" s="163">
        <v>-2.82</v>
      </c>
      <c r="M434" s="163">
        <v>-1.71</v>
      </c>
      <c r="N434" s="161">
        <v>-2.66</v>
      </c>
      <c r="O434" s="164" t="s">
        <v>1747</v>
      </c>
    </row>
    <row r="435" spans="1:15" ht="43.2">
      <c r="A435" s="161" t="s">
        <v>2528</v>
      </c>
      <c r="B435" s="161" t="s">
        <v>1743</v>
      </c>
      <c r="C435" s="161" t="s">
        <v>1749</v>
      </c>
      <c r="D435" s="162">
        <v>43818</v>
      </c>
      <c r="E435" s="161" t="s">
        <v>2529</v>
      </c>
      <c r="F435" s="161" t="s">
        <v>2190</v>
      </c>
      <c r="G435" s="161">
        <v>1</v>
      </c>
      <c r="H435" s="161">
        <v>3</v>
      </c>
      <c r="I435" s="161">
        <v>10.4</v>
      </c>
      <c r="J435" s="161">
        <v>90</v>
      </c>
      <c r="K435" s="161"/>
      <c r="L435" s="163">
        <v>-1.86</v>
      </c>
      <c r="M435" s="163">
        <v>-0.56999999999999995</v>
      </c>
      <c r="N435" s="161">
        <v>-2.2799999999999998</v>
      </c>
      <c r="O435" s="164" t="s">
        <v>1747</v>
      </c>
    </row>
    <row r="436" spans="1:15" ht="43.2">
      <c r="A436" s="161" t="s">
        <v>2530</v>
      </c>
      <c r="B436" s="161" t="s">
        <v>1752</v>
      </c>
      <c r="C436" s="161" t="s">
        <v>1786</v>
      </c>
      <c r="D436" s="162">
        <v>43392</v>
      </c>
      <c r="E436" s="161" t="s">
        <v>2531</v>
      </c>
      <c r="F436" s="161" t="s">
        <v>2190</v>
      </c>
      <c r="G436" s="161">
        <v>6</v>
      </c>
      <c r="H436" s="161">
        <v>3</v>
      </c>
      <c r="I436" s="161">
        <v>14.2</v>
      </c>
      <c r="J436" s="161">
        <v>105.3</v>
      </c>
      <c r="K436" s="161"/>
      <c r="L436" s="163">
        <v>-0.93</v>
      </c>
      <c r="M436" s="163">
        <v>0.8</v>
      </c>
      <c r="N436" s="161">
        <v>-2.14</v>
      </c>
      <c r="O436" s="164" t="s">
        <v>1747</v>
      </c>
    </row>
    <row r="437" spans="1:15" ht="43.2">
      <c r="A437" s="161" t="s">
        <v>2532</v>
      </c>
      <c r="B437" s="161" t="s">
        <v>1743</v>
      </c>
      <c r="C437" s="161" t="s">
        <v>2055</v>
      </c>
      <c r="D437" s="162">
        <v>44804</v>
      </c>
      <c r="E437" s="161" t="s">
        <v>2533</v>
      </c>
      <c r="F437" s="161" t="s">
        <v>2190</v>
      </c>
      <c r="G437" s="161">
        <v>1</v>
      </c>
      <c r="H437" s="161">
        <v>5</v>
      </c>
      <c r="I437" s="161">
        <v>2.1</v>
      </c>
      <c r="J437" s="161">
        <v>48</v>
      </c>
      <c r="K437" s="161"/>
      <c r="L437" s="163">
        <v>-4.5</v>
      </c>
      <c r="M437" s="163">
        <v>-2.59</v>
      </c>
      <c r="N437" s="161">
        <v>-4.41</v>
      </c>
      <c r="O437" s="164" t="s">
        <v>1790</v>
      </c>
    </row>
    <row r="438" spans="1:15" ht="43.2">
      <c r="A438" s="161" t="s">
        <v>2534</v>
      </c>
      <c r="B438" s="161" t="s">
        <v>1752</v>
      </c>
      <c r="C438" s="161" t="s">
        <v>1779</v>
      </c>
      <c r="D438" s="162">
        <v>43011</v>
      </c>
      <c r="E438" s="161" t="s">
        <v>2535</v>
      </c>
      <c r="F438" s="161" t="s">
        <v>2190</v>
      </c>
      <c r="G438" s="161">
        <v>1</v>
      </c>
      <c r="H438" s="161">
        <v>5</v>
      </c>
      <c r="I438" s="161">
        <v>14</v>
      </c>
      <c r="J438" s="161">
        <v>105</v>
      </c>
      <c r="K438" s="161"/>
      <c r="L438" s="163">
        <v>-1.95</v>
      </c>
      <c r="M438" s="163">
        <v>-0.91</v>
      </c>
      <c r="N438" s="161">
        <v>-2.25</v>
      </c>
      <c r="O438" s="164" t="s">
        <v>1747</v>
      </c>
    </row>
    <row r="439" spans="1:15" ht="43.2">
      <c r="A439" s="161" t="s">
        <v>2536</v>
      </c>
      <c r="B439" s="161" t="s">
        <v>1743</v>
      </c>
      <c r="C439" s="161" t="s">
        <v>1779</v>
      </c>
      <c r="D439" s="162">
        <v>43027</v>
      </c>
      <c r="E439" s="161" t="s">
        <v>2537</v>
      </c>
      <c r="F439" s="161" t="s">
        <v>2190</v>
      </c>
      <c r="G439" s="161">
        <v>8</v>
      </c>
      <c r="H439" s="161">
        <v>3</v>
      </c>
      <c r="I439" s="161">
        <v>14.1</v>
      </c>
      <c r="J439" s="161">
        <v>105.5</v>
      </c>
      <c r="K439" s="161"/>
      <c r="L439" s="163">
        <v>-1.68</v>
      </c>
      <c r="M439" s="163">
        <v>-0.61</v>
      </c>
      <c r="N439" s="161">
        <v>-2.06</v>
      </c>
      <c r="O439" s="164" t="s">
        <v>1747</v>
      </c>
    </row>
    <row r="440" spans="1:15" ht="43.2">
      <c r="A440" s="161" t="s">
        <v>2538</v>
      </c>
      <c r="B440" s="161" t="s">
        <v>1752</v>
      </c>
      <c r="C440" s="161" t="s">
        <v>1779</v>
      </c>
      <c r="D440" s="162">
        <v>43198</v>
      </c>
      <c r="E440" s="161" t="s">
        <v>2192</v>
      </c>
      <c r="F440" s="161" t="s">
        <v>2190</v>
      </c>
      <c r="G440" s="161">
        <v>1</v>
      </c>
      <c r="H440" s="161">
        <v>1</v>
      </c>
      <c r="I440" s="161">
        <v>12.3</v>
      </c>
      <c r="J440" s="161">
        <v>98</v>
      </c>
      <c r="K440" s="161"/>
      <c r="L440" s="163">
        <v>-2.57</v>
      </c>
      <c r="M440" s="163">
        <v>-1.78</v>
      </c>
      <c r="N440" s="161">
        <v>-2.36</v>
      </c>
      <c r="O440" s="164" t="s">
        <v>1747</v>
      </c>
    </row>
    <row r="441" spans="1:15" ht="43.2">
      <c r="A441" s="161" t="s">
        <v>2539</v>
      </c>
      <c r="B441" s="161" t="s">
        <v>1752</v>
      </c>
      <c r="C441" s="161" t="s">
        <v>1779</v>
      </c>
      <c r="D441" s="162">
        <v>43138</v>
      </c>
      <c r="E441" s="161" t="s">
        <v>2540</v>
      </c>
      <c r="F441" s="161" t="s">
        <v>2190</v>
      </c>
      <c r="G441" s="161">
        <v>3</v>
      </c>
      <c r="H441" s="161">
        <v>5</v>
      </c>
      <c r="I441" s="161">
        <v>14.2</v>
      </c>
      <c r="J441" s="161">
        <v>105</v>
      </c>
      <c r="K441" s="161"/>
      <c r="L441" s="163">
        <v>-1.23</v>
      </c>
      <c r="M441" s="163">
        <v>0.19</v>
      </c>
      <c r="N441" s="161">
        <v>-2.0699999999999998</v>
      </c>
      <c r="O441" s="164" t="s">
        <v>1747</v>
      </c>
    </row>
    <row r="442" spans="1:15" ht="43.2">
      <c r="A442" s="161" t="s">
        <v>2541</v>
      </c>
      <c r="B442" s="161" t="s">
        <v>1752</v>
      </c>
      <c r="C442" s="161" t="s">
        <v>1755</v>
      </c>
      <c r="D442" s="162">
        <v>44614</v>
      </c>
      <c r="E442" s="161" t="s">
        <v>2306</v>
      </c>
      <c r="F442" s="161" t="s">
        <v>2190</v>
      </c>
      <c r="G442" s="161">
        <v>1</v>
      </c>
      <c r="H442" s="161">
        <v>6</v>
      </c>
      <c r="I442" s="161">
        <v>8.5</v>
      </c>
      <c r="J442" s="161">
        <v>74</v>
      </c>
      <c r="K442" s="161"/>
      <c r="L442" s="163">
        <v>-1.82</v>
      </c>
      <c r="M442" s="163">
        <v>-2.19</v>
      </c>
      <c r="N442" s="161">
        <v>-1.1000000000000001</v>
      </c>
      <c r="O442" s="164" t="s">
        <v>1760</v>
      </c>
    </row>
    <row r="443" spans="1:15" ht="43.2">
      <c r="A443" s="161" t="s">
        <v>2542</v>
      </c>
      <c r="B443" s="161" t="s">
        <v>1743</v>
      </c>
      <c r="C443" s="161" t="s">
        <v>1755</v>
      </c>
      <c r="D443" s="162">
        <v>44433</v>
      </c>
      <c r="E443" s="161" t="s">
        <v>2279</v>
      </c>
      <c r="F443" s="161" t="s">
        <v>2190</v>
      </c>
      <c r="G443" s="161">
        <v>4</v>
      </c>
      <c r="H443" s="161">
        <v>6</v>
      </c>
      <c r="I443" s="161">
        <v>8.4</v>
      </c>
      <c r="J443" s="161">
        <v>74.5</v>
      </c>
      <c r="K443" s="161"/>
      <c r="L443" s="163">
        <v>-2.21</v>
      </c>
      <c r="M443" s="163">
        <v>-3.08</v>
      </c>
      <c r="N443" s="161">
        <v>-0.85</v>
      </c>
      <c r="O443" s="164" t="s">
        <v>1760</v>
      </c>
    </row>
    <row r="444" spans="1:15" ht="43.2">
      <c r="A444" s="161" t="s">
        <v>2543</v>
      </c>
      <c r="B444" s="161" t="s">
        <v>1743</v>
      </c>
      <c r="C444" s="161" t="s">
        <v>1744</v>
      </c>
      <c r="D444" s="162">
        <v>44277</v>
      </c>
      <c r="E444" s="161" t="s">
        <v>2282</v>
      </c>
      <c r="F444" s="161" t="s">
        <v>2190</v>
      </c>
      <c r="G444" s="161">
        <v>2</v>
      </c>
      <c r="H444" s="161">
        <v>1</v>
      </c>
      <c r="I444" s="161">
        <v>8.5</v>
      </c>
      <c r="J444" s="161">
        <v>78.3</v>
      </c>
      <c r="K444" s="161">
        <v>13.2</v>
      </c>
      <c r="L444" s="163">
        <v>-2.91</v>
      </c>
      <c r="M444" s="163">
        <v>-2.85</v>
      </c>
      <c r="N444" s="161">
        <v>-1.74</v>
      </c>
      <c r="O444" s="164" t="s">
        <v>1760</v>
      </c>
    </row>
    <row r="445" spans="1:15" ht="43.2">
      <c r="A445" s="161" t="s">
        <v>2544</v>
      </c>
      <c r="B445" s="161" t="s">
        <v>1743</v>
      </c>
      <c r="C445" s="161" t="s">
        <v>1744</v>
      </c>
      <c r="D445" s="162">
        <v>44265</v>
      </c>
      <c r="E445" s="161" t="s">
        <v>2545</v>
      </c>
      <c r="F445" s="161" t="s">
        <v>2190</v>
      </c>
      <c r="G445" s="161">
        <v>3</v>
      </c>
      <c r="H445" s="161">
        <v>2</v>
      </c>
      <c r="I445" s="161">
        <v>9</v>
      </c>
      <c r="J445" s="161">
        <v>81.3</v>
      </c>
      <c r="K445" s="161"/>
      <c r="L445" s="163">
        <v>-2.4700000000000002</v>
      </c>
      <c r="M445" s="163">
        <v>-2.04</v>
      </c>
      <c r="N445" s="161">
        <v>-1.8</v>
      </c>
      <c r="O445" s="164" t="s">
        <v>1760</v>
      </c>
    </row>
    <row r="446" spans="1:15" ht="43.2">
      <c r="A446" s="161" t="s">
        <v>2546</v>
      </c>
      <c r="B446" s="161" t="s">
        <v>1752</v>
      </c>
      <c r="C446" s="161" t="s">
        <v>1786</v>
      </c>
      <c r="D446" s="162">
        <v>43487</v>
      </c>
      <c r="E446" s="161" t="s">
        <v>2292</v>
      </c>
      <c r="F446" s="161" t="s">
        <v>2190</v>
      </c>
      <c r="G446" s="161">
        <v>3</v>
      </c>
      <c r="H446" s="161">
        <v>2</v>
      </c>
      <c r="I446" s="161">
        <v>14.5</v>
      </c>
      <c r="J446" s="161">
        <v>96.5</v>
      </c>
      <c r="K446" s="161">
        <v>15</v>
      </c>
      <c r="L446" s="163">
        <v>-1.27</v>
      </c>
      <c r="M446" s="163">
        <v>-2.12</v>
      </c>
      <c r="N446" s="161">
        <v>0.06</v>
      </c>
      <c r="O446" s="164" t="s">
        <v>1760</v>
      </c>
    </row>
    <row r="447" spans="1:15" ht="43.2">
      <c r="A447" s="161" t="s">
        <v>2547</v>
      </c>
      <c r="B447" s="161" t="s">
        <v>1743</v>
      </c>
      <c r="C447" s="161" t="s">
        <v>1749</v>
      </c>
      <c r="D447" s="162">
        <v>43593</v>
      </c>
      <c r="E447" s="161" t="s">
        <v>2548</v>
      </c>
      <c r="F447" s="161" t="s">
        <v>2190</v>
      </c>
      <c r="G447" s="161">
        <v>5</v>
      </c>
      <c r="H447" s="161">
        <v>2</v>
      </c>
      <c r="I447" s="161">
        <v>12.5</v>
      </c>
      <c r="J447" s="161">
        <v>93</v>
      </c>
      <c r="K447" s="161">
        <v>16</v>
      </c>
      <c r="L447" s="163">
        <v>-1.97</v>
      </c>
      <c r="M447" s="163">
        <v>-2.38</v>
      </c>
      <c r="N447" s="161">
        <v>-0.78</v>
      </c>
      <c r="O447" s="164" t="s">
        <v>1760</v>
      </c>
    </row>
    <row r="448" spans="1:15" ht="43.2">
      <c r="A448" s="161" t="s">
        <v>2549</v>
      </c>
      <c r="B448" s="161" t="s">
        <v>1743</v>
      </c>
      <c r="C448" s="161" t="s">
        <v>1744</v>
      </c>
      <c r="D448" s="162">
        <v>44272</v>
      </c>
      <c r="E448" s="161" t="s">
        <v>2294</v>
      </c>
      <c r="F448" s="161" t="s">
        <v>2190</v>
      </c>
      <c r="G448" s="161">
        <v>3</v>
      </c>
      <c r="H448" s="161">
        <v>3</v>
      </c>
      <c r="I448" s="161">
        <v>8.4</v>
      </c>
      <c r="J448" s="161">
        <v>76.5</v>
      </c>
      <c r="K448" s="161">
        <v>13.5</v>
      </c>
      <c r="L448" s="163">
        <v>-3.04</v>
      </c>
      <c r="M448" s="163">
        <v>-3.62</v>
      </c>
      <c r="N448" s="161">
        <v>-1.31</v>
      </c>
      <c r="O448" s="164" t="s">
        <v>1760</v>
      </c>
    </row>
    <row r="449" spans="1:15" ht="43.2">
      <c r="A449" s="161" t="s">
        <v>2550</v>
      </c>
      <c r="B449" s="161" t="s">
        <v>1752</v>
      </c>
      <c r="C449" s="161" t="s">
        <v>1744</v>
      </c>
      <c r="D449" s="162">
        <v>44252</v>
      </c>
      <c r="E449" s="161" t="s">
        <v>2551</v>
      </c>
      <c r="F449" s="161" t="s">
        <v>2190</v>
      </c>
      <c r="G449" s="161">
        <v>7</v>
      </c>
      <c r="H449" s="161">
        <v>3</v>
      </c>
      <c r="I449" s="161">
        <v>8.1999999999999993</v>
      </c>
      <c r="J449" s="161">
        <v>79</v>
      </c>
      <c r="K449" s="161">
        <v>12.5</v>
      </c>
      <c r="L449" s="163">
        <v>-3.78</v>
      </c>
      <c r="M449" s="163">
        <v>-3.36</v>
      </c>
      <c r="N449" s="161">
        <v>-2.97</v>
      </c>
      <c r="O449" s="164" t="s">
        <v>1747</v>
      </c>
    </row>
    <row r="450" spans="1:15" ht="43.2">
      <c r="A450" s="161" t="s">
        <v>2552</v>
      </c>
      <c r="B450" s="161" t="s">
        <v>1752</v>
      </c>
      <c r="C450" s="161" t="s">
        <v>1755</v>
      </c>
      <c r="D450" s="162">
        <v>44567</v>
      </c>
      <c r="E450" s="161" t="s">
        <v>2294</v>
      </c>
      <c r="F450" s="161" t="s">
        <v>2190</v>
      </c>
      <c r="G450" s="161">
        <v>3</v>
      </c>
      <c r="H450" s="161">
        <v>3</v>
      </c>
      <c r="I450" s="161">
        <v>7.7</v>
      </c>
      <c r="J450" s="161">
        <v>72</v>
      </c>
      <c r="K450" s="161">
        <v>15</v>
      </c>
      <c r="L450" s="163">
        <v>-2.99</v>
      </c>
      <c r="M450" s="163">
        <v>-3.51</v>
      </c>
      <c r="N450" s="161">
        <v>-1.76</v>
      </c>
      <c r="O450" s="164" t="s">
        <v>1760</v>
      </c>
    </row>
    <row r="451" spans="1:15" ht="43.2">
      <c r="A451" s="161" t="s">
        <v>2553</v>
      </c>
      <c r="B451" s="161" t="s">
        <v>1743</v>
      </c>
      <c r="C451" s="161" t="s">
        <v>1744</v>
      </c>
      <c r="D451" s="162">
        <v>43951</v>
      </c>
      <c r="E451" s="161" t="s">
        <v>2554</v>
      </c>
      <c r="F451" s="161" t="s">
        <v>2190</v>
      </c>
      <c r="G451" s="161">
        <v>3</v>
      </c>
      <c r="H451" s="161">
        <v>5</v>
      </c>
      <c r="I451" s="161">
        <v>11.4</v>
      </c>
      <c r="J451" s="161">
        <v>84</v>
      </c>
      <c r="K451" s="161">
        <v>15</v>
      </c>
      <c r="L451" s="163">
        <v>-1.67</v>
      </c>
      <c r="M451" s="163">
        <v>-3.06</v>
      </c>
      <c r="N451" s="161">
        <v>0.25</v>
      </c>
      <c r="O451" s="164" t="s">
        <v>1760</v>
      </c>
    </row>
    <row r="452" spans="1:15" ht="43.2">
      <c r="A452" s="161" t="s">
        <v>2555</v>
      </c>
      <c r="B452" s="161" t="s">
        <v>1752</v>
      </c>
      <c r="C452" s="161" t="s">
        <v>1744</v>
      </c>
      <c r="D452" s="162">
        <v>44119</v>
      </c>
      <c r="E452" s="161" t="s">
        <v>2302</v>
      </c>
      <c r="F452" s="161" t="s">
        <v>2190</v>
      </c>
      <c r="G452" s="161">
        <v>1</v>
      </c>
      <c r="H452" s="161">
        <v>5</v>
      </c>
      <c r="I452" s="161">
        <v>9.4</v>
      </c>
      <c r="J452" s="161">
        <v>80</v>
      </c>
      <c r="K452" s="161">
        <v>14.6</v>
      </c>
      <c r="L452" s="163">
        <v>-3.13</v>
      </c>
      <c r="M452" s="163">
        <v>-3.76</v>
      </c>
      <c r="N452" s="161">
        <v>-1.45</v>
      </c>
      <c r="O452" s="164" t="s">
        <v>1760</v>
      </c>
    </row>
    <row r="453" spans="1:15" ht="43.2">
      <c r="A453" s="161" t="s">
        <v>2556</v>
      </c>
      <c r="B453" s="161" t="s">
        <v>1743</v>
      </c>
      <c r="C453" s="161" t="s">
        <v>1744</v>
      </c>
      <c r="D453" s="162">
        <v>44130</v>
      </c>
      <c r="E453" s="161" t="s">
        <v>2557</v>
      </c>
      <c r="F453" s="161" t="s">
        <v>2190</v>
      </c>
      <c r="G453" s="161">
        <v>1</v>
      </c>
      <c r="H453" s="161">
        <v>5</v>
      </c>
      <c r="I453" s="161">
        <v>9</v>
      </c>
      <c r="J453" s="161">
        <v>84</v>
      </c>
      <c r="K453" s="161">
        <v>13</v>
      </c>
      <c r="L453" s="163">
        <v>-3.05</v>
      </c>
      <c r="M453" s="163">
        <v>-2.13</v>
      </c>
      <c r="N453" s="161">
        <v>-2.5</v>
      </c>
      <c r="O453" s="164" t="s">
        <v>1747</v>
      </c>
    </row>
    <row r="454" spans="1:15" ht="43.2">
      <c r="A454" s="161" t="s">
        <v>2558</v>
      </c>
      <c r="B454" s="161" t="s">
        <v>1743</v>
      </c>
      <c r="C454" s="161" t="s">
        <v>1749</v>
      </c>
      <c r="D454" s="162">
        <v>43646</v>
      </c>
      <c r="E454" s="161" t="s">
        <v>2559</v>
      </c>
      <c r="F454" s="161" t="s">
        <v>2190</v>
      </c>
      <c r="G454" s="161">
        <v>3</v>
      </c>
      <c r="H454" s="161">
        <v>5</v>
      </c>
      <c r="I454" s="161">
        <v>13</v>
      </c>
      <c r="J454" s="161">
        <v>92</v>
      </c>
      <c r="K454" s="161">
        <v>15.4</v>
      </c>
      <c r="L454" s="163">
        <v>-1.52</v>
      </c>
      <c r="M454" s="163">
        <v>-2.4</v>
      </c>
      <c r="N454" s="161">
        <v>-0.12</v>
      </c>
      <c r="O454" s="164" t="s">
        <v>1760</v>
      </c>
    </row>
    <row r="455" spans="1:15" ht="43.2">
      <c r="A455" s="161" t="s">
        <v>2560</v>
      </c>
      <c r="B455" s="161" t="s">
        <v>1752</v>
      </c>
      <c r="C455" s="161" t="s">
        <v>1749</v>
      </c>
      <c r="D455" s="162">
        <v>43888</v>
      </c>
      <c r="E455" s="161" t="s">
        <v>2561</v>
      </c>
      <c r="F455" s="161" t="s">
        <v>2190</v>
      </c>
      <c r="G455" s="161">
        <v>1</v>
      </c>
      <c r="H455" s="161">
        <v>5</v>
      </c>
      <c r="I455" s="161">
        <v>8.9</v>
      </c>
      <c r="J455" s="161">
        <v>85.3</v>
      </c>
      <c r="K455" s="161">
        <v>11.8</v>
      </c>
      <c r="L455" s="163">
        <v>-4.0999999999999996</v>
      </c>
      <c r="M455" s="163">
        <v>-3.34</v>
      </c>
      <c r="N455" s="161">
        <v>-3.53</v>
      </c>
      <c r="O455" s="164" t="s">
        <v>1790</v>
      </c>
    </row>
    <row r="456" spans="1:15" ht="43.2">
      <c r="A456" s="161" t="s">
        <v>2562</v>
      </c>
      <c r="B456" s="161" t="s">
        <v>1752</v>
      </c>
      <c r="C456" s="161" t="s">
        <v>1749</v>
      </c>
      <c r="D456" s="162">
        <v>43848</v>
      </c>
      <c r="E456" s="161" t="s">
        <v>2563</v>
      </c>
      <c r="F456" s="161" t="s">
        <v>2190</v>
      </c>
      <c r="G456" s="161">
        <v>2</v>
      </c>
      <c r="H456" s="161">
        <v>1</v>
      </c>
      <c r="I456" s="161">
        <v>10.3</v>
      </c>
      <c r="J456" s="161">
        <v>87.5</v>
      </c>
      <c r="K456" s="161">
        <v>14.3</v>
      </c>
      <c r="L456" s="163">
        <v>-3.16</v>
      </c>
      <c r="M456" s="163">
        <v>-2.96</v>
      </c>
      <c r="N456" s="161">
        <v>-2.25</v>
      </c>
      <c r="O456" s="164" t="s">
        <v>1747</v>
      </c>
    </row>
    <row r="457" spans="1:15" ht="43.2">
      <c r="A457" s="161" t="s">
        <v>2564</v>
      </c>
      <c r="B457" s="161" t="s">
        <v>1743</v>
      </c>
      <c r="C457" s="161" t="s">
        <v>1749</v>
      </c>
      <c r="D457" s="162">
        <v>43821</v>
      </c>
      <c r="E457" s="161" t="s">
        <v>2565</v>
      </c>
      <c r="F457" s="161" t="s">
        <v>2190</v>
      </c>
      <c r="G457" s="161">
        <v>3</v>
      </c>
      <c r="H457" s="161">
        <v>1</v>
      </c>
      <c r="I457" s="161">
        <v>8.9</v>
      </c>
      <c r="J457" s="161">
        <v>85.1</v>
      </c>
      <c r="K457" s="161">
        <v>11.8</v>
      </c>
      <c r="L457" s="163">
        <v>-4.0199999999999996</v>
      </c>
      <c r="M457" s="163">
        <v>-3.39</v>
      </c>
      <c r="N457" s="161">
        <v>-2.94</v>
      </c>
      <c r="O457" s="164" t="s">
        <v>1747</v>
      </c>
    </row>
    <row r="458" spans="1:15" ht="43.2">
      <c r="A458" s="161" t="s">
        <v>2566</v>
      </c>
      <c r="B458" s="161" t="s">
        <v>1752</v>
      </c>
      <c r="C458" s="161" t="s">
        <v>1786</v>
      </c>
      <c r="D458" s="162">
        <v>43333</v>
      </c>
      <c r="E458" s="161" t="s">
        <v>2567</v>
      </c>
      <c r="F458" s="161" t="s">
        <v>2190</v>
      </c>
      <c r="G458" s="161">
        <v>3</v>
      </c>
      <c r="H458" s="161">
        <v>1</v>
      </c>
      <c r="I458" s="161">
        <v>13.05</v>
      </c>
      <c r="J458" s="161">
        <v>96.7</v>
      </c>
      <c r="K458" s="161">
        <v>15.3</v>
      </c>
      <c r="L458" s="163">
        <v>-2.44</v>
      </c>
      <c r="M458" s="163">
        <v>-2.63</v>
      </c>
      <c r="N458" s="161">
        <v>-1.31</v>
      </c>
      <c r="O458" s="164" t="s">
        <v>1760</v>
      </c>
    </row>
    <row r="459" spans="1:15" ht="57.6">
      <c r="A459" s="161" t="s">
        <v>2568</v>
      </c>
      <c r="B459" s="161" t="s">
        <v>1743</v>
      </c>
      <c r="C459" s="161" t="s">
        <v>2055</v>
      </c>
      <c r="D459" s="162">
        <v>44889</v>
      </c>
      <c r="E459" s="161" t="s">
        <v>2569</v>
      </c>
      <c r="F459" s="161" t="s">
        <v>2190</v>
      </c>
      <c r="G459" s="161">
        <v>3</v>
      </c>
      <c r="H459" s="161">
        <v>1</v>
      </c>
      <c r="I459" s="161">
        <v>6.6</v>
      </c>
      <c r="J459" s="161">
        <v>61</v>
      </c>
      <c r="K459" s="161">
        <v>14</v>
      </c>
      <c r="L459" s="163">
        <v>-0.97</v>
      </c>
      <c r="M459" s="163">
        <v>-2.31</v>
      </c>
      <c r="N459" s="161">
        <v>0.8</v>
      </c>
      <c r="O459" s="164" t="s">
        <v>1760</v>
      </c>
    </row>
    <row r="460" spans="1:15" ht="43.2">
      <c r="A460" s="161" t="s">
        <v>2570</v>
      </c>
      <c r="B460" s="161" t="s">
        <v>1752</v>
      </c>
      <c r="C460" s="161" t="s">
        <v>1755</v>
      </c>
      <c r="D460" s="162">
        <v>44389</v>
      </c>
      <c r="E460" s="161" t="s">
        <v>2571</v>
      </c>
      <c r="F460" s="161" t="s">
        <v>2190</v>
      </c>
      <c r="G460" s="161">
        <v>7</v>
      </c>
      <c r="H460" s="161">
        <v>1</v>
      </c>
      <c r="I460" s="161">
        <v>7.6</v>
      </c>
      <c r="J460" s="161">
        <v>74</v>
      </c>
      <c r="K460" s="161"/>
      <c r="L460" s="163">
        <v>-2.42</v>
      </c>
      <c r="M460" s="163">
        <v>-1.3</v>
      </c>
      <c r="N460" s="161">
        <v>-2.52</v>
      </c>
      <c r="O460" s="164" t="s">
        <v>1747</v>
      </c>
    </row>
    <row r="461" spans="1:15" ht="43.2">
      <c r="A461" s="161" t="s">
        <v>2572</v>
      </c>
      <c r="B461" s="161" t="s">
        <v>1752</v>
      </c>
      <c r="C461" s="161" t="s">
        <v>1749</v>
      </c>
      <c r="D461" s="162">
        <v>43848</v>
      </c>
      <c r="E461" s="161" t="s">
        <v>2573</v>
      </c>
      <c r="F461" s="161" t="s">
        <v>2190</v>
      </c>
      <c r="G461" s="161">
        <v>2</v>
      </c>
      <c r="H461" s="161">
        <v>2</v>
      </c>
      <c r="I461" s="161">
        <v>8.9</v>
      </c>
      <c r="J461" s="161">
        <v>83</v>
      </c>
      <c r="K461" s="161">
        <v>13.5</v>
      </c>
      <c r="L461" s="163">
        <v>-3.49</v>
      </c>
      <c r="M461" s="163">
        <v>-2.79</v>
      </c>
      <c r="N461" s="161">
        <v>-2.91</v>
      </c>
      <c r="O461" s="164" t="s">
        <v>1747</v>
      </c>
    </row>
    <row r="462" spans="1:15" ht="43.2">
      <c r="A462" s="161" t="s">
        <v>2574</v>
      </c>
      <c r="B462" s="161" t="s">
        <v>1743</v>
      </c>
      <c r="C462" s="161" t="s">
        <v>1744</v>
      </c>
      <c r="D462" s="162">
        <v>44120</v>
      </c>
      <c r="E462" s="161" t="s">
        <v>2575</v>
      </c>
      <c r="F462" s="161" t="s">
        <v>2190</v>
      </c>
      <c r="G462" s="161">
        <v>4</v>
      </c>
      <c r="H462" s="161">
        <v>2</v>
      </c>
      <c r="I462" s="161">
        <v>9</v>
      </c>
      <c r="J462" s="161">
        <v>83.2</v>
      </c>
      <c r="K462" s="161">
        <v>15</v>
      </c>
      <c r="L462" s="163">
        <v>-1.73</v>
      </c>
      <c r="M462" s="163">
        <v>-0.46</v>
      </c>
      <c r="N462" s="161">
        <v>-2.11</v>
      </c>
      <c r="O462" s="164" t="s">
        <v>1747</v>
      </c>
    </row>
    <row r="463" spans="1:15" ht="43.2">
      <c r="A463" s="161" t="s">
        <v>2576</v>
      </c>
      <c r="B463" s="161" t="s">
        <v>1743</v>
      </c>
      <c r="C463" s="161" t="s">
        <v>1749</v>
      </c>
      <c r="D463" s="162">
        <v>43893</v>
      </c>
      <c r="E463" s="161" t="s">
        <v>2577</v>
      </c>
      <c r="F463" s="161" t="s">
        <v>2190</v>
      </c>
      <c r="G463" s="161">
        <v>7</v>
      </c>
      <c r="H463" s="161">
        <v>2</v>
      </c>
      <c r="I463" s="161">
        <v>9.5</v>
      </c>
      <c r="J463" s="161">
        <v>85</v>
      </c>
      <c r="K463" s="161">
        <v>14</v>
      </c>
      <c r="L463" s="163">
        <v>-2.35</v>
      </c>
      <c r="M463" s="163">
        <v>-1.51</v>
      </c>
      <c r="N463" s="161">
        <v>-2.12</v>
      </c>
      <c r="O463" s="164" t="s">
        <v>1747</v>
      </c>
    </row>
    <row r="464" spans="1:15" ht="43.2">
      <c r="A464" s="161" t="s">
        <v>2578</v>
      </c>
      <c r="B464" s="161" t="s">
        <v>1743</v>
      </c>
      <c r="C464" s="161" t="s">
        <v>1749</v>
      </c>
      <c r="D464" s="162">
        <v>43821</v>
      </c>
      <c r="E464" s="161" t="s">
        <v>2579</v>
      </c>
      <c r="F464" s="161" t="s">
        <v>2190</v>
      </c>
      <c r="G464" s="161">
        <v>1</v>
      </c>
      <c r="H464" s="161">
        <v>5</v>
      </c>
      <c r="I464" s="161">
        <v>7.5</v>
      </c>
      <c r="J464" s="161">
        <v>78.5</v>
      </c>
      <c r="K464" s="161">
        <v>11.5</v>
      </c>
      <c r="L464" s="163">
        <v>-4.46</v>
      </c>
      <c r="M464" s="163">
        <v>-3.76</v>
      </c>
      <c r="N464" s="161">
        <v>-3.29</v>
      </c>
      <c r="O464" s="164" t="s">
        <v>1790</v>
      </c>
    </row>
    <row r="465" spans="1:15" ht="43.2">
      <c r="A465" s="161" t="s">
        <v>2580</v>
      </c>
      <c r="B465" s="161" t="s">
        <v>1743</v>
      </c>
      <c r="C465" s="161" t="s">
        <v>1749</v>
      </c>
      <c r="D465" s="162">
        <v>43645</v>
      </c>
      <c r="E465" s="161" t="s">
        <v>2581</v>
      </c>
      <c r="F465" s="161" t="s">
        <v>2190</v>
      </c>
      <c r="G465" s="161">
        <v>1</v>
      </c>
      <c r="H465" s="161">
        <v>5</v>
      </c>
      <c r="I465" s="161">
        <v>9.3000000000000007</v>
      </c>
      <c r="J465" s="161">
        <v>84.5</v>
      </c>
      <c r="K465" s="161"/>
      <c r="L465" s="163">
        <v>-3.38</v>
      </c>
      <c r="M465" s="163">
        <v>-2.96</v>
      </c>
      <c r="N465" s="161">
        <v>-2.2400000000000002</v>
      </c>
      <c r="O465" s="164" t="s">
        <v>1747</v>
      </c>
    </row>
    <row r="466" spans="1:15" ht="43.2">
      <c r="A466" s="161" t="s">
        <v>2582</v>
      </c>
      <c r="B466" s="161" t="s">
        <v>1743</v>
      </c>
      <c r="C466" s="161" t="s">
        <v>1779</v>
      </c>
      <c r="D466" s="162">
        <v>43191</v>
      </c>
      <c r="E466" s="161" t="s">
        <v>2583</v>
      </c>
      <c r="F466" s="161" t="s">
        <v>2190</v>
      </c>
      <c r="G466" s="161">
        <v>2</v>
      </c>
      <c r="H466" s="161">
        <v>5</v>
      </c>
      <c r="I466" s="161">
        <v>8.6</v>
      </c>
      <c r="J466" s="161">
        <v>88</v>
      </c>
      <c r="K466" s="161">
        <v>11.5</v>
      </c>
      <c r="L466" s="163">
        <v>-4.7699999999999996</v>
      </c>
      <c r="M466" s="163">
        <v>-4.01</v>
      </c>
      <c r="N466" s="161">
        <v>-3.86</v>
      </c>
      <c r="O466" s="164" t="s">
        <v>1790</v>
      </c>
    </row>
    <row r="467" spans="1:15" ht="43.2">
      <c r="A467" s="161" t="s">
        <v>2584</v>
      </c>
      <c r="B467" s="161" t="s">
        <v>1752</v>
      </c>
      <c r="C467" s="161" t="s">
        <v>1786</v>
      </c>
      <c r="D467" s="162">
        <v>43288</v>
      </c>
      <c r="E467" s="161" t="s">
        <v>2313</v>
      </c>
      <c r="F467" s="161" t="s">
        <v>1781</v>
      </c>
      <c r="G467" s="161">
        <v>2</v>
      </c>
      <c r="H467" s="161">
        <v>11</v>
      </c>
      <c r="I467" s="161">
        <v>12.1</v>
      </c>
      <c r="J467" s="161">
        <v>95.5</v>
      </c>
      <c r="K467" s="161">
        <v>15</v>
      </c>
      <c r="L467" s="163">
        <v>-2.48</v>
      </c>
      <c r="M467" s="163">
        <v>-2</v>
      </c>
      <c r="N467" s="161">
        <v>-2.02</v>
      </c>
      <c r="O467" s="164" t="s">
        <v>1747</v>
      </c>
    </row>
    <row r="468" spans="1:15" ht="43.2">
      <c r="A468" s="161" t="s">
        <v>2585</v>
      </c>
      <c r="B468" s="161" t="s">
        <v>1752</v>
      </c>
      <c r="C468" s="161" t="s">
        <v>1749</v>
      </c>
      <c r="D468" s="162">
        <v>43703</v>
      </c>
      <c r="E468" s="161" t="s">
        <v>2310</v>
      </c>
      <c r="F468" s="161" t="s">
        <v>1781</v>
      </c>
      <c r="G468" s="161">
        <v>1</v>
      </c>
      <c r="H468" s="161">
        <v>11</v>
      </c>
      <c r="I468" s="161">
        <v>9.3000000000000007</v>
      </c>
      <c r="J468" s="161">
        <v>87.5</v>
      </c>
      <c r="K468" s="161">
        <v>11.5</v>
      </c>
      <c r="L468" s="163">
        <v>-3.53</v>
      </c>
      <c r="M468" s="163">
        <v>-2.25</v>
      </c>
      <c r="N468" s="161">
        <v>-3.57</v>
      </c>
      <c r="O468" s="164" t="s">
        <v>1790</v>
      </c>
    </row>
    <row r="469" spans="1:15" ht="43.2">
      <c r="A469" s="161" t="s">
        <v>2586</v>
      </c>
      <c r="B469" s="161" t="s">
        <v>1752</v>
      </c>
      <c r="C469" s="161" t="s">
        <v>1779</v>
      </c>
      <c r="D469" s="162">
        <v>43091</v>
      </c>
      <c r="E469" s="161" t="s">
        <v>2131</v>
      </c>
      <c r="F469" s="161" t="s">
        <v>1781</v>
      </c>
      <c r="G469" s="161">
        <v>2</v>
      </c>
      <c r="H469" s="161">
        <v>11</v>
      </c>
      <c r="I469" s="161">
        <v>12.85</v>
      </c>
      <c r="J469" s="161">
        <v>101.5</v>
      </c>
      <c r="K469" s="161">
        <v>14.1</v>
      </c>
      <c r="L469" s="163">
        <v>-2.44</v>
      </c>
      <c r="M469" s="163">
        <v>-1.36</v>
      </c>
      <c r="N469" s="161">
        <v>-2.57</v>
      </c>
      <c r="O469" s="164" t="s">
        <v>1747</v>
      </c>
    </row>
    <row r="470" spans="1:15" ht="43.2">
      <c r="A470" s="161" t="s">
        <v>2587</v>
      </c>
      <c r="B470" s="161" t="s">
        <v>1752</v>
      </c>
      <c r="C470" s="161" t="s">
        <v>1749</v>
      </c>
      <c r="D470" s="162">
        <v>43612</v>
      </c>
      <c r="E470" s="161" t="s">
        <v>2308</v>
      </c>
      <c r="F470" s="161" t="s">
        <v>1781</v>
      </c>
      <c r="G470" s="161">
        <v>4</v>
      </c>
      <c r="H470" s="161">
        <v>2</v>
      </c>
      <c r="I470" s="161">
        <v>10.85</v>
      </c>
      <c r="J470" s="161">
        <v>89.7</v>
      </c>
      <c r="K470" s="161">
        <v>13.4</v>
      </c>
      <c r="L470" s="163">
        <v>-2.5499999999999998</v>
      </c>
      <c r="M470" s="163">
        <v>-2.1</v>
      </c>
      <c r="N470" s="161">
        <v>-2.13</v>
      </c>
      <c r="O470" s="164" t="s">
        <v>1747</v>
      </c>
    </row>
    <row r="471" spans="1:15" ht="43.2">
      <c r="A471" s="161" t="s">
        <v>2588</v>
      </c>
      <c r="B471" s="161" t="s">
        <v>1752</v>
      </c>
      <c r="C471" s="161" t="s">
        <v>1786</v>
      </c>
      <c r="D471" s="162">
        <v>43298</v>
      </c>
      <c r="E471" s="161" t="s">
        <v>2196</v>
      </c>
      <c r="F471" s="161" t="s">
        <v>1781</v>
      </c>
      <c r="G471" s="161">
        <v>3</v>
      </c>
      <c r="H471" s="161">
        <v>2</v>
      </c>
      <c r="I471" s="161">
        <v>10.3</v>
      </c>
      <c r="J471" s="161">
        <v>88.5</v>
      </c>
      <c r="K471" s="161">
        <v>13.5</v>
      </c>
      <c r="L471" s="163">
        <v>-3.69</v>
      </c>
      <c r="M471" s="163">
        <v>-3.62</v>
      </c>
      <c r="N471" s="161">
        <v>-2.52</v>
      </c>
      <c r="O471" s="164" t="s">
        <v>1747</v>
      </c>
    </row>
    <row r="472" spans="1:15" ht="43.2">
      <c r="A472" s="161" t="s">
        <v>2589</v>
      </c>
      <c r="B472" s="161" t="s">
        <v>1743</v>
      </c>
      <c r="C472" s="161" t="s">
        <v>1749</v>
      </c>
      <c r="D472" s="162">
        <v>43853</v>
      </c>
      <c r="E472" s="161" t="s">
        <v>2119</v>
      </c>
      <c r="F472" s="161" t="s">
        <v>1781</v>
      </c>
      <c r="G472" s="161">
        <v>2</v>
      </c>
      <c r="H472" s="161">
        <v>2</v>
      </c>
      <c r="I472" s="161">
        <v>9.3000000000000007</v>
      </c>
      <c r="J472" s="161">
        <v>84.5</v>
      </c>
      <c r="K472" s="161"/>
      <c r="L472" s="163">
        <v>-2.68</v>
      </c>
      <c r="M472" s="163">
        <v>-1.87</v>
      </c>
      <c r="N472" s="161">
        <v>-2.2400000000000002</v>
      </c>
      <c r="O472" s="164" t="s">
        <v>1747</v>
      </c>
    </row>
    <row r="473" spans="1:15" ht="43.2">
      <c r="A473" s="161" t="s">
        <v>2590</v>
      </c>
      <c r="B473" s="161" t="s">
        <v>1743</v>
      </c>
      <c r="C473" s="161" t="s">
        <v>1749</v>
      </c>
      <c r="D473" s="162">
        <v>43664</v>
      </c>
      <c r="E473" s="161" t="s">
        <v>2591</v>
      </c>
      <c r="F473" s="161" t="s">
        <v>1781</v>
      </c>
      <c r="G473" s="161">
        <v>1</v>
      </c>
      <c r="H473" s="161">
        <v>11</v>
      </c>
      <c r="I473" s="161">
        <v>10.6</v>
      </c>
      <c r="J473" s="161">
        <v>90</v>
      </c>
      <c r="K473" s="161"/>
      <c r="L473" s="163">
        <v>-2.2599999999999998</v>
      </c>
      <c r="M473" s="163">
        <v>-1.48</v>
      </c>
      <c r="N473" s="161">
        <v>-2.0499999999999998</v>
      </c>
      <c r="O473" s="164" t="s">
        <v>1747</v>
      </c>
    </row>
    <row r="474" spans="1:15" ht="43.2">
      <c r="A474" s="161" t="s">
        <v>2592</v>
      </c>
      <c r="B474" s="161" t="s">
        <v>1743</v>
      </c>
      <c r="C474" s="161" t="s">
        <v>1786</v>
      </c>
      <c r="D474" s="162">
        <v>43528</v>
      </c>
      <c r="E474" s="161" t="s">
        <v>2320</v>
      </c>
      <c r="F474" s="161" t="s">
        <v>1781</v>
      </c>
      <c r="G474" s="161">
        <v>3</v>
      </c>
      <c r="H474" s="161">
        <v>11</v>
      </c>
      <c r="I474" s="161">
        <v>10.8</v>
      </c>
      <c r="J474" s="161">
        <v>91</v>
      </c>
      <c r="K474" s="161">
        <v>14.2</v>
      </c>
      <c r="L474" s="163">
        <v>-2.5</v>
      </c>
      <c r="M474" s="163">
        <v>-1.86</v>
      </c>
      <c r="N474" s="161">
        <v>-2.06</v>
      </c>
      <c r="O474" s="164" t="s">
        <v>1747</v>
      </c>
    </row>
    <row r="475" spans="1:15" ht="57.6">
      <c r="A475" s="161" t="s">
        <v>2593</v>
      </c>
      <c r="B475" s="161" t="s">
        <v>1752</v>
      </c>
      <c r="C475" s="161" t="s">
        <v>1744</v>
      </c>
      <c r="D475" s="162">
        <v>44180</v>
      </c>
      <c r="E475" s="161" t="s">
        <v>2594</v>
      </c>
      <c r="F475" s="161" t="s">
        <v>1781</v>
      </c>
      <c r="G475" s="161">
        <v>6</v>
      </c>
      <c r="H475" s="161">
        <v>14</v>
      </c>
      <c r="I475" s="161">
        <v>8.6999999999999993</v>
      </c>
      <c r="J475" s="161">
        <v>80.2</v>
      </c>
      <c r="K475" s="161">
        <v>13.5</v>
      </c>
      <c r="L475" s="163">
        <v>-2.33</v>
      </c>
      <c r="M475" s="163">
        <v>-1.34</v>
      </c>
      <c r="N475" s="161">
        <v>-2.3199999999999998</v>
      </c>
      <c r="O475" s="164" t="s">
        <v>1747</v>
      </c>
    </row>
    <row r="476" spans="1:15" ht="43.2">
      <c r="A476" s="161" t="s">
        <v>2595</v>
      </c>
      <c r="B476" s="161" t="s">
        <v>1752</v>
      </c>
      <c r="C476" s="161" t="s">
        <v>1755</v>
      </c>
      <c r="D476" s="162">
        <v>44364</v>
      </c>
      <c r="E476" s="161" t="s">
        <v>2596</v>
      </c>
      <c r="F476" s="161" t="s">
        <v>1781</v>
      </c>
      <c r="G476" s="161">
        <v>2</v>
      </c>
      <c r="H476" s="161">
        <v>13</v>
      </c>
      <c r="I476" s="161">
        <v>9.1</v>
      </c>
      <c r="J476" s="161">
        <v>78.599999999999994</v>
      </c>
      <c r="K476" s="161">
        <v>14</v>
      </c>
      <c r="L476" s="163">
        <v>-2.48</v>
      </c>
      <c r="M476" s="163">
        <v>-2.92</v>
      </c>
      <c r="N476" s="161">
        <v>-1.39</v>
      </c>
      <c r="O476" s="164" t="s">
        <v>1760</v>
      </c>
    </row>
    <row r="477" spans="1:15" ht="43.2">
      <c r="A477" s="161" t="s">
        <v>2597</v>
      </c>
      <c r="B477" s="161" t="s">
        <v>1743</v>
      </c>
      <c r="C477" s="161" t="s">
        <v>1755</v>
      </c>
      <c r="D477" s="162">
        <v>44541</v>
      </c>
      <c r="E477" s="161" t="s">
        <v>2328</v>
      </c>
      <c r="F477" s="161" t="s">
        <v>1784</v>
      </c>
      <c r="G477" s="161">
        <v>3</v>
      </c>
      <c r="H477" s="161">
        <v>4</v>
      </c>
      <c r="I477" s="161">
        <v>8.5</v>
      </c>
      <c r="J477" s="161">
        <v>72.400000000000006</v>
      </c>
      <c r="K477" s="161">
        <v>15</v>
      </c>
      <c r="L477" s="163">
        <v>-1.5</v>
      </c>
      <c r="M477" s="163">
        <v>-2.79</v>
      </c>
      <c r="N477" s="161">
        <v>-0.19</v>
      </c>
      <c r="O477" s="164" t="s">
        <v>1760</v>
      </c>
    </row>
    <row r="478" spans="1:15" ht="28.8">
      <c r="A478" s="161" t="s">
        <v>2598</v>
      </c>
      <c r="B478" s="161" t="s">
        <v>1752</v>
      </c>
      <c r="C478" s="161" t="s">
        <v>1755</v>
      </c>
      <c r="D478" s="162">
        <v>44522</v>
      </c>
      <c r="E478" s="161" t="s">
        <v>1802</v>
      </c>
      <c r="F478" s="161" t="s">
        <v>1784</v>
      </c>
      <c r="G478" s="161">
        <v>3</v>
      </c>
      <c r="H478" s="161">
        <v>7</v>
      </c>
      <c r="I478" s="161">
        <v>8.24</v>
      </c>
      <c r="J478" s="161">
        <v>73.3</v>
      </c>
      <c r="K478" s="161">
        <v>13.5</v>
      </c>
      <c r="L478" s="163">
        <v>-2.6</v>
      </c>
      <c r="M478" s="163">
        <v>-3.44</v>
      </c>
      <c r="N478" s="161">
        <v>-1.29</v>
      </c>
      <c r="O478" s="164" t="s">
        <v>1760</v>
      </c>
    </row>
    <row r="479" spans="1:15" ht="28.8">
      <c r="A479" s="161" t="s">
        <v>2599</v>
      </c>
      <c r="B479" s="161" t="s">
        <v>1743</v>
      </c>
      <c r="C479" s="161" t="s">
        <v>1749</v>
      </c>
      <c r="D479" s="162">
        <v>43584</v>
      </c>
      <c r="E479" s="161" t="s">
        <v>2036</v>
      </c>
      <c r="F479" s="161" t="s">
        <v>1784</v>
      </c>
      <c r="G479" s="161">
        <v>2</v>
      </c>
      <c r="H479" s="161">
        <v>4</v>
      </c>
      <c r="I479" s="161">
        <v>10.4</v>
      </c>
      <c r="J479" s="161">
        <v>84.7</v>
      </c>
      <c r="K479" s="161">
        <v>13</v>
      </c>
      <c r="L479" s="163">
        <v>-3.41</v>
      </c>
      <c r="M479" s="163">
        <v>-4.3099999999999996</v>
      </c>
      <c r="N479" s="161">
        <v>-0.97</v>
      </c>
      <c r="O479" s="164" t="s">
        <v>1760</v>
      </c>
    </row>
    <row r="480" spans="1:15" ht="28.8">
      <c r="A480" s="161" t="s">
        <v>2600</v>
      </c>
      <c r="B480" s="161" t="s">
        <v>1743</v>
      </c>
      <c r="C480" s="161" t="s">
        <v>1744</v>
      </c>
      <c r="D480" s="162">
        <v>43992</v>
      </c>
      <c r="E480" s="161" t="s">
        <v>1798</v>
      </c>
      <c r="F480" s="161" t="s">
        <v>1784</v>
      </c>
      <c r="G480" s="161">
        <v>4</v>
      </c>
      <c r="H480" s="161">
        <v>5</v>
      </c>
      <c r="I480" s="161">
        <v>11.35</v>
      </c>
      <c r="J480" s="161">
        <v>85</v>
      </c>
      <c r="K480" s="161">
        <v>13.2</v>
      </c>
      <c r="L480" s="163">
        <v>-1.57</v>
      </c>
      <c r="M480" s="163">
        <v>-2.61</v>
      </c>
      <c r="N480" s="161">
        <v>-0.04</v>
      </c>
      <c r="O480" s="164" t="s">
        <v>1760</v>
      </c>
    </row>
    <row r="481" spans="1:15" ht="28.8">
      <c r="A481" s="161" t="s">
        <v>2601</v>
      </c>
      <c r="B481" s="161" t="s">
        <v>1743</v>
      </c>
      <c r="C481" s="161" t="s">
        <v>1744</v>
      </c>
      <c r="D481" s="162">
        <v>43992</v>
      </c>
      <c r="E481" s="161" t="s">
        <v>2326</v>
      </c>
      <c r="F481" s="161" t="s">
        <v>1784</v>
      </c>
      <c r="G481" s="161">
        <v>7</v>
      </c>
      <c r="H481" s="161">
        <v>7</v>
      </c>
      <c r="I481" s="161">
        <v>10.4</v>
      </c>
      <c r="J481" s="161">
        <v>83.4</v>
      </c>
      <c r="K481" s="161">
        <v>14</v>
      </c>
      <c r="L481" s="163">
        <v>-2.2999999999999998</v>
      </c>
      <c r="M481" s="163">
        <v>-3.03</v>
      </c>
      <c r="N481" s="161">
        <v>-0.64</v>
      </c>
      <c r="O481" s="164" t="s">
        <v>1760</v>
      </c>
    </row>
    <row r="482" spans="1:15" ht="43.2">
      <c r="A482" s="161" t="s">
        <v>2602</v>
      </c>
      <c r="B482" s="161" t="s">
        <v>1752</v>
      </c>
      <c r="C482" s="161" t="s">
        <v>1749</v>
      </c>
      <c r="D482" s="162">
        <v>43841</v>
      </c>
      <c r="E482" s="161" t="s">
        <v>1907</v>
      </c>
      <c r="F482" s="161" t="s">
        <v>1784</v>
      </c>
      <c r="G482" s="161">
        <v>3</v>
      </c>
      <c r="H482" s="161">
        <v>2</v>
      </c>
      <c r="I482" s="161">
        <v>11.2</v>
      </c>
      <c r="J482" s="161">
        <v>91</v>
      </c>
      <c r="K482" s="161">
        <v>14.5</v>
      </c>
      <c r="L482" s="163">
        <v>-2.4700000000000002</v>
      </c>
      <c r="M482" s="163">
        <v>-2.0699999999999998</v>
      </c>
      <c r="N482" s="161">
        <v>-2.0299999999999998</v>
      </c>
      <c r="O482" s="164" t="s">
        <v>1747</v>
      </c>
    </row>
    <row r="483" spans="1:15" ht="28.8">
      <c r="A483" s="161" t="s">
        <v>2603</v>
      </c>
      <c r="B483" s="161" t="s">
        <v>1752</v>
      </c>
      <c r="C483" s="161" t="s">
        <v>1786</v>
      </c>
      <c r="D483" s="162">
        <v>43364</v>
      </c>
      <c r="E483" s="161" t="s">
        <v>2338</v>
      </c>
      <c r="F483" s="161" t="s">
        <v>1784</v>
      </c>
      <c r="G483" s="161">
        <v>1</v>
      </c>
      <c r="H483" s="161">
        <v>4</v>
      </c>
      <c r="I483" s="161">
        <v>11.5</v>
      </c>
      <c r="J483" s="161">
        <v>86.6</v>
      </c>
      <c r="K483" s="161">
        <v>15</v>
      </c>
      <c r="L483" s="163">
        <v>-3.33</v>
      </c>
      <c r="M483" s="163">
        <v>-4.75</v>
      </c>
      <c r="N483" s="161">
        <v>-0.6</v>
      </c>
      <c r="O483" s="164" t="s">
        <v>1760</v>
      </c>
    </row>
    <row r="484" spans="1:15" ht="28.8">
      <c r="A484" s="161" t="s">
        <v>2604</v>
      </c>
      <c r="B484" s="161" t="s">
        <v>1752</v>
      </c>
      <c r="C484" s="161" t="s">
        <v>1786</v>
      </c>
      <c r="D484" s="162">
        <v>43298</v>
      </c>
      <c r="E484" s="161" t="s">
        <v>2605</v>
      </c>
      <c r="F484" s="161" t="s">
        <v>1784</v>
      </c>
      <c r="G484" s="161">
        <v>2</v>
      </c>
      <c r="H484" s="161">
        <v>3</v>
      </c>
      <c r="I484" s="161">
        <v>11.2</v>
      </c>
      <c r="J484" s="161">
        <v>94.5</v>
      </c>
      <c r="K484" s="161">
        <v>14.2</v>
      </c>
      <c r="L484" s="163">
        <v>-3.62</v>
      </c>
      <c r="M484" s="163">
        <v>-3.21</v>
      </c>
      <c r="N484" s="161">
        <v>-2.83</v>
      </c>
      <c r="O484" s="164" t="s">
        <v>1747</v>
      </c>
    </row>
    <row r="485" spans="1:15" ht="28.8">
      <c r="A485" s="161" t="s">
        <v>2606</v>
      </c>
      <c r="B485" s="161" t="s">
        <v>1752</v>
      </c>
      <c r="C485" s="161" t="s">
        <v>1749</v>
      </c>
      <c r="D485" s="162">
        <v>43659</v>
      </c>
      <c r="E485" s="161" t="s">
        <v>2607</v>
      </c>
      <c r="F485" s="161" t="s">
        <v>1784</v>
      </c>
      <c r="G485" s="161">
        <v>1</v>
      </c>
      <c r="H485" s="161">
        <v>8</v>
      </c>
      <c r="I485" s="161">
        <v>12.2</v>
      </c>
      <c r="J485" s="161">
        <v>92</v>
      </c>
      <c r="K485" s="161">
        <v>14.7</v>
      </c>
      <c r="L485" s="163">
        <v>-2.2400000000000002</v>
      </c>
      <c r="M485" s="163">
        <v>-2.56</v>
      </c>
      <c r="N485" s="161">
        <v>-1.1399999999999999</v>
      </c>
      <c r="O485" s="164" t="s">
        <v>1760</v>
      </c>
    </row>
    <row r="486" spans="1:15" ht="28.8">
      <c r="A486" s="161" t="s">
        <v>2608</v>
      </c>
      <c r="B486" s="161" t="s">
        <v>1752</v>
      </c>
      <c r="C486" s="161" t="s">
        <v>2609</v>
      </c>
      <c r="D486" s="162">
        <v>45107</v>
      </c>
      <c r="E486" s="161" t="s">
        <v>2607</v>
      </c>
      <c r="F486" s="161" t="s">
        <v>1784</v>
      </c>
      <c r="G486" s="161">
        <v>1</v>
      </c>
      <c r="H486" s="161">
        <v>8</v>
      </c>
      <c r="I486" s="161">
        <v>3.5</v>
      </c>
      <c r="J486" s="161">
        <v>50</v>
      </c>
      <c r="K486" s="161"/>
      <c r="L486" s="163">
        <v>-1.75</v>
      </c>
      <c r="M486" s="163">
        <v>-2.04</v>
      </c>
      <c r="N486" s="161">
        <v>0.09</v>
      </c>
      <c r="O486" s="164" t="s">
        <v>1760</v>
      </c>
    </row>
    <row r="487" spans="1:15" ht="57.6">
      <c r="A487" s="161" t="s">
        <v>2610</v>
      </c>
      <c r="B487" s="161" t="s">
        <v>1752</v>
      </c>
      <c r="C487" s="161" t="s">
        <v>1755</v>
      </c>
      <c r="D487" s="162">
        <v>44370</v>
      </c>
      <c r="E487" s="161" t="s">
        <v>2611</v>
      </c>
      <c r="F487" s="161" t="s">
        <v>1807</v>
      </c>
      <c r="G487" s="161">
        <v>1</v>
      </c>
      <c r="H487" s="161">
        <v>4</v>
      </c>
      <c r="I487" s="161">
        <v>8.6</v>
      </c>
      <c r="J487" s="161">
        <v>79.400000000000006</v>
      </c>
      <c r="K487" s="161">
        <v>14.8</v>
      </c>
      <c r="L487" s="163">
        <v>-2.98</v>
      </c>
      <c r="M487" s="163">
        <v>-2.44</v>
      </c>
      <c r="N487" s="161">
        <v>-2.4500000000000002</v>
      </c>
      <c r="O487" s="164" t="s">
        <v>1747</v>
      </c>
    </row>
    <row r="488" spans="1:15" ht="43.2">
      <c r="A488" s="161" t="s">
        <v>2612</v>
      </c>
      <c r="B488" s="161" t="s">
        <v>1743</v>
      </c>
      <c r="C488" s="161" t="s">
        <v>1755</v>
      </c>
      <c r="D488" s="162">
        <v>44443</v>
      </c>
      <c r="E488" s="161" t="s">
        <v>1806</v>
      </c>
      <c r="F488" s="161" t="s">
        <v>1807</v>
      </c>
      <c r="G488" s="161">
        <v>11</v>
      </c>
      <c r="H488" s="161">
        <v>3</v>
      </c>
      <c r="I488" s="161">
        <v>8.8000000000000007</v>
      </c>
      <c r="J488" s="161">
        <v>75.5</v>
      </c>
      <c r="K488" s="161">
        <v>12.1</v>
      </c>
      <c r="L488" s="163">
        <v>-1.78</v>
      </c>
      <c r="M488" s="163">
        <v>-2.48</v>
      </c>
      <c r="N488" s="161">
        <v>-0.71</v>
      </c>
      <c r="O488" s="164" t="s">
        <v>1760</v>
      </c>
    </row>
    <row r="489" spans="1:15" ht="43.2">
      <c r="A489" s="161" t="s">
        <v>2613</v>
      </c>
      <c r="B489" s="161" t="s">
        <v>1752</v>
      </c>
      <c r="C489" s="161" t="s">
        <v>1744</v>
      </c>
      <c r="D489" s="162">
        <v>44296</v>
      </c>
      <c r="E489" s="161" t="s">
        <v>2343</v>
      </c>
      <c r="F489" s="161" t="s">
        <v>1807</v>
      </c>
      <c r="G489" s="161">
        <v>3</v>
      </c>
      <c r="H489" s="161">
        <v>2</v>
      </c>
      <c r="I489" s="161">
        <v>9.6999999999999993</v>
      </c>
      <c r="J489" s="161">
        <v>72.099999999999994</v>
      </c>
      <c r="K489" s="161"/>
      <c r="L489" s="163">
        <v>-2.2400000000000002</v>
      </c>
      <c r="M489" s="163">
        <v>-5.26</v>
      </c>
      <c r="N489" s="161">
        <v>0.84</v>
      </c>
      <c r="O489" s="164" t="s">
        <v>1760</v>
      </c>
    </row>
    <row r="490" spans="1:15" ht="43.2">
      <c r="A490" s="161" t="s">
        <v>2614</v>
      </c>
      <c r="B490" s="161" t="s">
        <v>1752</v>
      </c>
      <c r="C490" s="161" t="s">
        <v>1744</v>
      </c>
      <c r="D490" s="162">
        <v>44144</v>
      </c>
      <c r="E490" s="161" t="s">
        <v>2345</v>
      </c>
      <c r="F490" s="161" t="s">
        <v>1807</v>
      </c>
      <c r="G490" s="161">
        <v>1</v>
      </c>
      <c r="H490" s="161">
        <v>3</v>
      </c>
      <c r="I490" s="161">
        <v>8.9</v>
      </c>
      <c r="J490" s="161">
        <v>78</v>
      </c>
      <c r="K490" s="161">
        <v>14.5</v>
      </c>
      <c r="L490" s="163">
        <v>-3.5</v>
      </c>
      <c r="M490" s="163">
        <v>-4.25</v>
      </c>
      <c r="N490" s="161">
        <v>-1.69</v>
      </c>
      <c r="O490" s="164" t="s">
        <v>1760</v>
      </c>
    </row>
    <row r="491" spans="1:15" ht="43.2">
      <c r="A491" s="161" t="s">
        <v>2615</v>
      </c>
      <c r="B491" s="161" t="s">
        <v>1752</v>
      </c>
      <c r="C491" s="161" t="s">
        <v>1749</v>
      </c>
      <c r="D491" s="162">
        <v>43909</v>
      </c>
      <c r="E491" s="161" t="s">
        <v>2616</v>
      </c>
      <c r="F491" s="161" t="s">
        <v>1807</v>
      </c>
      <c r="G491" s="161">
        <v>4</v>
      </c>
      <c r="H491" s="161">
        <v>3</v>
      </c>
      <c r="I491" s="161">
        <v>11.1</v>
      </c>
      <c r="J491" s="161">
        <v>88.2</v>
      </c>
      <c r="K491" s="161">
        <v>14.2</v>
      </c>
      <c r="L491" s="163">
        <v>-2.35</v>
      </c>
      <c r="M491" s="163">
        <v>-2.48</v>
      </c>
      <c r="N491" s="161">
        <v>-1.46</v>
      </c>
      <c r="O491" s="164" t="s">
        <v>1760</v>
      </c>
    </row>
    <row r="492" spans="1:15" ht="43.2">
      <c r="A492" s="161" t="s">
        <v>2617</v>
      </c>
      <c r="B492" s="161" t="s">
        <v>1743</v>
      </c>
      <c r="C492" s="161" t="s">
        <v>1749</v>
      </c>
      <c r="D492" s="162">
        <v>43799</v>
      </c>
      <c r="E492" s="161" t="s">
        <v>2618</v>
      </c>
      <c r="F492" s="161" t="s">
        <v>1746</v>
      </c>
      <c r="G492" s="161">
        <v>6</v>
      </c>
      <c r="H492" s="161">
        <v>1</v>
      </c>
      <c r="I492" s="161">
        <v>11.9</v>
      </c>
      <c r="J492" s="161">
        <v>89</v>
      </c>
      <c r="K492" s="161">
        <v>15.1</v>
      </c>
      <c r="L492" s="163">
        <v>-1.82</v>
      </c>
      <c r="M492" s="163">
        <v>-2.52</v>
      </c>
      <c r="N492" s="161">
        <v>-0.46</v>
      </c>
      <c r="O492" s="164" t="s">
        <v>1760</v>
      </c>
    </row>
    <row r="493" spans="1:15" ht="28.8">
      <c r="A493" s="161" t="s">
        <v>2619</v>
      </c>
      <c r="B493" s="161" t="s">
        <v>1752</v>
      </c>
      <c r="C493" s="161" t="s">
        <v>1749</v>
      </c>
      <c r="D493" s="162">
        <v>43589</v>
      </c>
      <c r="E493" s="161" t="s">
        <v>2620</v>
      </c>
      <c r="F493" s="161" t="s">
        <v>1746</v>
      </c>
      <c r="G493" s="161">
        <v>4</v>
      </c>
      <c r="H493" s="161">
        <v>4</v>
      </c>
      <c r="I493" s="161">
        <v>11.9</v>
      </c>
      <c r="J493" s="161">
        <v>91.7</v>
      </c>
      <c r="K493" s="161">
        <v>14.5</v>
      </c>
      <c r="L493" s="163">
        <v>-2.63</v>
      </c>
      <c r="M493" s="163">
        <v>-2.91</v>
      </c>
      <c r="N493" s="161">
        <v>-1.4</v>
      </c>
      <c r="O493" s="164" t="s">
        <v>1760</v>
      </c>
    </row>
    <row r="494" spans="1:15" ht="43.2">
      <c r="A494" s="161" t="s">
        <v>2621</v>
      </c>
      <c r="B494" s="161" t="s">
        <v>1752</v>
      </c>
      <c r="C494" s="161" t="s">
        <v>1744</v>
      </c>
      <c r="D494" s="162">
        <v>44029</v>
      </c>
      <c r="E494" s="161" t="s">
        <v>2376</v>
      </c>
      <c r="F494" s="161" t="s">
        <v>1746</v>
      </c>
      <c r="G494" s="161">
        <v>4</v>
      </c>
      <c r="H494" s="161">
        <v>1</v>
      </c>
      <c r="I494" s="161">
        <v>11.4</v>
      </c>
      <c r="J494" s="161">
        <v>92</v>
      </c>
      <c r="K494" s="161"/>
      <c r="L494" s="163">
        <v>-0.78</v>
      </c>
      <c r="M494" s="163">
        <v>1.1100000000000001</v>
      </c>
      <c r="N494" s="161">
        <v>-2.0299999999999998</v>
      </c>
      <c r="O494" s="164" t="s">
        <v>1747</v>
      </c>
    </row>
    <row r="495" spans="1:15" ht="43.2">
      <c r="A495" s="161" t="s">
        <v>2622</v>
      </c>
      <c r="B495" s="161" t="s">
        <v>1743</v>
      </c>
      <c r="C495" s="161" t="s">
        <v>1744</v>
      </c>
      <c r="D495" s="162">
        <v>44312</v>
      </c>
      <c r="E495" s="161" t="s">
        <v>2623</v>
      </c>
      <c r="F495" s="161" t="s">
        <v>1746</v>
      </c>
      <c r="G495" s="161">
        <v>9</v>
      </c>
      <c r="H495" s="161">
        <v>1</v>
      </c>
      <c r="I495" s="161">
        <v>7.2</v>
      </c>
      <c r="J495" s="161">
        <v>73</v>
      </c>
      <c r="K495" s="161">
        <v>13</v>
      </c>
      <c r="L495" s="163">
        <v>-2.72</v>
      </c>
      <c r="M495" s="163">
        <v>-2.19</v>
      </c>
      <c r="N495" s="161">
        <v>-2.2599999999999998</v>
      </c>
      <c r="O495" s="164" t="s">
        <v>1747</v>
      </c>
    </row>
    <row r="496" spans="1:15" ht="28.8">
      <c r="A496" s="161" t="s">
        <v>2624</v>
      </c>
      <c r="B496" s="161" t="s">
        <v>1752</v>
      </c>
      <c r="C496" s="161" t="s">
        <v>1755</v>
      </c>
      <c r="D496" s="162">
        <v>44317</v>
      </c>
      <c r="E496" s="161" t="s">
        <v>2378</v>
      </c>
      <c r="F496" s="161" t="s">
        <v>1746</v>
      </c>
      <c r="G496" s="161">
        <v>2</v>
      </c>
      <c r="H496" s="161">
        <v>1</v>
      </c>
      <c r="I496" s="161">
        <v>9</v>
      </c>
      <c r="J496" s="161">
        <v>80.5</v>
      </c>
      <c r="K496" s="161">
        <v>14</v>
      </c>
      <c r="L496" s="163">
        <v>-1.48</v>
      </c>
      <c r="M496" s="163">
        <v>0.23</v>
      </c>
      <c r="N496" s="161">
        <v>-2.12</v>
      </c>
      <c r="O496" s="164" t="s">
        <v>1747</v>
      </c>
    </row>
    <row r="497" spans="1:15" ht="43.2">
      <c r="A497" s="161" t="s">
        <v>2625</v>
      </c>
      <c r="B497" s="161" t="s">
        <v>1752</v>
      </c>
      <c r="C497" s="161" t="s">
        <v>1744</v>
      </c>
      <c r="D497" s="162">
        <v>44121</v>
      </c>
      <c r="E497" s="161" t="s">
        <v>2398</v>
      </c>
      <c r="F497" s="161" t="s">
        <v>1769</v>
      </c>
      <c r="G497" s="161">
        <v>4</v>
      </c>
      <c r="H497" s="161">
        <v>1</v>
      </c>
      <c r="I497" s="161">
        <v>9.6</v>
      </c>
      <c r="J497" s="161">
        <v>85</v>
      </c>
      <c r="K497" s="161">
        <v>15</v>
      </c>
      <c r="L497" s="163">
        <v>-1.95</v>
      </c>
      <c r="M497" s="163">
        <v>-0.69</v>
      </c>
      <c r="N497" s="161">
        <v>-2.2799999999999998</v>
      </c>
      <c r="O497" s="164" t="s">
        <v>1747</v>
      </c>
    </row>
    <row r="498" spans="1:15" ht="43.2">
      <c r="A498" s="161" t="s">
        <v>2626</v>
      </c>
      <c r="B498" s="161" t="s">
        <v>1752</v>
      </c>
      <c r="C498" s="161" t="s">
        <v>1755</v>
      </c>
      <c r="D498" s="162">
        <v>44463</v>
      </c>
      <c r="E498" s="161" t="s">
        <v>2627</v>
      </c>
      <c r="F498" s="161" t="s">
        <v>1769</v>
      </c>
      <c r="G498" s="161">
        <v>1</v>
      </c>
      <c r="H498" s="161">
        <v>7</v>
      </c>
      <c r="I498" s="161">
        <v>8.6999999999999993</v>
      </c>
      <c r="J498" s="161">
        <v>80</v>
      </c>
      <c r="K498" s="161"/>
      <c r="L498" s="163">
        <v>-0.8</v>
      </c>
      <c r="M498" s="163">
        <v>2.14</v>
      </c>
      <c r="N498" s="161">
        <v>-2.2799999999999998</v>
      </c>
      <c r="O498" s="164" t="s">
        <v>1747</v>
      </c>
    </row>
    <row r="499" spans="1:15" ht="43.2">
      <c r="A499" s="161" t="s">
        <v>2628</v>
      </c>
      <c r="B499" s="161" t="s">
        <v>1752</v>
      </c>
      <c r="C499" s="161" t="s">
        <v>1755</v>
      </c>
      <c r="D499" s="162">
        <v>44332</v>
      </c>
      <c r="E499" s="161" t="s">
        <v>2629</v>
      </c>
      <c r="F499" s="161" t="s">
        <v>1769</v>
      </c>
      <c r="G499" s="161">
        <v>4</v>
      </c>
      <c r="H499" s="161">
        <v>2</v>
      </c>
      <c r="I499" s="161">
        <v>8.1999999999999993</v>
      </c>
      <c r="J499" s="161">
        <v>76.5</v>
      </c>
      <c r="K499" s="161">
        <v>14</v>
      </c>
      <c r="L499" s="163">
        <v>-2.21</v>
      </c>
      <c r="M499" s="163">
        <v>-1.36</v>
      </c>
      <c r="N499" s="161">
        <v>-2.21</v>
      </c>
      <c r="O499" s="164" t="s">
        <v>1747</v>
      </c>
    </row>
    <row r="500" spans="1:15" ht="43.2">
      <c r="A500" s="161" t="s">
        <v>2630</v>
      </c>
      <c r="B500" s="161" t="s">
        <v>1752</v>
      </c>
      <c r="C500" s="161" t="s">
        <v>1744</v>
      </c>
      <c r="D500" s="162">
        <v>44149</v>
      </c>
      <c r="E500" s="161" t="s">
        <v>2408</v>
      </c>
      <c r="F500" s="161" t="s">
        <v>1769</v>
      </c>
      <c r="G500" s="161">
        <v>8</v>
      </c>
      <c r="H500" s="161">
        <v>1</v>
      </c>
      <c r="I500" s="161">
        <v>8.6</v>
      </c>
      <c r="J500" s="161">
        <v>81</v>
      </c>
      <c r="K500" s="161">
        <v>14</v>
      </c>
      <c r="L500" s="163">
        <v>-2.73</v>
      </c>
      <c r="M500" s="163">
        <v>-1.67</v>
      </c>
      <c r="N500" s="161">
        <v>-2.66</v>
      </c>
      <c r="O500" s="164" t="s">
        <v>1747</v>
      </c>
    </row>
    <row r="501" spans="1:15" ht="43.2">
      <c r="A501" s="161" t="s">
        <v>2631</v>
      </c>
      <c r="B501" s="161" t="s">
        <v>1752</v>
      </c>
      <c r="C501" s="161" t="s">
        <v>1744</v>
      </c>
      <c r="D501" s="162">
        <v>44017</v>
      </c>
      <c r="E501" s="161" t="s">
        <v>2632</v>
      </c>
      <c r="F501" s="161" t="s">
        <v>1769</v>
      </c>
      <c r="G501" s="161">
        <v>7</v>
      </c>
      <c r="H501" s="161">
        <v>2</v>
      </c>
      <c r="I501" s="161">
        <v>10.7</v>
      </c>
      <c r="J501" s="161">
        <v>89</v>
      </c>
      <c r="K501" s="161"/>
      <c r="L501" s="163">
        <v>-1.38</v>
      </c>
      <c r="M501" s="163">
        <v>7.0000000000000007E-2</v>
      </c>
      <c r="N501" s="161">
        <v>-2.14</v>
      </c>
      <c r="O501" s="164" t="s">
        <v>1747</v>
      </c>
    </row>
    <row r="502" spans="1:15" ht="43.2">
      <c r="A502" s="161" t="s">
        <v>2633</v>
      </c>
      <c r="B502" s="161" t="s">
        <v>1752</v>
      </c>
      <c r="C502" s="161" t="s">
        <v>1744</v>
      </c>
      <c r="D502" s="162">
        <v>44112</v>
      </c>
      <c r="E502" s="161" t="s">
        <v>2412</v>
      </c>
      <c r="F502" s="161" t="s">
        <v>1769</v>
      </c>
      <c r="G502" s="161">
        <v>4</v>
      </c>
      <c r="H502" s="161">
        <v>8</v>
      </c>
      <c r="I502" s="161">
        <v>9</v>
      </c>
      <c r="J502" s="161">
        <v>81.5</v>
      </c>
      <c r="K502" s="161">
        <v>14.5</v>
      </c>
      <c r="L502" s="163">
        <v>-2.4700000000000002</v>
      </c>
      <c r="M502" s="163">
        <v>-1.77</v>
      </c>
      <c r="N502" s="161">
        <v>-2.19</v>
      </c>
      <c r="O502" s="164" t="s">
        <v>1747</v>
      </c>
    </row>
    <row r="503" spans="1:15" ht="57.6">
      <c r="A503" s="161" t="s">
        <v>2634</v>
      </c>
      <c r="B503" s="161" t="s">
        <v>1752</v>
      </c>
      <c r="C503" s="161" t="s">
        <v>1744</v>
      </c>
      <c r="D503" s="162">
        <v>44012</v>
      </c>
      <c r="E503" s="161" t="s">
        <v>1768</v>
      </c>
      <c r="F503" s="161" t="s">
        <v>1769</v>
      </c>
      <c r="G503" s="161">
        <v>8</v>
      </c>
      <c r="H503" s="161">
        <v>1</v>
      </c>
      <c r="I503" s="161">
        <v>9.75</v>
      </c>
      <c r="J503" s="161">
        <v>85</v>
      </c>
      <c r="K503" s="161"/>
      <c r="L503" s="163">
        <v>-2.21</v>
      </c>
      <c r="M503" s="163">
        <v>-1.45</v>
      </c>
      <c r="N503" s="161">
        <v>-2.08</v>
      </c>
      <c r="O503" s="164" t="s">
        <v>1747</v>
      </c>
    </row>
    <row r="504" spans="1:15" ht="57.6">
      <c r="A504" s="161" t="s">
        <v>2635</v>
      </c>
      <c r="B504" s="161" t="s">
        <v>1743</v>
      </c>
      <c r="C504" s="161" t="s">
        <v>2055</v>
      </c>
      <c r="D504" s="162">
        <v>44812</v>
      </c>
      <c r="E504" s="161" t="s">
        <v>2636</v>
      </c>
      <c r="F504" s="161" t="s">
        <v>1769</v>
      </c>
      <c r="G504" s="161">
        <v>8</v>
      </c>
      <c r="H504" s="161">
        <v>1</v>
      </c>
      <c r="I504" s="161">
        <v>2.7</v>
      </c>
      <c r="J504" s="161">
        <v>50</v>
      </c>
      <c r="K504" s="161"/>
      <c r="L504" s="163">
        <v>-1.48</v>
      </c>
      <c r="M504" s="163">
        <v>0.11</v>
      </c>
      <c r="N504" s="161">
        <v>-3</v>
      </c>
      <c r="O504" s="164" t="s">
        <v>1747</v>
      </c>
    </row>
    <row r="505" spans="1:15" ht="43.2">
      <c r="A505" s="161" t="s">
        <v>2637</v>
      </c>
      <c r="B505" s="161" t="s">
        <v>1752</v>
      </c>
      <c r="C505" s="161" t="s">
        <v>2055</v>
      </c>
      <c r="D505" s="162">
        <v>44812</v>
      </c>
      <c r="E505" s="161" t="s">
        <v>2161</v>
      </c>
      <c r="F505" s="161" t="s">
        <v>1769</v>
      </c>
      <c r="G505" s="161">
        <v>8</v>
      </c>
      <c r="H505" s="161">
        <v>1</v>
      </c>
      <c r="I505" s="161">
        <v>2.7</v>
      </c>
      <c r="J505" s="161">
        <v>49</v>
      </c>
      <c r="K505" s="161"/>
      <c r="L505" s="163">
        <v>-1.78</v>
      </c>
      <c r="M505" s="163">
        <v>-0.84</v>
      </c>
      <c r="N505" s="161">
        <v>-2.21</v>
      </c>
      <c r="O505" s="164" t="s">
        <v>1747</v>
      </c>
    </row>
    <row r="506" spans="1:15" ht="43.2">
      <c r="A506" s="161" t="s">
        <v>2638</v>
      </c>
      <c r="B506" s="161" t="s">
        <v>1752</v>
      </c>
      <c r="C506" s="161" t="s">
        <v>1786</v>
      </c>
      <c r="D506" s="162">
        <v>43518</v>
      </c>
      <c r="E506" s="161" t="s">
        <v>1931</v>
      </c>
      <c r="F506" s="161" t="s">
        <v>1769</v>
      </c>
      <c r="G506" s="161">
        <v>2</v>
      </c>
      <c r="H506" s="161">
        <v>1</v>
      </c>
      <c r="I506" s="161">
        <v>14</v>
      </c>
      <c r="J506" s="161">
        <v>105</v>
      </c>
      <c r="K506" s="161"/>
      <c r="L506" s="163">
        <v>-0.78</v>
      </c>
      <c r="M506" s="163">
        <v>1.23</v>
      </c>
      <c r="N506" s="161">
        <v>-2.25</v>
      </c>
      <c r="O506" s="164" t="s">
        <v>1747</v>
      </c>
    </row>
    <row r="507" spans="1:15" ht="43.2">
      <c r="A507" s="161" t="s">
        <v>2639</v>
      </c>
      <c r="B507" s="161" t="s">
        <v>1743</v>
      </c>
      <c r="C507" s="161" t="s">
        <v>1749</v>
      </c>
      <c r="D507" s="162">
        <v>43626</v>
      </c>
      <c r="E507" s="161" t="s">
        <v>2640</v>
      </c>
      <c r="F507" s="161" t="s">
        <v>1769</v>
      </c>
      <c r="G507" s="161">
        <v>1</v>
      </c>
      <c r="H507" s="161">
        <v>12</v>
      </c>
      <c r="I507" s="161">
        <v>13.9</v>
      </c>
      <c r="J507" s="161">
        <v>105</v>
      </c>
      <c r="K507" s="161"/>
      <c r="L507" s="163">
        <v>-0.26</v>
      </c>
      <c r="M507" s="163">
        <v>2.0299999999999998</v>
      </c>
      <c r="N507" s="161">
        <v>-2.11</v>
      </c>
      <c r="O507" s="164" t="s">
        <v>1747</v>
      </c>
    </row>
    <row r="508" spans="1:15" ht="43.2">
      <c r="A508" s="161" t="s">
        <v>2641</v>
      </c>
      <c r="B508" s="161" t="s">
        <v>1743</v>
      </c>
      <c r="C508" s="161" t="s">
        <v>1779</v>
      </c>
      <c r="D508" s="162">
        <v>43005</v>
      </c>
      <c r="E508" s="161" t="s">
        <v>2642</v>
      </c>
      <c r="F508" s="161" t="s">
        <v>1769</v>
      </c>
      <c r="G508" s="161">
        <v>3</v>
      </c>
      <c r="H508" s="161">
        <v>9</v>
      </c>
      <c r="I508" s="161">
        <v>12.7</v>
      </c>
      <c r="J508" s="161">
        <v>101</v>
      </c>
      <c r="K508" s="161">
        <v>16</v>
      </c>
      <c r="L508" s="163">
        <v>-2.57</v>
      </c>
      <c r="M508" s="163">
        <v>-1.73</v>
      </c>
      <c r="N508" s="161">
        <v>-2.2799999999999998</v>
      </c>
      <c r="O508" s="164" t="s">
        <v>1747</v>
      </c>
    </row>
    <row r="509" spans="1:15" ht="43.2">
      <c r="A509" s="161" t="s">
        <v>2643</v>
      </c>
      <c r="B509" s="161" t="s">
        <v>1743</v>
      </c>
      <c r="C509" s="161" t="s">
        <v>1786</v>
      </c>
      <c r="D509" s="162">
        <v>43364</v>
      </c>
      <c r="E509" s="161" t="s">
        <v>2099</v>
      </c>
      <c r="F509" s="161" t="s">
        <v>1769</v>
      </c>
      <c r="G509" s="161">
        <v>9</v>
      </c>
      <c r="H509" s="161">
        <v>5</v>
      </c>
      <c r="I509" s="161">
        <v>14</v>
      </c>
      <c r="J509" s="161">
        <v>105</v>
      </c>
      <c r="K509" s="161"/>
      <c r="L509" s="163">
        <v>-0.97</v>
      </c>
      <c r="M509" s="163">
        <v>0.6</v>
      </c>
      <c r="N509" s="161">
        <v>-2.0299999999999998</v>
      </c>
      <c r="O509" s="164" t="s">
        <v>1747</v>
      </c>
    </row>
    <row r="510" spans="1:15" ht="57.6">
      <c r="A510" s="161" t="s">
        <v>2644</v>
      </c>
      <c r="B510" s="161" t="s">
        <v>1752</v>
      </c>
      <c r="C510" s="161" t="s">
        <v>1786</v>
      </c>
      <c r="D510" s="162">
        <v>43530</v>
      </c>
      <c r="E510" s="161" t="s">
        <v>2645</v>
      </c>
      <c r="F510" s="161" t="s">
        <v>1769</v>
      </c>
      <c r="G510" s="161">
        <v>7</v>
      </c>
      <c r="H510" s="161">
        <v>5</v>
      </c>
      <c r="I510" s="161">
        <v>11.3</v>
      </c>
      <c r="J510" s="161">
        <v>93</v>
      </c>
      <c r="K510" s="161">
        <v>14.5</v>
      </c>
      <c r="L510" s="163">
        <v>-2.5</v>
      </c>
      <c r="M510" s="163">
        <v>-1.74</v>
      </c>
      <c r="N510" s="161">
        <v>-2.37</v>
      </c>
      <c r="O510" s="164" t="s">
        <v>1747</v>
      </c>
    </row>
    <row r="511" spans="1:15" ht="43.2">
      <c r="A511" s="161" t="s">
        <v>2646</v>
      </c>
      <c r="B511" s="161" t="s">
        <v>1743</v>
      </c>
      <c r="C511" s="161" t="s">
        <v>1786</v>
      </c>
      <c r="D511" s="162">
        <v>43405</v>
      </c>
      <c r="E511" s="161" t="s">
        <v>1891</v>
      </c>
      <c r="F511" s="161" t="s">
        <v>1769</v>
      </c>
      <c r="G511" s="161">
        <v>3</v>
      </c>
      <c r="H511" s="161">
        <v>2</v>
      </c>
      <c r="I511" s="161">
        <v>13.9</v>
      </c>
      <c r="J511" s="161">
        <v>105</v>
      </c>
      <c r="K511" s="161"/>
      <c r="L511" s="163">
        <v>-0.92</v>
      </c>
      <c r="M511" s="163">
        <v>0.8</v>
      </c>
      <c r="N511" s="161">
        <v>-2.11</v>
      </c>
      <c r="O511" s="164" t="s">
        <v>1747</v>
      </c>
    </row>
    <row r="512" spans="1:15" ht="43.2">
      <c r="A512" s="161" t="s">
        <v>2647</v>
      </c>
      <c r="B512" s="161" t="s">
        <v>1743</v>
      </c>
      <c r="C512" s="161" t="s">
        <v>1749</v>
      </c>
      <c r="D512" s="162">
        <v>43642</v>
      </c>
      <c r="E512" s="161" t="s">
        <v>2169</v>
      </c>
      <c r="F512" s="161" t="s">
        <v>1769</v>
      </c>
      <c r="G512" s="161">
        <v>6</v>
      </c>
      <c r="H512" s="161">
        <v>2</v>
      </c>
      <c r="I512" s="161">
        <v>11.8</v>
      </c>
      <c r="J512" s="161">
        <v>97.4</v>
      </c>
      <c r="K512" s="161">
        <v>12.8</v>
      </c>
      <c r="L512" s="163">
        <v>-1.51</v>
      </c>
      <c r="M512" s="163">
        <v>0.19</v>
      </c>
      <c r="N512" s="161">
        <v>-2.39</v>
      </c>
      <c r="O512" s="164" t="s">
        <v>1747</v>
      </c>
    </row>
    <row r="513" spans="1:15" ht="43.2">
      <c r="A513" s="161" t="s">
        <v>2648</v>
      </c>
      <c r="B513" s="161" t="s">
        <v>1752</v>
      </c>
      <c r="C513" s="161" t="s">
        <v>1749</v>
      </c>
      <c r="D513" s="162">
        <v>43790</v>
      </c>
      <c r="E513" s="161" t="s">
        <v>2649</v>
      </c>
      <c r="F513" s="161" t="s">
        <v>1769</v>
      </c>
      <c r="G513" s="161">
        <v>8</v>
      </c>
      <c r="H513" s="161">
        <v>12</v>
      </c>
      <c r="I513" s="161">
        <v>9.3000000000000007</v>
      </c>
      <c r="J513" s="161">
        <v>84.5</v>
      </c>
      <c r="K513" s="161">
        <v>13</v>
      </c>
      <c r="L513" s="163">
        <v>-3.38</v>
      </c>
      <c r="M513" s="163">
        <v>-2.78</v>
      </c>
      <c r="N513" s="161">
        <v>-2.75</v>
      </c>
      <c r="O513" s="164" t="s">
        <v>1747</v>
      </c>
    </row>
    <row r="514" spans="1:15" ht="43.2">
      <c r="A514" s="161" t="s">
        <v>2650</v>
      </c>
      <c r="B514" s="161" t="s">
        <v>1752</v>
      </c>
      <c r="C514" s="161" t="s">
        <v>1786</v>
      </c>
      <c r="D514" s="162">
        <v>43474</v>
      </c>
      <c r="E514" s="161" t="s">
        <v>2219</v>
      </c>
      <c r="F514" s="161" t="s">
        <v>1769</v>
      </c>
      <c r="G514" s="161">
        <v>1</v>
      </c>
      <c r="H514" s="161">
        <v>11</v>
      </c>
      <c r="I514" s="161">
        <v>14.2</v>
      </c>
      <c r="J514" s="161">
        <v>105</v>
      </c>
      <c r="K514" s="161"/>
      <c r="L514" s="163">
        <v>-0.78</v>
      </c>
      <c r="M514" s="163">
        <v>1</v>
      </c>
      <c r="N514" s="161">
        <v>-2.0699999999999998</v>
      </c>
      <c r="O514" s="164" t="s">
        <v>1747</v>
      </c>
    </row>
    <row r="515" spans="1:15" ht="43.2">
      <c r="A515" s="161" t="s">
        <v>2651</v>
      </c>
      <c r="B515" s="161" t="s">
        <v>1752</v>
      </c>
      <c r="C515" s="161" t="s">
        <v>1744</v>
      </c>
      <c r="D515" s="162">
        <v>44104</v>
      </c>
      <c r="E515" s="161" t="s">
        <v>2252</v>
      </c>
      <c r="F515" s="161" t="s">
        <v>1769</v>
      </c>
      <c r="G515" s="161">
        <v>5</v>
      </c>
      <c r="H515" s="161">
        <v>5</v>
      </c>
      <c r="I515" s="161">
        <v>10.199999999999999</v>
      </c>
      <c r="J515" s="161">
        <v>87</v>
      </c>
      <c r="K515" s="161">
        <v>13</v>
      </c>
      <c r="L515" s="163">
        <v>-1.42</v>
      </c>
      <c r="M515" s="163">
        <v>0.2</v>
      </c>
      <c r="N515" s="161">
        <v>-2.25</v>
      </c>
      <c r="O515" s="164" t="s">
        <v>1747</v>
      </c>
    </row>
    <row r="516" spans="1:15" ht="43.2">
      <c r="A516" s="161" t="s">
        <v>2652</v>
      </c>
      <c r="B516" s="161" t="s">
        <v>1752</v>
      </c>
      <c r="C516" s="161" t="s">
        <v>1744</v>
      </c>
      <c r="D516" s="162">
        <v>44053</v>
      </c>
      <c r="E516" s="161" t="s">
        <v>2493</v>
      </c>
      <c r="F516" s="161" t="s">
        <v>1769</v>
      </c>
      <c r="G516" s="161">
        <v>8</v>
      </c>
      <c r="H516" s="161">
        <v>5</v>
      </c>
      <c r="I516" s="161">
        <v>9.4</v>
      </c>
      <c r="J516" s="161">
        <v>84</v>
      </c>
      <c r="K516" s="161">
        <v>13</v>
      </c>
      <c r="L516" s="163">
        <v>-2.37</v>
      </c>
      <c r="M516" s="163">
        <v>-1.24</v>
      </c>
      <c r="N516" s="161">
        <v>-2.4700000000000002</v>
      </c>
      <c r="O516" s="164" t="s">
        <v>1747</v>
      </c>
    </row>
    <row r="517" spans="1:15" ht="43.2">
      <c r="A517" s="161" t="s">
        <v>2653</v>
      </c>
      <c r="B517" s="161" t="s">
        <v>1752</v>
      </c>
      <c r="C517" s="161" t="s">
        <v>1744</v>
      </c>
      <c r="D517" s="162">
        <v>43950</v>
      </c>
      <c r="E517" s="161" t="s">
        <v>2654</v>
      </c>
      <c r="F517" s="161" t="s">
        <v>1769</v>
      </c>
      <c r="G517" s="161">
        <v>7</v>
      </c>
      <c r="H517" s="161">
        <v>5</v>
      </c>
      <c r="I517" s="161">
        <v>9.5</v>
      </c>
      <c r="J517" s="161">
        <v>85</v>
      </c>
      <c r="K517" s="161">
        <v>12</v>
      </c>
      <c r="L517" s="163">
        <v>-2.69</v>
      </c>
      <c r="M517" s="163">
        <v>-1.7</v>
      </c>
      <c r="N517" s="161">
        <v>-2.62</v>
      </c>
      <c r="O517" s="164" t="s">
        <v>1747</v>
      </c>
    </row>
    <row r="518" spans="1:15" ht="72">
      <c r="A518" s="161" t="s">
        <v>2655</v>
      </c>
      <c r="B518" s="161" t="s">
        <v>1743</v>
      </c>
      <c r="C518" s="161" t="s">
        <v>1749</v>
      </c>
      <c r="D518" s="162">
        <v>43782</v>
      </c>
      <c r="E518" s="161" t="s">
        <v>2656</v>
      </c>
      <c r="F518" s="161" t="s">
        <v>1769</v>
      </c>
      <c r="G518" s="161">
        <v>4</v>
      </c>
      <c r="H518" s="161">
        <v>1</v>
      </c>
      <c r="I518" s="161">
        <v>9.8000000000000007</v>
      </c>
      <c r="J518" s="161">
        <v>87.5</v>
      </c>
      <c r="K518" s="161">
        <v>14</v>
      </c>
      <c r="L518" s="163">
        <v>-2.6</v>
      </c>
      <c r="M518" s="163">
        <v>-1.63</v>
      </c>
      <c r="N518" s="161">
        <v>-2.39</v>
      </c>
      <c r="O518" s="164" t="s">
        <v>1747</v>
      </c>
    </row>
    <row r="519" spans="1:15" ht="43.2">
      <c r="A519" s="161" t="s">
        <v>2657</v>
      </c>
      <c r="B519" s="161" t="s">
        <v>1752</v>
      </c>
      <c r="C519" s="161" t="s">
        <v>1786</v>
      </c>
      <c r="D519" s="162">
        <v>43384</v>
      </c>
      <c r="E519" s="161" t="s">
        <v>2658</v>
      </c>
      <c r="F519" s="161" t="s">
        <v>1769</v>
      </c>
      <c r="G519" s="161">
        <v>4</v>
      </c>
      <c r="H519" s="161">
        <v>1</v>
      </c>
      <c r="I519" s="161">
        <v>14</v>
      </c>
      <c r="J519" s="161">
        <v>105</v>
      </c>
      <c r="K519" s="161"/>
      <c r="L519" s="163">
        <v>-1.1399999999999999</v>
      </c>
      <c r="M519" s="163">
        <v>0.56000000000000005</v>
      </c>
      <c r="N519" s="161">
        <v>-2.25</v>
      </c>
      <c r="O519" s="164" t="s">
        <v>1747</v>
      </c>
    </row>
    <row r="520" spans="1:15" ht="43.2">
      <c r="A520" s="161" t="s">
        <v>2659</v>
      </c>
      <c r="B520" s="161" t="s">
        <v>1752</v>
      </c>
      <c r="C520" s="161" t="s">
        <v>1749</v>
      </c>
      <c r="D520" s="162">
        <v>43674</v>
      </c>
      <c r="E520" s="161" t="s">
        <v>2158</v>
      </c>
      <c r="F520" s="161" t="s">
        <v>1769</v>
      </c>
      <c r="G520" s="161">
        <v>1</v>
      </c>
      <c r="H520" s="161">
        <v>2</v>
      </c>
      <c r="I520" s="161">
        <v>14.2</v>
      </c>
      <c r="J520" s="161">
        <v>105</v>
      </c>
      <c r="K520" s="161"/>
      <c r="L520" s="163">
        <v>-0.21</v>
      </c>
      <c r="M520" s="163">
        <v>2.15</v>
      </c>
      <c r="N520" s="161">
        <v>-2.0699999999999998</v>
      </c>
      <c r="O520" s="164" t="s">
        <v>1747</v>
      </c>
    </row>
    <row r="521" spans="1:15" ht="43.2">
      <c r="A521" s="161" t="s">
        <v>2660</v>
      </c>
      <c r="B521" s="161" t="s">
        <v>1752</v>
      </c>
      <c r="C521" s="161" t="s">
        <v>1786</v>
      </c>
      <c r="D521" s="162">
        <v>43407</v>
      </c>
      <c r="E521" s="161" t="s">
        <v>2661</v>
      </c>
      <c r="F521" s="161" t="s">
        <v>1769</v>
      </c>
      <c r="G521" s="161">
        <v>3</v>
      </c>
      <c r="H521" s="161">
        <v>2</v>
      </c>
      <c r="I521" s="161">
        <v>14.2</v>
      </c>
      <c r="J521" s="161">
        <v>105</v>
      </c>
      <c r="K521" s="161"/>
      <c r="L521" s="163">
        <v>-0.96</v>
      </c>
      <c r="M521" s="163">
        <v>0.67</v>
      </c>
      <c r="N521" s="161">
        <v>-2.0699999999999998</v>
      </c>
      <c r="O521" s="164" t="s">
        <v>1747</v>
      </c>
    </row>
    <row r="522" spans="1:15" ht="43.2">
      <c r="A522" s="161" t="s">
        <v>2662</v>
      </c>
      <c r="B522" s="161" t="s">
        <v>1752</v>
      </c>
      <c r="C522" s="161" t="s">
        <v>1786</v>
      </c>
      <c r="D522" s="162">
        <v>43382</v>
      </c>
      <c r="E522" s="161" t="s">
        <v>2663</v>
      </c>
      <c r="F522" s="161" t="s">
        <v>1774</v>
      </c>
      <c r="G522" s="161">
        <v>4</v>
      </c>
      <c r="H522" s="161">
        <v>4</v>
      </c>
      <c r="I522" s="161">
        <v>14.1</v>
      </c>
      <c r="J522" s="161">
        <v>105</v>
      </c>
      <c r="K522" s="161"/>
      <c r="L522" s="163">
        <v>-1.08</v>
      </c>
      <c r="M522" s="163">
        <v>0.55000000000000004</v>
      </c>
      <c r="N522" s="161">
        <v>-2.16</v>
      </c>
      <c r="O522" s="164" t="s">
        <v>1747</v>
      </c>
    </row>
    <row r="523" spans="1:15" ht="43.2">
      <c r="A523" s="161" t="s">
        <v>2664</v>
      </c>
      <c r="B523" s="161" t="s">
        <v>1752</v>
      </c>
      <c r="C523" s="161" t="s">
        <v>1786</v>
      </c>
      <c r="D523" s="162">
        <v>43426</v>
      </c>
      <c r="E523" s="161" t="s">
        <v>2665</v>
      </c>
      <c r="F523" s="161" t="s">
        <v>1774</v>
      </c>
      <c r="G523" s="161">
        <v>6</v>
      </c>
      <c r="H523" s="161">
        <v>6</v>
      </c>
      <c r="I523" s="161">
        <v>14</v>
      </c>
      <c r="J523" s="161">
        <v>105</v>
      </c>
      <c r="K523" s="161"/>
      <c r="L523" s="163">
        <v>-1.03</v>
      </c>
      <c r="M523" s="163">
        <v>0.76</v>
      </c>
      <c r="N523" s="161">
        <v>-2.25</v>
      </c>
      <c r="O523" s="164" t="s">
        <v>1747</v>
      </c>
    </row>
    <row r="524" spans="1:15" ht="72">
      <c r="A524" s="161" t="s">
        <v>2666</v>
      </c>
      <c r="B524" s="161" t="s">
        <v>1743</v>
      </c>
      <c r="C524" s="161" t="s">
        <v>1749</v>
      </c>
      <c r="D524" s="162">
        <v>43626</v>
      </c>
      <c r="E524" s="161" t="s">
        <v>2667</v>
      </c>
      <c r="F524" s="161" t="s">
        <v>1774</v>
      </c>
      <c r="G524" s="161">
        <v>7</v>
      </c>
      <c r="H524" s="161">
        <v>3</v>
      </c>
      <c r="I524" s="161">
        <v>14</v>
      </c>
      <c r="J524" s="161">
        <v>105</v>
      </c>
      <c r="K524" s="161"/>
      <c r="L524" s="163">
        <v>-0.21</v>
      </c>
      <c r="M524" s="163">
        <v>2.0299999999999998</v>
      </c>
      <c r="N524" s="161">
        <v>-2.0299999999999998</v>
      </c>
      <c r="O524" s="164" t="s">
        <v>1747</v>
      </c>
    </row>
    <row r="525" spans="1:15" ht="43.2">
      <c r="A525" s="161" t="s">
        <v>2668</v>
      </c>
      <c r="B525" s="161" t="s">
        <v>1752</v>
      </c>
      <c r="C525" s="161" t="s">
        <v>1744</v>
      </c>
      <c r="D525" s="162">
        <v>43988</v>
      </c>
      <c r="E525" s="161" t="s">
        <v>2262</v>
      </c>
      <c r="F525" s="161" t="s">
        <v>1774</v>
      </c>
      <c r="G525" s="161">
        <v>1</v>
      </c>
      <c r="H525" s="161">
        <v>7</v>
      </c>
      <c r="I525" s="161">
        <v>11.4</v>
      </c>
      <c r="J525" s="161">
        <v>92</v>
      </c>
      <c r="K525" s="161"/>
      <c r="L525" s="163">
        <v>-0.96</v>
      </c>
      <c r="M525" s="163">
        <v>0.74</v>
      </c>
      <c r="N525" s="161">
        <v>-2.0299999999999998</v>
      </c>
      <c r="O525" s="164" t="s">
        <v>1747</v>
      </c>
    </row>
    <row r="526" spans="1:15" ht="43.2">
      <c r="A526" s="161" t="s">
        <v>2669</v>
      </c>
      <c r="B526" s="161" t="s">
        <v>1752</v>
      </c>
      <c r="C526" s="161" t="s">
        <v>1786</v>
      </c>
      <c r="D526" s="162">
        <v>43561</v>
      </c>
      <c r="E526" s="161" t="s">
        <v>2509</v>
      </c>
      <c r="F526" s="161" t="s">
        <v>1777</v>
      </c>
      <c r="G526" s="161">
        <v>2</v>
      </c>
      <c r="H526" s="161">
        <v>10</v>
      </c>
      <c r="I526" s="161">
        <v>14.2</v>
      </c>
      <c r="J526" s="161">
        <v>105</v>
      </c>
      <c r="K526" s="161"/>
      <c r="L526" s="163">
        <v>-0.54</v>
      </c>
      <c r="M526" s="163">
        <v>1.47</v>
      </c>
      <c r="N526" s="161">
        <v>-2.0699999999999998</v>
      </c>
      <c r="O526" s="164" t="s">
        <v>1747</v>
      </c>
    </row>
    <row r="527" spans="1:15" ht="43.2">
      <c r="A527" s="161" t="s">
        <v>2670</v>
      </c>
      <c r="B527" s="161" t="s">
        <v>1752</v>
      </c>
      <c r="C527" s="161" t="s">
        <v>1786</v>
      </c>
      <c r="D527" s="162">
        <v>43438</v>
      </c>
      <c r="E527" s="161" t="s">
        <v>2511</v>
      </c>
      <c r="F527" s="161" t="s">
        <v>1777</v>
      </c>
      <c r="G527" s="161">
        <v>8</v>
      </c>
      <c r="H527" s="161">
        <v>9</v>
      </c>
      <c r="I527" s="161">
        <v>14</v>
      </c>
      <c r="J527" s="161">
        <v>105</v>
      </c>
      <c r="K527" s="161"/>
      <c r="L527" s="163">
        <v>-1</v>
      </c>
      <c r="M527" s="163">
        <v>0.82</v>
      </c>
      <c r="N527" s="161">
        <v>-2.25</v>
      </c>
      <c r="O527" s="164" t="s">
        <v>1747</v>
      </c>
    </row>
    <row r="528" spans="1:15" ht="43.2">
      <c r="A528" s="161" t="s">
        <v>2671</v>
      </c>
      <c r="B528" s="161" t="s">
        <v>1743</v>
      </c>
      <c r="C528" s="161" t="s">
        <v>1749</v>
      </c>
      <c r="D528" s="162">
        <v>43699</v>
      </c>
      <c r="E528" s="161" t="s">
        <v>2453</v>
      </c>
      <c r="F528" s="161" t="s">
        <v>1777</v>
      </c>
      <c r="G528" s="161">
        <v>4</v>
      </c>
      <c r="H528" s="161">
        <v>1</v>
      </c>
      <c r="I528" s="161">
        <v>14</v>
      </c>
      <c r="J528" s="161">
        <v>105</v>
      </c>
      <c r="K528" s="161"/>
      <c r="L528" s="163">
        <v>0.03</v>
      </c>
      <c r="M528" s="163">
        <v>2.5099999999999998</v>
      </c>
      <c r="N528" s="161">
        <v>-2.0299999999999998</v>
      </c>
      <c r="O528" s="164" t="s">
        <v>1747</v>
      </c>
    </row>
    <row r="529" spans="1:15" ht="43.2">
      <c r="A529" s="161" t="s">
        <v>2672</v>
      </c>
      <c r="B529" s="161" t="s">
        <v>1752</v>
      </c>
      <c r="C529" s="161" t="s">
        <v>1744</v>
      </c>
      <c r="D529" s="162">
        <v>43952</v>
      </c>
      <c r="E529" s="161" t="s">
        <v>2673</v>
      </c>
      <c r="F529" s="161" t="s">
        <v>1777</v>
      </c>
      <c r="G529" s="161">
        <v>4</v>
      </c>
      <c r="H529" s="161">
        <v>1</v>
      </c>
      <c r="I529" s="161">
        <v>11.3</v>
      </c>
      <c r="J529" s="161">
        <v>92</v>
      </c>
      <c r="K529" s="161"/>
      <c r="L529" s="163">
        <v>-1.18</v>
      </c>
      <c r="M529" s="163">
        <v>0.44</v>
      </c>
      <c r="N529" s="161">
        <v>-2.14</v>
      </c>
      <c r="O529" s="164" t="s">
        <v>1747</v>
      </c>
    </row>
    <row r="530" spans="1:15" ht="43.2">
      <c r="A530" s="161" t="s">
        <v>2674</v>
      </c>
      <c r="B530" s="161" t="s">
        <v>1752</v>
      </c>
      <c r="C530" s="161" t="s">
        <v>1749</v>
      </c>
      <c r="D530" s="162">
        <v>43917</v>
      </c>
      <c r="E530" s="161" t="s">
        <v>1943</v>
      </c>
      <c r="F530" s="161" t="s">
        <v>1777</v>
      </c>
      <c r="G530" s="161">
        <v>4</v>
      </c>
      <c r="H530" s="161">
        <v>1</v>
      </c>
      <c r="I530" s="161">
        <v>11.3</v>
      </c>
      <c r="J530" s="161">
        <v>92</v>
      </c>
      <c r="K530" s="161"/>
      <c r="L530" s="163">
        <v>-1.31</v>
      </c>
      <c r="M530" s="163">
        <v>0.17</v>
      </c>
      <c r="N530" s="161">
        <v>-2.14</v>
      </c>
      <c r="O530" s="164" t="s">
        <v>1747</v>
      </c>
    </row>
    <row r="531" spans="1:15" ht="43.2">
      <c r="A531" s="161" t="s">
        <v>2675</v>
      </c>
      <c r="B531" s="161" t="s">
        <v>1752</v>
      </c>
      <c r="C531" s="161" t="s">
        <v>1749</v>
      </c>
      <c r="D531" s="162">
        <v>43731</v>
      </c>
      <c r="E531" s="161" t="s">
        <v>2676</v>
      </c>
      <c r="F531" s="161" t="s">
        <v>1777</v>
      </c>
      <c r="G531" s="161">
        <v>4</v>
      </c>
      <c r="H531" s="161">
        <v>1</v>
      </c>
      <c r="I531" s="161">
        <v>14</v>
      </c>
      <c r="J531" s="161">
        <v>105</v>
      </c>
      <c r="K531" s="161"/>
      <c r="L531" s="163">
        <v>-0.14000000000000001</v>
      </c>
      <c r="M531" s="163">
        <v>2.5299999999999998</v>
      </c>
      <c r="N531" s="161">
        <v>-2.25</v>
      </c>
      <c r="O531" s="164" t="s">
        <v>1747</v>
      </c>
    </row>
    <row r="532" spans="1:15" ht="43.2">
      <c r="A532" s="161" t="s">
        <v>2677</v>
      </c>
      <c r="B532" s="161" t="s">
        <v>1752</v>
      </c>
      <c r="C532" s="161" t="s">
        <v>1744</v>
      </c>
      <c r="D532" s="162">
        <v>43971</v>
      </c>
      <c r="E532" s="161" t="s">
        <v>2513</v>
      </c>
      <c r="F532" s="161" t="s">
        <v>1777</v>
      </c>
      <c r="G532" s="161">
        <v>3</v>
      </c>
      <c r="H532" s="161">
        <v>10</v>
      </c>
      <c r="I532" s="161">
        <v>11.3</v>
      </c>
      <c r="J532" s="161">
        <v>92</v>
      </c>
      <c r="K532" s="161"/>
      <c r="L532" s="163">
        <v>-1.1000000000000001</v>
      </c>
      <c r="M532" s="163">
        <v>0.6</v>
      </c>
      <c r="N532" s="161">
        <v>-2.14</v>
      </c>
      <c r="O532" s="164" t="s">
        <v>1747</v>
      </c>
    </row>
    <row r="533" spans="1:15" ht="43.2">
      <c r="A533" s="161" t="s">
        <v>2678</v>
      </c>
      <c r="B533" s="161" t="s">
        <v>1752</v>
      </c>
      <c r="C533" s="161" t="s">
        <v>1744</v>
      </c>
      <c r="D533" s="162">
        <v>44048</v>
      </c>
      <c r="E533" s="161" t="s">
        <v>2642</v>
      </c>
      <c r="F533" s="161" t="s">
        <v>1777</v>
      </c>
      <c r="G533" s="161">
        <v>1</v>
      </c>
      <c r="H533" s="161">
        <v>1</v>
      </c>
      <c r="I533" s="161">
        <v>11.4</v>
      </c>
      <c r="J533" s="161">
        <v>92</v>
      </c>
      <c r="K533" s="161"/>
      <c r="L533" s="163">
        <v>-0.7</v>
      </c>
      <c r="M533" s="163">
        <v>1.29</v>
      </c>
      <c r="N533" s="161">
        <v>-2.0299999999999998</v>
      </c>
      <c r="O533" s="164" t="s">
        <v>1747</v>
      </c>
    </row>
    <row r="534" spans="1:15" ht="43.2">
      <c r="A534" s="161" t="s">
        <v>2679</v>
      </c>
      <c r="B534" s="161" t="s">
        <v>1752</v>
      </c>
      <c r="C534" s="161" t="s">
        <v>1744</v>
      </c>
      <c r="D534" s="162">
        <v>44106</v>
      </c>
      <c r="E534" s="161" t="s">
        <v>2019</v>
      </c>
      <c r="F534" s="161" t="s">
        <v>1777</v>
      </c>
      <c r="G534" s="161">
        <v>1</v>
      </c>
      <c r="H534" s="161">
        <v>15</v>
      </c>
      <c r="I534" s="161">
        <v>11</v>
      </c>
      <c r="J534" s="161">
        <v>90</v>
      </c>
      <c r="K534" s="161">
        <v>15</v>
      </c>
      <c r="L534" s="163">
        <v>-0.76</v>
      </c>
      <c r="M534" s="163">
        <v>1.18</v>
      </c>
      <c r="N534" s="161">
        <v>-2.0299999999999998</v>
      </c>
      <c r="O534" s="164" t="s">
        <v>1747</v>
      </c>
    </row>
    <row r="535" spans="1:15" ht="43.2">
      <c r="A535" s="161" t="s">
        <v>2680</v>
      </c>
      <c r="B535" s="161" t="s">
        <v>1752</v>
      </c>
      <c r="C535" s="161" t="s">
        <v>1744</v>
      </c>
      <c r="D535" s="162">
        <v>43994</v>
      </c>
      <c r="E535" s="161" t="s">
        <v>2021</v>
      </c>
      <c r="F535" s="161" t="s">
        <v>1777</v>
      </c>
      <c r="G535" s="161">
        <v>7</v>
      </c>
      <c r="H535" s="161">
        <v>10</v>
      </c>
      <c r="I535" s="161">
        <v>11.4</v>
      </c>
      <c r="J535" s="161">
        <v>92</v>
      </c>
      <c r="K535" s="161"/>
      <c r="L535" s="163">
        <v>-0.93</v>
      </c>
      <c r="M535" s="163">
        <v>0.79</v>
      </c>
      <c r="N535" s="161">
        <v>-2.0299999999999998</v>
      </c>
      <c r="O535" s="164" t="s">
        <v>1747</v>
      </c>
    </row>
    <row r="536" spans="1:15" ht="43.2">
      <c r="A536" s="161" t="s">
        <v>2681</v>
      </c>
      <c r="B536" s="161" t="s">
        <v>1743</v>
      </c>
      <c r="C536" s="161" t="s">
        <v>1786</v>
      </c>
      <c r="D536" s="162">
        <v>43558</v>
      </c>
      <c r="E536" s="161" t="s">
        <v>1776</v>
      </c>
      <c r="F536" s="161" t="s">
        <v>1777</v>
      </c>
      <c r="G536" s="161">
        <v>1</v>
      </c>
      <c r="H536" s="161">
        <v>2</v>
      </c>
      <c r="I536" s="161">
        <v>14</v>
      </c>
      <c r="J536" s="161">
        <v>105</v>
      </c>
      <c r="K536" s="161"/>
      <c r="L536" s="163">
        <v>-0.42</v>
      </c>
      <c r="M536" s="163">
        <v>1.62</v>
      </c>
      <c r="N536" s="161">
        <v>-2.0299999999999998</v>
      </c>
      <c r="O536" s="164" t="s">
        <v>1747</v>
      </c>
    </row>
    <row r="537" spans="1:15" ht="43.2">
      <c r="A537" s="161" t="s">
        <v>2682</v>
      </c>
      <c r="B537" s="161" t="s">
        <v>1752</v>
      </c>
      <c r="C537" s="161" t="s">
        <v>1786</v>
      </c>
      <c r="D537" s="162">
        <v>43544</v>
      </c>
      <c r="E537" s="161" t="s">
        <v>2518</v>
      </c>
      <c r="F537" s="161" t="s">
        <v>1777</v>
      </c>
      <c r="G537" s="161">
        <v>5</v>
      </c>
      <c r="H537" s="161">
        <v>2</v>
      </c>
      <c r="I537" s="161">
        <v>14.2</v>
      </c>
      <c r="J537" s="161">
        <v>105</v>
      </c>
      <c r="K537" s="161"/>
      <c r="L537" s="163">
        <v>-0.59</v>
      </c>
      <c r="M537" s="163">
        <v>1.37</v>
      </c>
      <c r="N537" s="161">
        <v>-2.0699999999999998</v>
      </c>
      <c r="O537" s="164" t="s">
        <v>1747</v>
      </c>
    </row>
    <row r="538" spans="1:15" ht="57.6">
      <c r="A538" s="161" t="s">
        <v>2683</v>
      </c>
      <c r="B538" s="161" t="s">
        <v>1752</v>
      </c>
      <c r="C538" s="161" t="s">
        <v>1749</v>
      </c>
      <c r="D538" s="162">
        <v>43697</v>
      </c>
      <c r="E538" s="161" t="s">
        <v>2107</v>
      </c>
      <c r="F538" s="161" t="s">
        <v>1777</v>
      </c>
      <c r="G538" s="161">
        <v>4</v>
      </c>
      <c r="H538" s="161">
        <v>2</v>
      </c>
      <c r="I538" s="161">
        <v>14</v>
      </c>
      <c r="J538" s="161">
        <v>105</v>
      </c>
      <c r="K538" s="161"/>
      <c r="L538" s="163">
        <v>-0.25</v>
      </c>
      <c r="M538" s="163">
        <v>2.2999999999999998</v>
      </c>
      <c r="N538" s="161">
        <v>-2.25</v>
      </c>
      <c r="O538" s="164" t="s">
        <v>1747</v>
      </c>
    </row>
    <row r="539" spans="1:15" ht="43.2">
      <c r="A539" s="161" t="s">
        <v>2684</v>
      </c>
      <c r="B539" s="161" t="s">
        <v>1752</v>
      </c>
      <c r="C539" s="161" t="s">
        <v>1749</v>
      </c>
      <c r="D539" s="162">
        <v>43612</v>
      </c>
      <c r="E539" s="161" t="s">
        <v>2685</v>
      </c>
      <c r="F539" s="161" t="s">
        <v>1777</v>
      </c>
      <c r="G539" s="161">
        <v>3</v>
      </c>
      <c r="H539" s="161">
        <v>12</v>
      </c>
      <c r="I539" s="161">
        <v>14</v>
      </c>
      <c r="J539" s="161">
        <v>105</v>
      </c>
      <c r="K539" s="161"/>
      <c r="L539" s="163">
        <v>-0.51</v>
      </c>
      <c r="M539" s="163">
        <v>1.76</v>
      </c>
      <c r="N539" s="161">
        <v>-2.25</v>
      </c>
      <c r="O539" s="164" t="s">
        <v>1747</v>
      </c>
    </row>
    <row r="540" spans="1:15" ht="57.6">
      <c r="A540" s="161" t="s">
        <v>2686</v>
      </c>
      <c r="B540" s="161" t="s">
        <v>1743</v>
      </c>
      <c r="C540" s="161" t="s">
        <v>1786</v>
      </c>
      <c r="D540" s="162">
        <v>43382</v>
      </c>
      <c r="E540" s="161" t="s">
        <v>2687</v>
      </c>
      <c r="F540" s="161" t="s">
        <v>1777</v>
      </c>
      <c r="G540" s="161"/>
      <c r="H540" s="161">
        <v>1</v>
      </c>
      <c r="I540" s="161">
        <v>13.9</v>
      </c>
      <c r="J540" s="161">
        <v>105</v>
      </c>
      <c r="K540" s="161"/>
      <c r="L540" s="163">
        <v>-0.98</v>
      </c>
      <c r="M540" s="163">
        <v>0.69</v>
      </c>
      <c r="N540" s="161">
        <v>-2.11</v>
      </c>
      <c r="O540" s="164" t="s">
        <v>1747</v>
      </c>
    </row>
    <row r="541" spans="1:15" ht="57.6">
      <c r="A541" s="161" t="s">
        <v>2688</v>
      </c>
      <c r="B541" s="161" t="s">
        <v>1743</v>
      </c>
      <c r="C541" s="161" t="s">
        <v>1749</v>
      </c>
      <c r="D541" s="162">
        <v>43598</v>
      </c>
      <c r="E541" s="161" t="s">
        <v>2689</v>
      </c>
      <c r="F541" s="161" t="s">
        <v>1777</v>
      </c>
      <c r="G541" s="161"/>
      <c r="H541" s="161">
        <v>1</v>
      </c>
      <c r="I541" s="161">
        <v>14</v>
      </c>
      <c r="J541" s="161">
        <v>105</v>
      </c>
      <c r="K541" s="161"/>
      <c r="L541" s="163">
        <v>-0.3</v>
      </c>
      <c r="M541" s="163">
        <v>1.86</v>
      </c>
      <c r="N541" s="161">
        <v>-2.0299999999999998</v>
      </c>
      <c r="O541" s="164" t="s">
        <v>1747</v>
      </c>
    </row>
    <row r="542" spans="1:15" ht="43.2">
      <c r="A542" s="161" t="s">
        <v>2690</v>
      </c>
      <c r="B542" s="161" t="s">
        <v>1743</v>
      </c>
      <c r="C542" s="161" t="s">
        <v>1755</v>
      </c>
      <c r="D542" s="162">
        <v>44385</v>
      </c>
      <c r="E542" s="161" t="s">
        <v>2691</v>
      </c>
      <c r="F542" s="161" t="s">
        <v>1777</v>
      </c>
      <c r="G542" s="161"/>
      <c r="H542" s="161">
        <v>1</v>
      </c>
      <c r="I542" s="161">
        <v>7.3</v>
      </c>
      <c r="J542" s="161">
        <v>72.900000000000006</v>
      </c>
      <c r="K542" s="161">
        <v>16</v>
      </c>
      <c r="L542" s="163">
        <v>-2.16</v>
      </c>
      <c r="M542" s="163">
        <v>-1.4</v>
      </c>
      <c r="N542" s="161">
        <v>-2.0699999999999998</v>
      </c>
      <c r="O542" s="164" t="s">
        <v>1747</v>
      </c>
    </row>
    <row r="543" spans="1:15" ht="43.2">
      <c r="A543" s="161" t="s">
        <v>2692</v>
      </c>
      <c r="B543" s="161" t="s">
        <v>1743</v>
      </c>
      <c r="C543" s="161" t="s">
        <v>1744</v>
      </c>
      <c r="D543" s="162">
        <v>44117</v>
      </c>
      <c r="E543" s="161" t="s">
        <v>2693</v>
      </c>
      <c r="F543" s="161" t="s">
        <v>2190</v>
      </c>
      <c r="G543" s="161">
        <v>7</v>
      </c>
      <c r="H543" s="161">
        <v>1</v>
      </c>
      <c r="I543" s="161">
        <v>8.4</v>
      </c>
      <c r="J543" s="161">
        <v>80</v>
      </c>
      <c r="K543" s="161">
        <v>19</v>
      </c>
      <c r="L543" s="163">
        <v>-2.4900000000000002</v>
      </c>
      <c r="M543" s="163">
        <v>-1.54</v>
      </c>
      <c r="N543" s="161">
        <v>-2.2999999999999998</v>
      </c>
      <c r="O543" s="164" t="s">
        <v>1747</v>
      </c>
    </row>
    <row r="544" spans="1:15" ht="43.2">
      <c r="A544" s="161" t="s">
        <v>2694</v>
      </c>
      <c r="B544" s="161" t="s">
        <v>1743</v>
      </c>
      <c r="C544" s="161" t="s">
        <v>1749</v>
      </c>
      <c r="D544" s="162">
        <v>43598</v>
      </c>
      <c r="E544" s="161" t="s">
        <v>2525</v>
      </c>
      <c r="F544" s="161" t="s">
        <v>2190</v>
      </c>
      <c r="G544" s="161">
        <v>2</v>
      </c>
      <c r="H544" s="161">
        <v>2</v>
      </c>
      <c r="I544" s="161">
        <v>13.9</v>
      </c>
      <c r="J544" s="161">
        <v>105</v>
      </c>
      <c r="K544" s="161"/>
      <c r="L544" s="163">
        <v>-0.35</v>
      </c>
      <c r="M544" s="163">
        <v>1.86</v>
      </c>
      <c r="N544" s="161">
        <v>-2.11</v>
      </c>
      <c r="O544" s="164" t="s">
        <v>1747</v>
      </c>
    </row>
    <row r="545" spans="1:15" ht="43.2">
      <c r="A545" s="161" t="s">
        <v>2695</v>
      </c>
      <c r="B545" s="161" t="s">
        <v>1752</v>
      </c>
      <c r="C545" s="161" t="s">
        <v>1786</v>
      </c>
      <c r="D545" s="162">
        <v>43451</v>
      </c>
      <c r="E545" s="161" t="s">
        <v>2696</v>
      </c>
      <c r="F545" s="161" t="s">
        <v>2190</v>
      </c>
      <c r="G545" s="161">
        <v>5</v>
      </c>
      <c r="H545" s="161">
        <v>3</v>
      </c>
      <c r="I545" s="161">
        <v>14.2</v>
      </c>
      <c r="J545" s="161">
        <v>105</v>
      </c>
      <c r="K545" s="161"/>
      <c r="L545" s="163">
        <v>-0.85</v>
      </c>
      <c r="M545" s="163">
        <v>0.89</v>
      </c>
      <c r="N545" s="161">
        <v>-2.0699999999999998</v>
      </c>
      <c r="O545" s="164" t="s">
        <v>1747</v>
      </c>
    </row>
    <row r="546" spans="1:15" ht="43.2">
      <c r="A546" s="161" t="s">
        <v>2697</v>
      </c>
      <c r="B546" s="161" t="s">
        <v>1752</v>
      </c>
      <c r="C546" s="161" t="s">
        <v>1744</v>
      </c>
      <c r="D546" s="162">
        <v>44051</v>
      </c>
      <c r="E546" s="161" t="s">
        <v>2306</v>
      </c>
      <c r="F546" s="161" t="s">
        <v>2190</v>
      </c>
      <c r="G546" s="161">
        <v>1</v>
      </c>
      <c r="H546" s="161">
        <v>6</v>
      </c>
      <c r="I546" s="161">
        <v>11.2</v>
      </c>
      <c r="J546" s="161">
        <v>92</v>
      </c>
      <c r="K546" s="161"/>
      <c r="L546" s="163">
        <v>-0.84</v>
      </c>
      <c r="M546" s="163">
        <v>1.32</v>
      </c>
      <c r="N546" s="161">
        <v>-2.2599999999999998</v>
      </c>
      <c r="O546" s="164" t="s">
        <v>1747</v>
      </c>
    </row>
    <row r="547" spans="1:15" ht="43.2">
      <c r="A547" s="161" t="s">
        <v>2698</v>
      </c>
      <c r="B547" s="161" t="s">
        <v>1752</v>
      </c>
      <c r="C547" s="161" t="s">
        <v>1744</v>
      </c>
      <c r="D547" s="162">
        <v>44041</v>
      </c>
      <c r="E547" s="161" t="s">
        <v>2279</v>
      </c>
      <c r="F547" s="161" t="s">
        <v>2190</v>
      </c>
      <c r="G547" s="161">
        <v>4</v>
      </c>
      <c r="H547" s="161">
        <v>6</v>
      </c>
      <c r="I547" s="161">
        <v>11</v>
      </c>
      <c r="J547" s="161">
        <v>92</v>
      </c>
      <c r="K547" s="161"/>
      <c r="L547" s="163">
        <v>-1.04</v>
      </c>
      <c r="M547" s="163">
        <v>1.22</v>
      </c>
      <c r="N547" s="161">
        <v>-2.5</v>
      </c>
      <c r="O547" s="164" t="s">
        <v>1747</v>
      </c>
    </row>
    <row r="548" spans="1:15" ht="43.2">
      <c r="A548" s="161" t="s">
        <v>2699</v>
      </c>
      <c r="B548" s="161" t="s">
        <v>1752</v>
      </c>
      <c r="C548" s="161" t="s">
        <v>1755</v>
      </c>
      <c r="D548" s="162">
        <v>44635</v>
      </c>
      <c r="E548" s="161" t="s">
        <v>2554</v>
      </c>
      <c r="F548" s="161" t="s">
        <v>2190</v>
      </c>
      <c r="G548" s="161">
        <v>3</v>
      </c>
      <c r="H548" s="161">
        <v>5</v>
      </c>
      <c r="I548" s="161">
        <v>6</v>
      </c>
      <c r="J548" s="161">
        <v>64.099999999999994</v>
      </c>
      <c r="K548" s="161">
        <v>43</v>
      </c>
      <c r="L548" s="163">
        <v>-2.39</v>
      </c>
      <c r="M548" s="163">
        <v>-1.46</v>
      </c>
      <c r="N548" s="161">
        <v>-2.0099999999999998</v>
      </c>
      <c r="O548" s="164" t="s">
        <v>1747</v>
      </c>
    </row>
    <row r="549" spans="1:15" ht="43.2">
      <c r="A549" s="161" t="s">
        <v>2700</v>
      </c>
      <c r="B549" s="161" t="s">
        <v>1752</v>
      </c>
      <c r="C549" s="161" t="s">
        <v>1749</v>
      </c>
      <c r="D549" s="162">
        <v>43603</v>
      </c>
      <c r="E549" s="161" t="s">
        <v>2561</v>
      </c>
      <c r="F549" s="161" t="s">
        <v>2190</v>
      </c>
      <c r="G549" s="161">
        <v>1</v>
      </c>
      <c r="H549" s="161">
        <v>5</v>
      </c>
      <c r="I549" s="161">
        <v>14</v>
      </c>
      <c r="J549" s="161">
        <v>105</v>
      </c>
      <c r="K549" s="161"/>
      <c r="L549" s="163">
        <v>-0.54</v>
      </c>
      <c r="M549" s="163">
        <v>1.71</v>
      </c>
      <c r="N549" s="161">
        <v>-2.25</v>
      </c>
      <c r="O549" s="164" t="s">
        <v>1747</v>
      </c>
    </row>
    <row r="550" spans="1:15" ht="57.6">
      <c r="A550" s="161" t="s">
        <v>2701</v>
      </c>
      <c r="B550" s="161" t="s">
        <v>1752</v>
      </c>
      <c r="C550" s="161" t="s">
        <v>1786</v>
      </c>
      <c r="D550" s="162">
        <v>43282</v>
      </c>
      <c r="E550" s="161" t="s">
        <v>2569</v>
      </c>
      <c r="F550" s="161" t="s">
        <v>2190</v>
      </c>
      <c r="G550" s="161">
        <v>3</v>
      </c>
      <c r="H550" s="161">
        <v>1</v>
      </c>
      <c r="I550" s="161">
        <v>14.2</v>
      </c>
      <c r="J550" s="161">
        <v>105</v>
      </c>
      <c r="K550" s="161"/>
      <c r="L550" s="163">
        <v>-1.27</v>
      </c>
      <c r="M550" s="163">
        <v>0.11</v>
      </c>
      <c r="N550" s="161">
        <v>-2.0699999999999998</v>
      </c>
      <c r="O550" s="164" t="s">
        <v>1747</v>
      </c>
    </row>
    <row r="551" spans="1:15" ht="43.2">
      <c r="A551" s="161" t="s">
        <v>2702</v>
      </c>
      <c r="B551" s="161" t="s">
        <v>1752</v>
      </c>
      <c r="C551" s="161" t="s">
        <v>1749</v>
      </c>
      <c r="D551" s="162">
        <v>43847</v>
      </c>
      <c r="E551" s="161" t="s">
        <v>2703</v>
      </c>
      <c r="F551" s="161" t="s">
        <v>2190</v>
      </c>
      <c r="G551" s="161">
        <v>7</v>
      </c>
      <c r="H551" s="161">
        <v>2</v>
      </c>
      <c r="I551" s="161">
        <v>11.4</v>
      </c>
      <c r="J551" s="161">
        <v>92</v>
      </c>
      <c r="K551" s="161"/>
      <c r="L551" s="163">
        <v>-1.48</v>
      </c>
      <c r="M551" s="163">
        <v>-0.31</v>
      </c>
      <c r="N551" s="161">
        <v>-2.0299999999999998</v>
      </c>
      <c r="O551" s="164" t="s">
        <v>1747</v>
      </c>
    </row>
    <row r="552" spans="1:15" ht="43.2">
      <c r="A552" s="161" t="s">
        <v>2704</v>
      </c>
      <c r="B552" s="161" t="s">
        <v>1752</v>
      </c>
      <c r="C552" s="161" t="s">
        <v>1786</v>
      </c>
      <c r="D552" s="162">
        <v>43532</v>
      </c>
      <c r="E552" s="161" t="s">
        <v>2705</v>
      </c>
      <c r="F552" s="161" t="s">
        <v>2190</v>
      </c>
      <c r="G552" s="161">
        <v>4</v>
      </c>
      <c r="H552" s="161">
        <v>3</v>
      </c>
      <c r="I552" s="161">
        <v>14</v>
      </c>
      <c r="J552" s="161">
        <v>105</v>
      </c>
      <c r="K552" s="161"/>
      <c r="L552" s="163">
        <v>-0.74</v>
      </c>
      <c r="M552" s="163">
        <v>1.31</v>
      </c>
      <c r="N552" s="161">
        <v>-2.25</v>
      </c>
      <c r="O552" s="164" t="s">
        <v>1747</v>
      </c>
    </row>
    <row r="553" spans="1:15" ht="43.2">
      <c r="A553" s="161" t="s">
        <v>2706</v>
      </c>
      <c r="B553" s="161" t="s">
        <v>1752</v>
      </c>
      <c r="C553" s="161" t="s">
        <v>1786</v>
      </c>
      <c r="D553" s="162">
        <v>43388</v>
      </c>
      <c r="E553" s="161" t="s">
        <v>2707</v>
      </c>
      <c r="F553" s="161" t="s">
        <v>2190</v>
      </c>
      <c r="G553" s="161">
        <v>4</v>
      </c>
      <c r="H553" s="161">
        <v>3</v>
      </c>
      <c r="I553" s="161">
        <v>14.1</v>
      </c>
      <c r="J553" s="161">
        <v>105</v>
      </c>
      <c r="K553" s="161"/>
      <c r="L553" s="163">
        <v>-1.07</v>
      </c>
      <c r="M553" s="163">
        <v>0.57999999999999996</v>
      </c>
      <c r="N553" s="161">
        <v>-2.16</v>
      </c>
      <c r="O553" s="164" t="s">
        <v>1747</v>
      </c>
    </row>
    <row r="554" spans="1:15" ht="43.2">
      <c r="A554" s="161" t="s">
        <v>2708</v>
      </c>
      <c r="B554" s="161" t="s">
        <v>1752</v>
      </c>
      <c r="C554" s="161" t="s">
        <v>1749</v>
      </c>
      <c r="D554" s="162">
        <v>43942</v>
      </c>
      <c r="E554" s="161" t="s">
        <v>2709</v>
      </c>
      <c r="F554" s="161" t="s">
        <v>2190</v>
      </c>
      <c r="G554" s="161">
        <v>5</v>
      </c>
      <c r="H554" s="161">
        <v>3</v>
      </c>
      <c r="I554" s="161">
        <v>11.3</v>
      </c>
      <c r="J554" s="161">
        <v>92</v>
      </c>
      <c r="K554" s="161"/>
      <c r="L554" s="163">
        <v>-1.22</v>
      </c>
      <c r="M554" s="163">
        <v>0.36</v>
      </c>
      <c r="N554" s="161">
        <v>-2.14</v>
      </c>
      <c r="O554" s="164" t="s">
        <v>1747</v>
      </c>
    </row>
    <row r="555" spans="1:15" ht="43.2">
      <c r="A555" s="161" t="s">
        <v>2710</v>
      </c>
      <c r="B555" s="161" t="s">
        <v>1752</v>
      </c>
      <c r="C555" s="161" t="s">
        <v>1744</v>
      </c>
      <c r="D555" s="162">
        <v>43962</v>
      </c>
      <c r="E555" s="161" t="s">
        <v>2711</v>
      </c>
      <c r="F555" s="161" t="s">
        <v>2190</v>
      </c>
      <c r="G555" s="161">
        <v>5</v>
      </c>
      <c r="H555" s="161">
        <v>3</v>
      </c>
      <c r="I555" s="161">
        <v>11.3</v>
      </c>
      <c r="J555" s="161">
        <v>92</v>
      </c>
      <c r="K555" s="161"/>
      <c r="L555" s="163">
        <v>-1.1399999999999999</v>
      </c>
      <c r="M555" s="163">
        <v>0.52</v>
      </c>
      <c r="N555" s="161">
        <v>-2.14</v>
      </c>
      <c r="O555" s="164" t="s">
        <v>1747</v>
      </c>
    </row>
    <row r="556" spans="1:15" ht="43.2">
      <c r="A556" s="161" t="s">
        <v>2712</v>
      </c>
      <c r="B556" s="161" t="s">
        <v>1752</v>
      </c>
      <c r="C556" s="161" t="s">
        <v>1786</v>
      </c>
      <c r="D556" s="162">
        <v>43566</v>
      </c>
      <c r="E556" s="161" t="s">
        <v>2713</v>
      </c>
      <c r="F556" s="161" t="s">
        <v>1781</v>
      </c>
      <c r="G556" s="161">
        <v>1</v>
      </c>
      <c r="H556" s="161">
        <v>2</v>
      </c>
      <c r="I556" s="161">
        <v>14</v>
      </c>
      <c r="J556" s="161">
        <v>105</v>
      </c>
      <c r="K556" s="161"/>
      <c r="L556" s="163">
        <v>-0.64</v>
      </c>
      <c r="M556" s="163">
        <v>1.49</v>
      </c>
      <c r="N556" s="161">
        <v>-2.25</v>
      </c>
      <c r="O556" s="164" t="s">
        <v>1747</v>
      </c>
    </row>
    <row r="557" spans="1:15" ht="43.2">
      <c r="A557" s="161" t="s">
        <v>2714</v>
      </c>
      <c r="B557" s="161" t="s">
        <v>1743</v>
      </c>
      <c r="C557" s="161" t="s">
        <v>1749</v>
      </c>
      <c r="D557" s="162">
        <v>43770</v>
      </c>
      <c r="E557" s="161" t="s">
        <v>2310</v>
      </c>
      <c r="F557" s="161" t="s">
        <v>1781</v>
      </c>
      <c r="G557" s="161">
        <v>1</v>
      </c>
      <c r="H557" s="161">
        <v>11</v>
      </c>
      <c r="I557" s="161">
        <v>9.4</v>
      </c>
      <c r="J557" s="161">
        <v>87</v>
      </c>
      <c r="K557" s="161">
        <v>14</v>
      </c>
      <c r="L557" s="163">
        <v>-3.01</v>
      </c>
      <c r="M557" s="163">
        <v>-1.83</v>
      </c>
      <c r="N557" s="161">
        <v>-2.77</v>
      </c>
      <c r="O557" s="164" t="s">
        <v>1747</v>
      </c>
    </row>
    <row r="558" spans="1:15" ht="43.2">
      <c r="A558" s="161" t="s">
        <v>2715</v>
      </c>
      <c r="B558" s="161" t="s">
        <v>1752</v>
      </c>
      <c r="C558" s="161" t="s">
        <v>1786</v>
      </c>
      <c r="D558" s="162">
        <v>43239</v>
      </c>
      <c r="E558" s="161" t="s">
        <v>2131</v>
      </c>
      <c r="F558" s="161" t="s">
        <v>1781</v>
      </c>
      <c r="G558" s="161">
        <v>2</v>
      </c>
      <c r="H558" s="161">
        <v>11</v>
      </c>
      <c r="I558" s="161">
        <v>11.6</v>
      </c>
      <c r="J558" s="161">
        <v>97</v>
      </c>
      <c r="K558" s="161">
        <v>13.5</v>
      </c>
      <c r="L558" s="163">
        <v>-2.99</v>
      </c>
      <c r="M558" s="163">
        <v>-1.93</v>
      </c>
      <c r="N558" s="161">
        <v>-2.91</v>
      </c>
      <c r="O558" s="164" t="s">
        <v>1747</v>
      </c>
    </row>
    <row r="559" spans="1:15" ht="43.2">
      <c r="A559" s="161" t="s">
        <v>2716</v>
      </c>
      <c r="B559" s="161" t="s">
        <v>1752</v>
      </c>
      <c r="C559" s="161" t="s">
        <v>1755</v>
      </c>
      <c r="D559" s="162">
        <v>44519</v>
      </c>
      <c r="E559" s="161" t="s">
        <v>2308</v>
      </c>
      <c r="F559" s="161" t="s">
        <v>1781</v>
      </c>
      <c r="G559" s="161">
        <v>4</v>
      </c>
      <c r="H559" s="161">
        <v>2</v>
      </c>
      <c r="I559" s="161">
        <v>6.8</v>
      </c>
      <c r="J559" s="161">
        <v>69</v>
      </c>
      <c r="K559" s="161">
        <v>13</v>
      </c>
      <c r="L559" s="163">
        <v>-2.6</v>
      </c>
      <c r="M559" s="163">
        <v>-1.64</v>
      </c>
      <c r="N559" s="161">
        <v>-2.35</v>
      </c>
      <c r="O559" s="164" t="s">
        <v>1747</v>
      </c>
    </row>
    <row r="560" spans="1:15" ht="43.2">
      <c r="A560" s="161" t="s">
        <v>2717</v>
      </c>
      <c r="B560" s="161" t="s">
        <v>1743</v>
      </c>
      <c r="C560" s="161" t="s">
        <v>1744</v>
      </c>
      <c r="D560" s="162">
        <v>44104</v>
      </c>
      <c r="E560" s="161" t="s">
        <v>2119</v>
      </c>
      <c r="F560" s="161" t="s">
        <v>1781</v>
      </c>
      <c r="G560" s="161">
        <v>2</v>
      </c>
      <c r="H560" s="161">
        <v>2</v>
      </c>
      <c r="I560" s="161">
        <v>7.5</v>
      </c>
      <c r="J560" s="161">
        <v>73.5</v>
      </c>
      <c r="K560" s="161">
        <v>12</v>
      </c>
      <c r="L560" s="163">
        <v>-3.48</v>
      </c>
      <c r="M560" s="163">
        <v>-3.63</v>
      </c>
      <c r="N560" s="161">
        <v>-2.09</v>
      </c>
      <c r="O560" s="164" t="s">
        <v>1747</v>
      </c>
    </row>
    <row r="561" spans="1:15" ht="43.2">
      <c r="A561" s="161" t="s">
        <v>2718</v>
      </c>
      <c r="B561" s="161" t="s">
        <v>1743</v>
      </c>
      <c r="C561" s="161" t="s">
        <v>1749</v>
      </c>
      <c r="D561" s="162">
        <v>43777</v>
      </c>
      <c r="E561" s="161" t="s">
        <v>2591</v>
      </c>
      <c r="F561" s="161" t="s">
        <v>1781</v>
      </c>
      <c r="G561" s="161">
        <v>1</v>
      </c>
      <c r="H561" s="161">
        <v>11</v>
      </c>
      <c r="I561" s="161">
        <v>10.1</v>
      </c>
      <c r="J561" s="161">
        <v>88</v>
      </c>
      <c r="K561" s="161">
        <v>14</v>
      </c>
      <c r="L561" s="163">
        <v>-2.38</v>
      </c>
      <c r="M561" s="163">
        <v>-1.56</v>
      </c>
      <c r="N561" s="161">
        <v>-2.15</v>
      </c>
      <c r="O561" s="164" t="s">
        <v>1747</v>
      </c>
    </row>
    <row r="562" spans="1:15" ht="43.2">
      <c r="A562" s="161" t="s">
        <v>2719</v>
      </c>
      <c r="B562" s="161" t="s">
        <v>1743</v>
      </c>
      <c r="C562" s="161" t="s">
        <v>1749</v>
      </c>
      <c r="D562" s="162">
        <v>43777</v>
      </c>
      <c r="E562" s="161" t="s">
        <v>2320</v>
      </c>
      <c r="F562" s="161" t="s">
        <v>1781</v>
      </c>
      <c r="G562" s="161">
        <v>3</v>
      </c>
      <c r="H562" s="161">
        <v>11</v>
      </c>
      <c r="I562" s="161">
        <v>10.1</v>
      </c>
      <c r="J562" s="161">
        <v>88</v>
      </c>
      <c r="K562" s="161">
        <v>14</v>
      </c>
      <c r="L562" s="163">
        <v>-2.38</v>
      </c>
      <c r="M562" s="163">
        <v>-1.56</v>
      </c>
      <c r="N562" s="161">
        <v>-2.15</v>
      </c>
      <c r="O562" s="164" t="s">
        <v>1747</v>
      </c>
    </row>
    <row r="563" spans="1:15" ht="57.6">
      <c r="A563" s="161" t="s">
        <v>2720</v>
      </c>
      <c r="B563" s="161" t="s">
        <v>1752</v>
      </c>
      <c r="C563" s="161" t="s">
        <v>1749</v>
      </c>
      <c r="D563" s="162">
        <v>43875</v>
      </c>
      <c r="E563" s="161" t="s">
        <v>2594</v>
      </c>
      <c r="F563" s="161" t="s">
        <v>1781</v>
      </c>
      <c r="G563" s="161">
        <v>6</v>
      </c>
      <c r="H563" s="161">
        <v>14</v>
      </c>
      <c r="I563" s="161">
        <v>10.9</v>
      </c>
      <c r="J563" s="161">
        <v>90</v>
      </c>
      <c r="K563" s="161">
        <v>13</v>
      </c>
      <c r="L563" s="163">
        <v>-1.8</v>
      </c>
      <c r="M563" s="163">
        <v>-0.77</v>
      </c>
      <c r="N563" s="161">
        <v>-2.15</v>
      </c>
      <c r="O563" s="164" t="s">
        <v>1747</v>
      </c>
    </row>
    <row r="564" spans="1:15" ht="43.2">
      <c r="A564" s="161" t="s">
        <v>2721</v>
      </c>
      <c r="B564" s="161" t="s">
        <v>1752</v>
      </c>
      <c r="C564" s="161" t="s">
        <v>1744</v>
      </c>
      <c r="D564" s="162">
        <v>43979</v>
      </c>
      <c r="E564" s="161" t="s">
        <v>2596</v>
      </c>
      <c r="F564" s="161" t="s">
        <v>1781</v>
      </c>
      <c r="G564" s="161">
        <v>2</v>
      </c>
      <c r="H564" s="161">
        <v>13</v>
      </c>
      <c r="I564" s="161">
        <v>11.4</v>
      </c>
      <c r="J564" s="161">
        <v>92</v>
      </c>
      <c r="K564" s="161"/>
      <c r="L564" s="163">
        <v>-0.99</v>
      </c>
      <c r="M564" s="163">
        <v>0.67</v>
      </c>
      <c r="N564" s="161">
        <v>-2.0299999999999998</v>
      </c>
      <c r="O564" s="164" t="s">
        <v>1747</v>
      </c>
    </row>
    <row r="565" spans="1:15" ht="43.2">
      <c r="A565" s="161" t="s">
        <v>2722</v>
      </c>
      <c r="B565" s="161" t="s">
        <v>1743</v>
      </c>
      <c r="C565" s="161" t="s">
        <v>1755</v>
      </c>
      <c r="D565" s="162">
        <v>44458</v>
      </c>
      <c r="E565" s="161" t="s">
        <v>2723</v>
      </c>
      <c r="F565" s="161" t="s">
        <v>1781</v>
      </c>
      <c r="G565" s="161">
        <v>5</v>
      </c>
      <c r="H565" s="161">
        <v>12</v>
      </c>
      <c r="I565" s="161">
        <v>6.6</v>
      </c>
      <c r="J565" s="161">
        <v>71</v>
      </c>
      <c r="K565" s="161">
        <v>14</v>
      </c>
      <c r="L565" s="163">
        <v>-2.5299999999999998</v>
      </c>
      <c r="M565" s="163">
        <v>-1.1100000000000001</v>
      </c>
      <c r="N565" s="161">
        <v>-2.74</v>
      </c>
      <c r="O565" s="164" t="s">
        <v>1747</v>
      </c>
    </row>
    <row r="566" spans="1:15" ht="43.2">
      <c r="A566" s="161" t="s">
        <v>2724</v>
      </c>
      <c r="B566" s="161" t="s">
        <v>1752</v>
      </c>
      <c r="C566" s="161" t="s">
        <v>1755</v>
      </c>
      <c r="D566" s="162">
        <v>44505</v>
      </c>
      <c r="E566" s="161" t="s">
        <v>2328</v>
      </c>
      <c r="F566" s="161" t="s">
        <v>1784</v>
      </c>
      <c r="G566" s="161">
        <v>3</v>
      </c>
      <c r="H566" s="161">
        <v>4</v>
      </c>
      <c r="I566" s="161">
        <v>7.5</v>
      </c>
      <c r="J566" s="161">
        <v>73</v>
      </c>
      <c r="K566" s="161">
        <v>13</v>
      </c>
      <c r="L566" s="163">
        <v>-1.9</v>
      </c>
      <c r="M566" s="163">
        <v>-0.3</v>
      </c>
      <c r="N566" s="161">
        <v>-2.4</v>
      </c>
      <c r="O566" s="164" t="s">
        <v>1747</v>
      </c>
    </row>
    <row r="567" spans="1:15" ht="28.8">
      <c r="A567" s="161" t="s">
        <v>2725</v>
      </c>
      <c r="B567" s="161" t="s">
        <v>1743</v>
      </c>
      <c r="C567" s="161" t="s">
        <v>2055</v>
      </c>
      <c r="D567" s="162">
        <v>44710</v>
      </c>
      <c r="E567" s="161" t="s">
        <v>1802</v>
      </c>
      <c r="F567" s="161" t="s">
        <v>1784</v>
      </c>
      <c r="G567" s="161">
        <v>3</v>
      </c>
      <c r="H567" s="161">
        <v>7</v>
      </c>
      <c r="I567" s="161">
        <v>4.9000000000000004</v>
      </c>
      <c r="J567" s="161">
        <v>60</v>
      </c>
      <c r="K567" s="161">
        <v>12</v>
      </c>
      <c r="L567" s="163">
        <v>-1.88</v>
      </c>
      <c r="M567" s="163">
        <v>-0.55000000000000004</v>
      </c>
      <c r="N567" s="161">
        <v>-2.06</v>
      </c>
      <c r="O567" s="164" t="s">
        <v>1747</v>
      </c>
    </row>
    <row r="568" spans="1:15" ht="28.8">
      <c r="A568" s="161" t="s">
        <v>2726</v>
      </c>
      <c r="B568" s="161" t="s">
        <v>1752</v>
      </c>
      <c r="C568" s="161" t="s">
        <v>1755</v>
      </c>
      <c r="D568" s="162">
        <v>44477</v>
      </c>
      <c r="E568" s="161" t="s">
        <v>2036</v>
      </c>
      <c r="F568" s="161" t="s">
        <v>1784</v>
      </c>
      <c r="G568" s="161">
        <v>2</v>
      </c>
      <c r="H568" s="161">
        <v>4</v>
      </c>
      <c r="I568" s="161">
        <v>5.7</v>
      </c>
      <c r="J568" s="161">
        <v>57</v>
      </c>
      <c r="K568" s="161"/>
      <c r="L568" s="163">
        <v>-0.94</v>
      </c>
      <c r="M568" s="163">
        <v>-2.15</v>
      </c>
      <c r="N568" s="161">
        <v>1.23</v>
      </c>
      <c r="O568" s="164" t="s">
        <v>1757</v>
      </c>
    </row>
    <row r="569" spans="1:15" ht="28.8">
      <c r="A569" s="161" t="s">
        <v>2727</v>
      </c>
      <c r="B569" s="161" t="s">
        <v>1743</v>
      </c>
      <c r="C569" s="161" t="s">
        <v>1749</v>
      </c>
      <c r="D569" s="162">
        <v>43664</v>
      </c>
      <c r="E569" s="161" t="s">
        <v>2326</v>
      </c>
      <c r="F569" s="161" t="s">
        <v>1784</v>
      </c>
      <c r="G569" s="161">
        <v>7</v>
      </c>
      <c r="H569" s="161">
        <v>7</v>
      </c>
      <c r="I569" s="161">
        <v>8.6</v>
      </c>
      <c r="J569" s="161">
        <v>78.400000000000006</v>
      </c>
      <c r="K569" s="161">
        <v>13.5</v>
      </c>
      <c r="L569" s="163">
        <v>-3.26</v>
      </c>
      <c r="M569" s="163">
        <v>-3.67</v>
      </c>
      <c r="N569" s="161">
        <v>-1.47</v>
      </c>
      <c r="O569" s="164" t="s">
        <v>1760</v>
      </c>
    </row>
    <row r="570" spans="1:15" ht="43.2">
      <c r="A570" s="161" t="s">
        <v>2728</v>
      </c>
      <c r="B570" s="161" t="s">
        <v>1752</v>
      </c>
      <c r="C570" s="161" t="s">
        <v>1744</v>
      </c>
      <c r="D570" s="162">
        <v>43950</v>
      </c>
      <c r="E570" s="161" t="s">
        <v>1907</v>
      </c>
      <c r="F570" s="161" t="s">
        <v>1784</v>
      </c>
      <c r="G570" s="161">
        <v>3</v>
      </c>
      <c r="H570" s="161">
        <v>2</v>
      </c>
      <c r="I570" s="161">
        <v>8.9</v>
      </c>
      <c r="J570" s="161">
        <v>78</v>
      </c>
      <c r="K570" s="161">
        <v>14</v>
      </c>
      <c r="L570" s="163">
        <v>-2.2000000000000002</v>
      </c>
      <c r="M570" s="163">
        <v>-2.02</v>
      </c>
      <c r="N570" s="161">
        <v>-1.69</v>
      </c>
      <c r="O570" s="164" t="s">
        <v>1760</v>
      </c>
    </row>
    <row r="571" spans="1:15" ht="28.8">
      <c r="A571" s="161" t="s">
        <v>2729</v>
      </c>
      <c r="B571" s="161" t="s">
        <v>1752</v>
      </c>
      <c r="C571" s="161" t="s">
        <v>1749</v>
      </c>
      <c r="D571" s="162">
        <v>43790</v>
      </c>
      <c r="E571" s="161" t="s">
        <v>2336</v>
      </c>
      <c r="F571" s="161" t="s">
        <v>1784</v>
      </c>
      <c r="G571" s="161">
        <v>1</v>
      </c>
      <c r="H571" s="161">
        <v>4</v>
      </c>
      <c r="I571" s="161">
        <v>8.1999999999999993</v>
      </c>
      <c r="J571" s="161">
        <v>75</v>
      </c>
      <c r="K571" s="161">
        <v>14</v>
      </c>
      <c r="L571" s="163">
        <v>-3.58</v>
      </c>
      <c r="M571" s="163">
        <v>-4.26</v>
      </c>
      <c r="N571" s="161">
        <v>-2.0099999999999998</v>
      </c>
      <c r="O571" s="164" t="s">
        <v>1747</v>
      </c>
    </row>
    <row r="572" spans="1:15" ht="57.6">
      <c r="A572" s="161" t="s">
        <v>2730</v>
      </c>
      <c r="B572" s="161" t="s">
        <v>1743</v>
      </c>
      <c r="C572" s="161" t="s">
        <v>1749</v>
      </c>
      <c r="D572" s="162">
        <v>43782</v>
      </c>
      <c r="E572" s="161" t="s">
        <v>2611</v>
      </c>
      <c r="F572" s="161" t="s">
        <v>1807</v>
      </c>
      <c r="G572" s="161">
        <v>1</v>
      </c>
      <c r="H572" s="161">
        <v>4</v>
      </c>
      <c r="I572" s="161">
        <v>8.1999999999999993</v>
      </c>
      <c r="J572" s="161">
        <v>79</v>
      </c>
      <c r="K572" s="161">
        <v>13.5</v>
      </c>
      <c r="L572" s="163">
        <v>-3.12</v>
      </c>
      <c r="M572" s="163">
        <v>-2.48</v>
      </c>
      <c r="N572" s="161">
        <v>-2.34</v>
      </c>
      <c r="O572" s="164" t="s">
        <v>1747</v>
      </c>
    </row>
    <row r="573" spans="1:15" ht="43.2">
      <c r="A573" s="161" t="s">
        <v>2731</v>
      </c>
      <c r="B573" s="161" t="s">
        <v>1752</v>
      </c>
      <c r="C573" s="161" t="s">
        <v>1749</v>
      </c>
      <c r="D573" s="162">
        <v>43892</v>
      </c>
      <c r="E573" s="161" t="s">
        <v>1806</v>
      </c>
      <c r="F573" s="161" t="s">
        <v>1807</v>
      </c>
      <c r="G573" s="161">
        <v>11</v>
      </c>
      <c r="H573" s="161">
        <v>3</v>
      </c>
      <c r="I573" s="161">
        <v>9.6</v>
      </c>
      <c r="J573" s="161">
        <v>76</v>
      </c>
      <c r="K573" s="161">
        <v>15</v>
      </c>
      <c r="L573" s="163">
        <v>-1.81</v>
      </c>
      <c r="M573" s="163">
        <v>-3.46</v>
      </c>
      <c r="N573" s="161">
        <v>-0.13</v>
      </c>
      <c r="O573" s="164" t="s">
        <v>1760</v>
      </c>
    </row>
    <row r="574" spans="1:15" ht="43.2">
      <c r="A574" s="161" t="s">
        <v>2732</v>
      </c>
      <c r="B574" s="161" t="s">
        <v>1743</v>
      </c>
      <c r="C574" s="161" t="s">
        <v>1866</v>
      </c>
      <c r="D574" s="162">
        <v>42847</v>
      </c>
      <c r="E574" s="161" t="s">
        <v>2343</v>
      </c>
      <c r="F574" s="161" t="s">
        <v>1807</v>
      </c>
      <c r="G574" s="161">
        <v>3</v>
      </c>
      <c r="H574" s="161">
        <v>2</v>
      </c>
      <c r="I574" s="161">
        <v>11.3</v>
      </c>
      <c r="J574" s="161">
        <v>91</v>
      </c>
      <c r="K574" s="161">
        <v>14</v>
      </c>
      <c r="L574" s="163">
        <v>-3.26</v>
      </c>
      <c r="M574" s="163">
        <v>-3.57</v>
      </c>
      <c r="N574" s="161">
        <v>-1.52</v>
      </c>
      <c r="O574" s="164" t="s">
        <v>1760</v>
      </c>
    </row>
    <row r="575" spans="1:15" ht="43.2">
      <c r="A575" s="161" t="s">
        <v>2733</v>
      </c>
      <c r="B575" s="161" t="s">
        <v>1743</v>
      </c>
      <c r="C575" s="161" t="s">
        <v>1779</v>
      </c>
      <c r="D575" s="162">
        <v>43145</v>
      </c>
      <c r="E575" s="161" t="s">
        <v>2345</v>
      </c>
      <c r="F575" s="161" t="s">
        <v>1807</v>
      </c>
      <c r="G575" s="161">
        <v>1</v>
      </c>
      <c r="H575" s="161">
        <v>3</v>
      </c>
      <c r="I575" s="161">
        <v>11.6</v>
      </c>
      <c r="J575" s="161">
        <v>86.6</v>
      </c>
      <c r="K575" s="161">
        <v>14.8</v>
      </c>
      <c r="L575" s="163">
        <v>-2.41</v>
      </c>
      <c r="M575" s="163">
        <v>-3.64</v>
      </c>
      <c r="N575" s="161">
        <v>-0.19</v>
      </c>
      <c r="O575" s="164" t="s">
        <v>1760</v>
      </c>
    </row>
    <row r="576" spans="1:15" ht="43.2">
      <c r="A576" s="161" t="s">
        <v>2734</v>
      </c>
      <c r="B576" s="161" t="s">
        <v>1752</v>
      </c>
      <c r="C576" s="161" t="s">
        <v>1786</v>
      </c>
      <c r="D576" s="162">
        <v>43340</v>
      </c>
      <c r="E576" s="161" t="s">
        <v>2735</v>
      </c>
      <c r="F576" s="161" t="s">
        <v>1807</v>
      </c>
      <c r="G576" s="161">
        <v>2</v>
      </c>
      <c r="H576" s="161">
        <v>3</v>
      </c>
      <c r="I576" s="161">
        <v>10.1</v>
      </c>
      <c r="J576" s="161">
        <v>90.7</v>
      </c>
      <c r="K576" s="161">
        <v>13.2</v>
      </c>
      <c r="L576" s="163">
        <v>-3.32</v>
      </c>
      <c r="M576" s="163">
        <v>-2.1800000000000002</v>
      </c>
      <c r="N576" s="161">
        <v>-3.32</v>
      </c>
      <c r="O576" s="164" t="s">
        <v>1790</v>
      </c>
    </row>
    <row r="577" spans="1:15" ht="43.2">
      <c r="A577" s="161" t="s">
        <v>2736</v>
      </c>
      <c r="B577" s="161" t="s">
        <v>1752</v>
      </c>
      <c r="C577" s="161" t="s">
        <v>1779</v>
      </c>
      <c r="D577" s="162">
        <v>43198</v>
      </c>
      <c r="E577" s="161" t="s">
        <v>2737</v>
      </c>
      <c r="F577" s="161" t="s">
        <v>1807</v>
      </c>
      <c r="G577" s="161">
        <v>1</v>
      </c>
      <c r="H577" s="161">
        <v>4</v>
      </c>
      <c r="I577" s="161">
        <v>12.5</v>
      </c>
      <c r="J577" s="161">
        <v>92.3</v>
      </c>
      <c r="K577" s="161">
        <v>14.5</v>
      </c>
      <c r="L577" s="163">
        <v>-1.93</v>
      </c>
      <c r="M577" s="163">
        <v>-2.3199999999999998</v>
      </c>
      <c r="N577" s="161">
        <v>-0.9</v>
      </c>
      <c r="O577" s="164" t="s">
        <v>1760</v>
      </c>
    </row>
    <row r="578" spans="1:15" ht="28.8">
      <c r="A578" s="161" t="s">
        <v>2738</v>
      </c>
      <c r="B578" s="161" t="s">
        <v>1752</v>
      </c>
      <c r="C578" s="161" t="s">
        <v>1755</v>
      </c>
      <c r="D578" s="162">
        <v>44591</v>
      </c>
      <c r="E578" s="161" t="s">
        <v>2739</v>
      </c>
      <c r="F578" s="161" t="s">
        <v>1746</v>
      </c>
      <c r="G578" s="161">
        <v>4</v>
      </c>
      <c r="H578" s="161">
        <v>5</v>
      </c>
      <c r="I578" s="161">
        <v>3</v>
      </c>
      <c r="J578" s="161">
        <v>48</v>
      </c>
      <c r="K578" s="161"/>
      <c r="L578" s="163">
        <v>-2.81</v>
      </c>
      <c r="M578" s="163">
        <v>-3.07</v>
      </c>
      <c r="N578" s="161">
        <v>-0.27</v>
      </c>
      <c r="O578" s="164" t="s">
        <v>1760</v>
      </c>
    </row>
    <row r="579" spans="1:15" ht="43.2">
      <c r="A579" s="161" t="s">
        <v>2740</v>
      </c>
      <c r="B579" s="161" t="s">
        <v>1752</v>
      </c>
      <c r="C579" s="161" t="s">
        <v>1755</v>
      </c>
      <c r="D579" s="162">
        <v>44585</v>
      </c>
      <c r="E579" s="161" t="s">
        <v>2408</v>
      </c>
      <c r="F579" s="161" t="s">
        <v>1769</v>
      </c>
      <c r="G579" s="161">
        <v>8</v>
      </c>
      <c r="H579" s="161">
        <v>1</v>
      </c>
      <c r="I579" s="161">
        <v>3</v>
      </c>
      <c r="J579" s="161">
        <v>47</v>
      </c>
      <c r="K579" s="161"/>
      <c r="L579" s="163">
        <v>-2.35</v>
      </c>
      <c r="M579" s="163">
        <v>-3.17</v>
      </c>
      <c r="N579" s="161">
        <v>0.39</v>
      </c>
      <c r="O579" s="164" t="s">
        <v>1760</v>
      </c>
    </row>
    <row r="580" spans="1:15" ht="43.2">
      <c r="A580" s="161" t="s">
        <v>2741</v>
      </c>
      <c r="B580" s="161" t="s">
        <v>1752</v>
      </c>
      <c r="C580" s="161" t="s">
        <v>1755</v>
      </c>
      <c r="D580" s="162">
        <v>44585</v>
      </c>
      <c r="E580" s="161" t="s">
        <v>2742</v>
      </c>
      <c r="F580" s="161" t="s">
        <v>1769</v>
      </c>
      <c r="G580" s="161">
        <v>4</v>
      </c>
      <c r="H580" s="161">
        <v>1</v>
      </c>
      <c r="I580" s="161">
        <v>2.7</v>
      </c>
      <c r="J580" s="161">
        <v>49</v>
      </c>
      <c r="K580" s="161"/>
      <c r="L580" s="163">
        <v>-3.05</v>
      </c>
      <c r="M580" s="163">
        <v>-2.13</v>
      </c>
      <c r="N580" s="161">
        <v>-2.21</v>
      </c>
      <c r="O580" s="164" t="s">
        <v>1747</v>
      </c>
    </row>
    <row r="581" spans="1:15" ht="57.6">
      <c r="A581" s="161" t="s">
        <v>2743</v>
      </c>
      <c r="B581" s="161" t="s">
        <v>1752</v>
      </c>
      <c r="C581" s="161" t="s">
        <v>1786</v>
      </c>
      <c r="D581" s="162">
        <v>43224</v>
      </c>
      <c r="E581" s="161" t="s">
        <v>2636</v>
      </c>
      <c r="F581" s="161" t="s">
        <v>1769</v>
      </c>
      <c r="G581" s="161">
        <v>8</v>
      </c>
      <c r="H581" s="161">
        <v>1</v>
      </c>
      <c r="I581" s="161">
        <v>13.5</v>
      </c>
      <c r="J581" s="161">
        <v>93</v>
      </c>
      <c r="K581" s="161">
        <v>15</v>
      </c>
      <c r="L581" s="163">
        <v>-1.23</v>
      </c>
      <c r="M581" s="163">
        <v>-2.0299999999999998</v>
      </c>
      <c r="N581" s="161">
        <v>-0.08</v>
      </c>
      <c r="O581" s="164" t="s">
        <v>1760</v>
      </c>
    </row>
    <row r="582" spans="1:15" ht="43.2">
      <c r="A582" s="161" t="s">
        <v>2744</v>
      </c>
      <c r="B582" s="161" t="s">
        <v>1752</v>
      </c>
      <c r="C582" s="161" t="s">
        <v>1744</v>
      </c>
      <c r="D582" s="162">
        <v>43986</v>
      </c>
      <c r="E582" s="161" t="s">
        <v>2745</v>
      </c>
      <c r="F582" s="161" t="s">
        <v>1769</v>
      </c>
      <c r="G582" s="161">
        <v>3</v>
      </c>
      <c r="H582" s="161">
        <v>1</v>
      </c>
      <c r="I582" s="161">
        <v>11.5</v>
      </c>
      <c r="J582" s="161">
        <v>77</v>
      </c>
      <c r="K582" s="161">
        <v>15</v>
      </c>
      <c r="L582" s="163">
        <v>0.24</v>
      </c>
      <c r="M582" s="163">
        <v>-2.35</v>
      </c>
      <c r="N582" s="161">
        <v>1.76</v>
      </c>
      <c r="O582" s="164" t="s">
        <v>1757</v>
      </c>
    </row>
    <row r="583" spans="1:15" ht="43.2">
      <c r="A583" s="161" t="s">
        <v>2746</v>
      </c>
      <c r="B583" s="161" t="s">
        <v>1743</v>
      </c>
      <c r="C583" s="161" t="s">
        <v>1749</v>
      </c>
      <c r="D583" s="162">
        <v>43853</v>
      </c>
      <c r="E583" s="161" t="s">
        <v>2161</v>
      </c>
      <c r="F583" s="161" t="s">
        <v>1769</v>
      </c>
      <c r="G583" s="161">
        <v>8</v>
      </c>
      <c r="H583" s="161">
        <v>1</v>
      </c>
      <c r="I583" s="161">
        <v>8</v>
      </c>
      <c r="J583" s="161">
        <v>78</v>
      </c>
      <c r="K583" s="161">
        <v>12.8</v>
      </c>
      <c r="L583" s="163">
        <v>-3.02</v>
      </c>
      <c r="M583" s="163">
        <v>-2.31</v>
      </c>
      <c r="N583" s="161">
        <v>-2.4</v>
      </c>
      <c r="O583" s="164" t="s">
        <v>1747</v>
      </c>
    </row>
    <row r="584" spans="1:15" ht="43.2">
      <c r="A584" s="161" t="s">
        <v>2747</v>
      </c>
      <c r="B584" s="161" t="s">
        <v>1752</v>
      </c>
      <c r="C584" s="161" t="s">
        <v>1755</v>
      </c>
      <c r="D584" s="162">
        <v>44380</v>
      </c>
      <c r="E584" s="161" t="s">
        <v>2158</v>
      </c>
      <c r="F584" s="161" t="s">
        <v>1769</v>
      </c>
      <c r="G584" s="161">
        <v>1</v>
      </c>
      <c r="H584" s="161">
        <v>2</v>
      </c>
      <c r="I584" s="161">
        <v>6.8</v>
      </c>
      <c r="J584" s="161">
        <v>63.3</v>
      </c>
      <c r="K584" s="161">
        <v>12.5</v>
      </c>
      <c r="L584" s="163">
        <v>-1.54</v>
      </c>
      <c r="M584" s="163">
        <v>-2.2599999999999998</v>
      </c>
      <c r="N584" s="161">
        <v>-0.09</v>
      </c>
      <c r="O584" s="164" t="s">
        <v>1760</v>
      </c>
    </row>
    <row r="585" spans="1:15" ht="43.2">
      <c r="A585" s="161" t="s">
        <v>2748</v>
      </c>
      <c r="B585" s="161" t="s">
        <v>1752</v>
      </c>
      <c r="C585" s="161" t="s">
        <v>1744</v>
      </c>
      <c r="D585" s="162">
        <v>44222</v>
      </c>
      <c r="E585" s="161" t="s">
        <v>2629</v>
      </c>
      <c r="F585" s="161" t="s">
        <v>1769</v>
      </c>
      <c r="G585" s="161">
        <v>4</v>
      </c>
      <c r="H585" s="161">
        <v>2</v>
      </c>
      <c r="I585" s="161">
        <v>7.2</v>
      </c>
      <c r="J585" s="161">
        <v>67.900000000000006</v>
      </c>
      <c r="K585" s="161">
        <v>15</v>
      </c>
      <c r="L585" s="163">
        <v>-2.5499999999999998</v>
      </c>
      <c r="M585" s="163">
        <v>-3.08</v>
      </c>
      <c r="N585" s="161">
        <v>-1.22</v>
      </c>
      <c r="O585" s="164" t="s">
        <v>1760</v>
      </c>
    </row>
    <row r="586" spans="1:15" ht="43.2">
      <c r="A586" s="161" t="s">
        <v>2749</v>
      </c>
      <c r="B586" s="161" t="s">
        <v>1752</v>
      </c>
      <c r="C586" s="161" t="s">
        <v>1866</v>
      </c>
      <c r="D586" s="162">
        <v>42849</v>
      </c>
      <c r="E586" s="161" t="s">
        <v>2252</v>
      </c>
      <c r="F586" s="161" t="s">
        <v>1769</v>
      </c>
      <c r="G586" s="161">
        <v>5</v>
      </c>
      <c r="H586" s="161">
        <v>5</v>
      </c>
      <c r="I586" s="161">
        <v>11.6</v>
      </c>
      <c r="J586" s="161">
        <v>92.2</v>
      </c>
      <c r="K586" s="161"/>
      <c r="L586" s="163">
        <v>-3.28</v>
      </c>
      <c r="M586" s="163">
        <v>-3.52</v>
      </c>
      <c r="N586" s="161">
        <v>-1.84</v>
      </c>
      <c r="O586" s="164" t="s">
        <v>1760</v>
      </c>
    </row>
    <row r="587" spans="1:15" ht="43.2">
      <c r="A587" s="161" t="s">
        <v>2750</v>
      </c>
      <c r="B587" s="161" t="s">
        <v>1743</v>
      </c>
      <c r="C587" s="161" t="s">
        <v>1779</v>
      </c>
      <c r="D587" s="162">
        <v>43180</v>
      </c>
      <c r="E587" s="161" t="s">
        <v>2099</v>
      </c>
      <c r="F587" s="161" t="s">
        <v>1769</v>
      </c>
      <c r="G587" s="161">
        <v>9</v>
      </c>
      <c r="H587" s="161">
        <v>5</v>
      </c>
      <c r="I587" s="161">
        <v>11.8</v>
      </c>
      <c r="J587" s="161">
        <v>92.8</v>
      </c>
      <c r="K587" s="161"/>
      <c r="L587" s="163">
        <v>-2.1800000000000002</v>
      </c>
      <c r="M587" s="163">
        <v>-2.0499999999999998</v>
      </c>
      <c r="N587" s="161">
        <v>-1.4</v>
      </c>
      <c r="O587" s="164" t="s">
        <v>1760</v>
      </c>
    </row>
    <row r="588" spans="1:15" ht="43.2">
      <c r="A588" s="161" t="s">
        <v>2751</v>
      </c>
      <c r="B588" s="161" t="s">
        <v>1743</v>
      </c>
      <c r="C588" s="161" t="s">
        <v>1779</v>
      </c>
      <c r="D588" s="162">
        <v>43191</v>
      </c>
      <c r="E588" s="161" t="s">
        <v>2493</v>
      </c>
      <c r="F588" s="161" t="s">
        <v>1769</v>
      </c>
      <c r="G588" s="161">
        <v>8</v>
      </c>
      <c r="H588" s="161">
        <v>5</v>
      </c>
      <c r="I588" s="161">
        <v>8.6</v>
      </c>
      <c r="J588" s="161">
        <v>86.2</v>
      </c>
      <c r="K588" s="161"/>
      <c r="L588" s="163">
        <v>-4.46</v>
      </c>
      <c r="M588" s="163">
        <v>-3.74</v>
      </c>
      <c r="N588" s="161">
        <v>-3.44</v>
      </c>
      <c r="O588" s="164" t="s">
        <v>1790</v>
      </c>
    </row>
    <row r="589" spans="1:15" ht="57.6">
      <c r="A589" s="161" t="s">
        <v>2752</v>
      </c>
      <c r="B589" s="161" t="s">
        <v>1743</v>
      </c>
      <c r="C589" s="161" t="s">
        <v>1749</v>
      </c>
      <c r="D589" s="162">
        <v>43645</v>
      </c>
      <c r="E589" s="161" t="s">
        <v>2753</v>
      </c>
      <c r="F589" s="161" t="s">
        <v>1769</v>
      </c>
      <c r="G589" s="161">
        <v>1</v>
      </c>
      <c r="H589" s="161">
        <v>7</v>
      </c>
      <c r="I589" s="161">
        <v>8.3000000000000007</v>
      </c>
      <c r="J589" s="161">
        <v>82.5</v>
      </c>
      <c r="K589" s="161"/>
      <c r="L589" s="163">
        <v>-3.65</v>
      </c>
      <c r="M589" s="163">
        <v>-2.5</v>
      </c>
      <c r="N589" s="161">
        <v>-3.09</v>
      </c>
      <c r="O589" s="164" t="s">
        <v>1790</v>
      </c>
    </row>
    <row r="590" spans="1:15" ht="43.2">
      <c r="A590" s="161" t="s">
        <v>2754</v>
      </c>
      <c r="B590" s="161" t="s">
        <v>1752</v>
      </c>
      <c r="C590" s="161" t="s">
        <v>1786</v>
      </c>
      <c r="D590" s="162">
        <v>43364</v>
      </c>
      <c r="E590" s="161" t="s">
        <v>2219</v>
      </c>
      <c r="F590" s="161" t="s">
        <v>1769</v>
      </c>
      <c r="G590" s="161">
        <v>1</v>
      </c>
      <c r="H590" s="161">
        <v>11</v>
      </c>
      <c r="I590" s="161">
        <v>10</v>
      </c>
      <c r="J590" s="161">
        <v>79.8</v>
      </c>
      <c r="K590" s="161"/>
      <c r="L590" s="163">
        <v>-3.29</v>
      </c>
      <c r="M590" s="163">
        <v>-4.9800000000000004</v>
      </c>
      <c r="N590" s="161">
        <v>-0.49</v>
      </c>
      <c r="O590" s="164" t="s">
        <v>1760</v>
      </c>
    </row>
    <row r="591" spans="1:15" ht="57.6">
      <c r="A591" s="161" t="s">
        <v>2755</v>
      </c>
      <c r="B591" s="161" t="s">
        <v>1743</v>
      </c>
      <c r="C591" s="161" t="s">
        <v>1749</v>
      </c>
      <c r="D591" s="162">
        <v>43789</v>
      </c>
      <c r="E591" s="161" t="s">
        <v>2756</v>
      </c>
      <c r="F591" s="161" t="s">
        <v>1769</v>
      </c>
      <c r="G591" s="161">
        <v>2</v>
      </c>
      <c r="H591" s="161">
        <v>5</v>
      </c>
      <c r="I591" s="161">
        <v>9.1</v>
      </c>
      <c r="J591" s="161">
        <v>80.5</v>
      </c>
      <c r="K591" s="161">
        <v>13</v>
      </c>
      <c r="L591" s="163">
        <v>-2.2200000000000002</v>
      </c>
      <c r="M591" s="163">
        <v>-2.0499999999999998</v>
      </c>
      <c r="N591" s="161">
        <v>-1.47</v>
      </c>
      <c r="O591" s="164" t="s">
        <v>1760</v>
      </c>
    </row>
    <row r="592" spans="1:15" ht="43.2">
      <c r="A592" s="161" t="s">
        <v>2757</v>
      </c>
      <c r="B592" s="161" t="s">
        <v>1752</v>
      </c>
      <c r="C592" s="161" t="s">
        <v>1749</v>
      </c>
      <c r="D592" s="162">
        <v>43589</v>
      </c>
      <c r="E592" s="161" t="s">
        <v>2758</v>
      </c>
      <c r="F592" s="161" t="s">
        <v>1769</v>
      </c>
      <c r="G592" s="161">
        <v>8</v>
      </c>
      <c r="H592" s="161">
        <v>5</v>
      </c>
      <c r="I592" s="161">
        <v>10</v>
      </c>
      <c r="J592" s="161">
        <v>82.7</v>
      </c>
      <c r="K592" s="161">
        <v>14.3</v>
      </c>
      <c r="L592" s="163">
        <v>-2.69</v>
      </c>
      <c r="M592" s="163">
        <v>-3.12</v>
      </c>
      <c r="N592" s="161">
        <v>-1.32</v>
      </c>
      <c r="O592" s="164" t="s">
        <v>1760</v>
      </c>
    </row>
    <row r="593" spans="1:15" ht="43.2">
      <c r="A593" s="161" t="s">
        <v>2759</v>
      </c>
      <c r="B593" s="161" t="s">
        <v>1752</v>
      </c>
      <c r="C593" s="161" t="s">
        <v>1755</v>
      </c>
      <c r="D593" s="162">
        <v>44576</v>
      </c>
      <c r="E593" s="161" t="s">
        <v>2760</v>
      </c>
      <c r="F593" s="161" t="s">
        <v>1769</v>
      </c>
      <c r="G593" s="161">
        <v>4</v>
      </c>
      <c r="H593" s="161">
        <v>5</v>
      </c>
      <c r="I593" s="161">
        <v>2.4</v>
      </c>
      <c r="J593" s="161">
        <v>47</v>
      </c>
      <c r="K593" s="161"/>
      <c r="L593" s="163">
        <v>-3.06</v>
      </c>
      <c r="M593" s="163">
        <v>-2.5099999999999998</v>
      </c>
      <c r="N593" s="161">
        <v>-2.15</v>
      </c>
      <c r="O593" s="164" t="s">
        <v>1747</v>
      </c>
    </row>
    <row r="594" spans="1:15" ht="43.2">
      <c r="A594" s="161" t="s">
        <v>2761</v>
      </c>
      <c r="B594" s="161" t="s">
        <v>1752</v>
      </c>
      <c r="C594" s="161" t="s">
        <v>1755</v>
      </c>
      <c r="D594" s="162">
        <v>44586</v>
      </c>
      <c r="E594" s="161" t="s">
        <v>2663</v>
      </c>
      <c r="F594" s="161" t="s">
        <v>1774</v>
      </c>
      <c r="G594" s="161">
        <v>4</v>
      </c>
      <c r="H594" s="161">
        <v>4</v>
      </c>
      <c r="I594" s="161">
        <v>2.8</v>
      </c>
      <c r="J594" s="161">
        <v>49</v>
      </c>
      <c r="K594" s="161"/>
      <c r="L594" s="163">
        <v>-2.9</v>
      </c>
      <c r="M594" s="163">
        <v>-2.2000000000000002</v>
      </c>
      <c r="N594" s="161">
        <v>-1.78</v>
      </c>
      <c r="O594" s="164" t="s">
        <v>1760</v>
      </c>
    </row>
    <row r="595" spans="1:15" ht="72">
      <c r="A595" s="161" t="s">
        <v>2762</v>
      </c>
      <c r="B595" s="161" t="s">
        <v>1752</v>
      </c>
      <c r="C595" s="161" t="s">
        <v>1779</v>
      </c>
      <c r="D595" s="162">
        <v>43113</v>
      </c>
      <c r="E595" s="161" t="s">
        <v>2667</v>
      </c>
      <c r="F595" s="161" t="s">
        <v>1774</v>
      </c>
      <c r="G595" s="161">
        <v>7</v>
      </c>
      <c r="H595" s="161">
        <v>3</v>
      </c>
      <c r="I595" s="161">
        <v>13.6</v>
      </c>
      <c r="J595" s="161">
        <v>98</v>
      </c>
      <c r="K595" s="161">
        <v>15</v>
      </c>
      <c r="L595" s="163">
        <v>-2.2599999999999998</v>
      </c>
      <c r="M595" s="163">
        <v>-2.57</v>
      </c>
      <c r="N595" s="161">
        <v>-1.07</v>
      </c>
      <c r="O595" s="164" t="s">
        <v>1760</v>
      </c>
    </row>
    <row r="596" spans="1:15" ht="43.2">
      <c r="A596" s="161" t="s">
        <v>2763</v>
      </c>
      <c r="B596" s="161" t="s">
        <v>1743</v>
      </c>
      <c r="C596" s="161" t="s">
        <v>1744</v>
      </c>
      <c r="D596" s="162">
        <v>44312</v>
      </c>
      <c r="E596" s="161" t="s">
        <v>2262</v>
      </c>
      <c r="F596" s="161" t="s">
        <v>1774</v>
      </c>
      <c r="G596" s="161">
        <v>1</v>
      </c>
      <c r="H596" s="161">
        <v>7</v>
      </c>
      <c r="I596" s="161">
        <v>8</v>
      </c>
      <c r="J596" s="161">
        <v>75</v>
      </c>
      <c r="K596" s="161">
        <v>13</v>
      </c>
      <c r="L596" s="163">
        <v>-2.5</v>
      </c>
      <c r="M596" s="163">
        <v>-2.7</v>
      </c>
      <c r="N596" s="161">
        <v>-1.53</v>
      </c>
      <c r="O596" s="164" t="s">
        <v>1760</v>
      </c>
    </row>
    <row r="597" spans="1:15" ht="43.2">
      <c r="A597" s="161" t="s">
        <v>2764</v>
      </c>
      <c r="B597" s="161" t="s">
        <v>1752</v>
      </c>
      <c r="C597" s="161" t="s">
        <v>1786</v>
      </c>
      <c r="D597" s="162">
        <v>43334</v>
      </c>
      <c r="E597" s="161" t="s">
        <v>2685</v>
      </c>
      <c r="F597" s="161" t="s">
        <v>1777</v>
      </c>
      <c r="G597" s="161">
        <v>3</v>
      </c>
      <c r="H597" s="161">
        <v>12</v>
      </c>
      <c r="I597" s="161">
        <v>11</v>
      </c>
      <c r="J597" s="161">
        <v>93</v>
      </c>
      <c r="K597" s="161">
        <v>14</v>
      </c>
      <c r="L597" s="163">
        <v>-3.44</v>
      </c>
      <c r="M597" s="163">
        <v>-2.96</v>
      </c>
      <c r="N597" s="161">
        <v>-2.73</v>
      </c>
      <c r="O597" s="164" t="s">
        <v>1747</v>
      </c>
    </row>
    <row r="598" spans="1:15" ht="57.6">
      <c r="A598" s="161" t="s">
        <v>2765</v>
      </c>
      <c r="B598" s="161" t="s">
        <v>1752</v>
      </c>
      <c r="C598" s="161" t="s">
        <v>1749</v>
      </c>
      <c r="D598" s="162">
        <v>43647</v>
      </c>
      <c r="E598" s="161" t="s">
        <v>2687</v>
      </c>
      <c r="F598" s="161" t="s">
        <v>1777</v>
      </c>
      <c r="G598" s="161"/>
      <c r="H598" s="161">
        <v>1</v>
      </c>
      <c r="I598" s="161">
        <v>11.7</v>
      </c>
      <c r="J598" s="161">
        <v>90</v>
      </c>
      <c r="K598" s="161">
        <v>14.5</v>
      </c>
      <c r="L598" s="163">
        <v>-2.2400000000000002</v>
      </c>
      <c r="M598" s="163">
        <v>-2.5299999999999998</v>
      </c>
      <c r="N598" s="161">
        <v>-1.22</v>
      </c>
      <c r="O598" s="164" t="s">
        <v>1760</v>
      </c>
    </row>
    <row r="599" spans="1:15" ht="43.2">
      <c r="A599" s="161" t="s">
        <v>2766</v>
      </c>
      <c r="B599" s="161" t="s">
        <v>1743</v>
      </c>
      <c r="C599" s="161" t="s">
        <v>1786</v>
      </c>
      <c r="D599" s="162">
        <v>43293</v>
      </c>
      <c r="E599" s="161" t="s">
        <v>2509</v>
      </c>
      <c r="F599" s="161" t="s">
        <v>1777</v>
      </c>
      <c r="G599" s="161">
        <v>2</v>
      </c>
      <c r="H599" s="161">
        <v>10</v>
      </c>
      <c r="I599" s="161">
        <v>11.5</v>
      </c>
      <c r="J599" s="161">
        <v>90</v>
      </c>
      <c r="K599" s="161"/>
      <c r="L599" s="163">
        <v>-2.99</v>
      </c>
      <c r="M599" s="163">
        <v>-3.58</v>
      </c>
      <c r="N599" s="161">
        <v>-1.0900000000000001</v>
      </c>
      <c r="O599" s="164" t="s">
        <v>1760</v>
      </c>
    </row>
    <row r="600" spans="1:15" ht="57.6">
      <c r="A600" s="161" t="s">
        <v>2767</v>
      </c>
      <c r="B600" s="161" t="s">
        <v>1752</v>
      </c>
      <c r="C600" s="161" t="s">
        <v>1749</v>
      </c>
      <c r="D600" s="162">
        <v>43669</v>
      </c>
      <c r="E600" s="161" t="s">
        <v>2107</v>
      </c>
      <c r="F600" s="161" t="s">
        <v>1777</v>
      </c>
      <c r="G600" s="161">
        <v>4</v>
      </c>
      <c r="H600" s="161">
        <v>2</v>
      </c>
      <c r="I600" s="161">
        <v>10.5</v>
      </c>
      <c r="J600" s="161">
        <v>88</v>
      </c>
      <c r="K600" s="161"/>
      <c r="L600" s="163">
        <v>-3.08</v>
      </c>
      <c r="M600" s="163">
        <v>-2.96</v>
      </c>
      <c r="N600" s="161">
        <v>-2.13</v>
      </c>
      <c r="O600" s="164" t="s">
        <v>1747</v>
      </c>
    </row>
    <row r="601" spans="1:15" ht="43.2">
      <c r="A601" s="161" t="s">
        <v>2768</v>
      </c>
      <c r="B601" s="161" t="s">
        <v>1752</v>
      </c>
      <c r="C601" s="161" t="s">
        <v>1749</v>
      </c>
      <c r="D601" s="162">
        <v>43717</v>
      </c>
      <c r="E601" s="161" t="s">
        <v>2642</v>
      </c>
      <c r="F601" s="161" t="s">
        <v>1777</v>
      </c>
      <c r="G601" s="161">
        <v>1</v>
      </c>
      <c r="H601" s="161">
        <v>1</v>
      </c>
      <c r="I601" s="161">
        <v>10</v>
      </c>
      <c r="J601" s="161">
        <v>84</v>
      </c>
      <c r="K601" s="161"/>
      <c r="L601" s="163">
        <v>-3.34</v>
      </c>
      <c r="M601" s="163">
        <v>-3.79</v>
      </c>
      <c r="N601" s="161">
        <v>-1.67</v>
      </c>
      <c r="O601" s="164" t="s">
        <v>1760</v>
      </c>
    </row>
    <row r="602" spans="1:15" ht="43.2">
      <c r="A602" s="161" t="s">
        <v>2769</v>
      </c>
      <c r="B602" s="161" t="s">
        <v>1743</v>
      </c>
      <c r="C602" s="161" t="s">
        <v>1744</v>
      </c>
      <c r="D602" s="162">
        <v>43956</v>
      </c>
      <c r="E602" s="161" t="s">
        <v>2511</v>
      </c>
      <c r="F602" s="161" t="s">
        <v>1777</v>
      </c>
      <c r="G602" s="161">
        <v>8</v>
      </c>
      <c r="H602" s="161">
        <v>9</v>
      </c>
      <c r="I602" s="161">
        <v>10.3</v>
      </c>
      <c r="J602" s="161">
        <v>81</v>
      </c>
      <c r="K602" s="161"/>
      <c r="L602" s="163">
        <v>-2</v>
      </c>
      <c r="M602" s="163">
        <v>-3.14</v>
      </c>
      <c r="N602" s="161">
        <v>-0.16</v>
      </c>
      <c r="O602" s="164" t="s">
        <v>1760</v>
      </c>
    </row>
    <row r="603" spans="1:15" ht="43.2">
      <c r="A603" s="161" t="s">
        <v>2770</v>
      </c>
      <c r="B603" s="161" t="s">
        <v>1752</v>
      </c>
      <c r="C603" s="161" t="s">
        <v>2055</v>
      </c>
      <c r="D603" s="162">
        <v>44956</v>
      </c>
      <c r="E603" s="161" t="s">
        <v>1776</v>
      </c>
      <c r="F603" s="161" t="s">
        <v>1777</v>
      </c>
      <c r="G603" s="161">
        <v>1</v>
      </c>
      <c r="H603" s="161">
        <v>2</v>
      </c>
      <c r="I603" s="161">
        <v>3</v>
      </c>
      <c r="J603" s="161">
        <v>50</v>
      </c>
      <c r="K603" s="161"/>
      <c r="L603" s="163">
        <v>-2.81</v>
      </c>
      <c r="M603" s="163">
        <v>-2.04</v>
      </c>
      <c r="N603" s="161">
        <v>-1.7</v>
      </c>
      <c r="O603" s="164" t="s">
        <v>1760</v>
      </c>
    </row>
    <row r="604" spans="1:15" ht="43.2">
      <c r="A604" s="161" t="s">
        <v>2771</v>
      </c>
      <c r="B604" s="161" t="s">
        <v>1752</v>
      </c>
      <c r="C604" s="161" t="s">
        <v>2055</v>
      </c>
      <c r="D604" s="162">
        <v>44954</v>
      </c>
      <c r="E604" s="161" t="s">
        <v>2518</v>
      </c>
      <c r="F604" s="161" t="s">
        <v>1777</v>
      </c>
      <c r="G604" s="161">
        <v>5</v>
      </c>
      <c r="H604" s="161">
        <v>2</v>
      </c>
      <c r="I604" s="161">
        <v>2.6</v>
      </c>
      <c r="J604" s="161">
        <v>49</v>
      </c>
      <c r="K604" s="161"/>
      <c r="L604" s="163">
        <v>-3.56</v>
      </c>
      <c r="M604" s="163">
        <v>-2.41</v>
      </c>
      <c r="N604" s="161">
        <v>-2.67</v>
      </c>
      <c r="O604" s="164" t="s">
        <v>1747</v>
      </c>
    </row>
    <row r="605" spans="1:15" ht="43.2">
      <c r="A605" s="161" t="s">
        <v>2772</v>
      </c>
      <c r="B605" s="161" t="s">
        <v>1743</v>
      </c>
      <c r="C605" s="161" t="s">
        <v>1744</v>
      </c>
      <c r="D605" s="162">
        <v>44104</v>
      </c>
      <c r="E605" s="161" t="s">
        <v>2513</v>
      </c>
      <c r="F605" s="161" t="s">
        <v>1777</v>
      </c>
      <c r="G605" s="161">
        <v>3</v>
      </c>
      <c r="H605" s="161">
        <v>10</v>
      </c>
      <c r="I605" s="161">
        <v>8.1</v>
      </c>
      <c r="J605" s="161">
        <v>76</v>
      </c>
      <c r="K605" s="161">
        <v>13</v>
      </c>
      <c r="L605" s="163">
        <v>-3.41</v>
      </c>
      <c r="M605" s="163">
        <v>-3.68</v>
      </c>
      <c r="N605" s="161">
        <v>-1.78</v>
      </c>
      <c r="O605" s="164" t="s">
        <v>1760</v>
      </c>
    </row>
    <row r="606" spans="1:15" ht="43.2">
      <c r="A606" s="161" t="s">
        <v>2773</v>
      </c>
      <c r="B606" s="161" t="s">
        <v>1752</v>
      </c>
      <c r="C606" s="161" t="s">
        <v>1744</v>
      </c>
      <c r="D606" s="162">
        <v>44169</v>
      </c>
      <c r="E606" s="161" t="s">
        <v>2019</v>
      </c>
      <c r="F606" s="161" t="s">
        <v>1777</v>
      </c>
      <c r="G606" s="161">
        <v>1</v>
      </c>
      <c r="H606" s="161">
        <v>15</v>
      </c>
      <c r="I606" s="161">
        <v>8.1999999999999993</v>
      </c>
      <c r="J606" s="161">
        <v>77</v>
      </c>
      <c r="K606" s="161">
        <v>14</v>
      </c>
      <c r="L606" s="163">
        <v>-3.54</v>
      </c>
      <c r="M606" s="163">
        <v>-3.55</v>
      </c>
      <c r="N606" s="161">
        <v>-2.5099999999999998</v>
      </c>
      <c r="O606" s="164" t="s">
        <v>1747</v>
      </c>
    </row>
    <row r="607" spans="1:15" ht="43.2">
      <c r="A607" s="161" t="s">
        <v>2774</v>
      </c>
      <c r="B607" s="161" t="s">
        <v>1752</v>
      </c>
      <c r="C607" s="161" t="s">
        <v>1779</v>
      </c>
      <c r="D607" s="162">
        <v>43121</v>
      </c>
      <c r="E607" s="161" t="s">
        <v>2691</v>
      </c>
      <c r="F607" s="161" t="s">
        <v>1777</v>
      </c>
      <c r="G607" s="161"/>
      <c r="H607" s="161">
        <v>1</v>
      </c>
      <c r="I607" s="161">
        <v>14.5</v>
      </c>
      <c r="J607" s="161">
        <v>96</v>
      </c>
      <c r="K607" s="161">
        <v>15</v>
      </c>
      <c r="L607" s="163">
        <v>-1.74</v>
      </c>
      <c r="M607" s="163">
        <v>-2.97</v>
      </c>
      <c r="N607" s="161">
        <v>0.17</v>
      </c>
      <c r="O607" s="164" t="s">
        <v>1760</v>
      </c>
    </row>
    <row r="608" spans="1:15" ht="43.2">
      <c r="A608" s="161" t="s">
        <v>2775</v>
      </c>
      <c r="B608" s="161" t="s">
        <v>1743</v>
      </c>
      <c r="C608" s="161" t="s">
        <v>1755</v>
      </c>
      <c r="D608" s="162">
        <v>44624</v>
      </c>
      <c r="E608" s="161" t="s">
        <v>2285</v>
      </c>
      <c r="F608" s="161" t="s">
        <v>2190</v>
      </c>
      <c r="G608" s="161">
        <v>5</v>
      </c>
      <c r="H608" s="161">
        <v>2</v>
      </c>
      <c r="I608" s="161">
        <v>5.5</v>
      </c>
      <c r="J608" s="161">
        <v>62</v>
      </c>
      <c r="K608" s="161">
        <v>13</v>
      </c>
      <c r="L608" s="163">
        <v>-3.64</v>
      </c>
      <c r="M608" s="163">
        <v>-3.91</v>
      </c>
      <c r="N608" s="161">
        <v>-1.66</v>
      </c>
      <c r="O608" s="164" t="s">
        <v>1760</v>
      </c>
    </row>
    <row r="609" spans="1:15" ht="43.2">
      <c r="A609" s="161" t="s">
        <v>2776</v>
      </c>
      <c r="B609" s="161" t="s">
        <v>1752</v>
      </c>
      <c r="C609" s="161" t="s">
        <v>1749</v>
      </c>
      <c r="D609" s="162">
        <v>43892</v>
      </c>
      <c r="E609" s="161" t="s">
        <v>2777</v>
      </c>
      <c r="F609" s="161" t="s">
        <v>2190</v>
      </c>
      <c r="G609" s="161">
        <v>1</v>
      </c>
      <c r="H609" s="161">
        <v>2</v>
      </c>
      <c r="I609" s="161">
        <v>10.9</v>
      </c>
      <c r="J609" s="161">
        <v>86</v>
      </c>
      <c r="K609" s="161">
        <v>14</v>
      </c>
      <c r="L609" s="163">
        <v>-2.12</v>
      </c>
      <c r="M609" s="163">
        <v>-2.4500000000000002</v>
      </c>
      <c r="N609" s="161">
        <v>-1.1200000000000001</v>
      </c>
      <c r="O609" s="164" t="s">
        <v>1760</v>
      </c>
    </row>
    <row r="610" spans="1:15" ht="43.2">
      <c r="A610" s="161" t="s">
        <v>2778</v>
      </c>
      <c r="B610" s="161" t="s">
        <v>1743</v>
      </c>
      <c r="C610" s="161" t="s">
        <v>1779</v>
      </c>
      <c r="D610" s="162">
        <v>43109</v>
      </c>
      <c r="E610" s="161" t="s">
        <v>2287</v>
      </c>
      <c r="F610" s="161" t="s">
        <v>2190</v>
      </c>
      <c r="G610" s="161">
        <v>5</v>
      </c>
      <c r="H610" s="161">
        <v>2</v>
      </c>
      <c r="I610" s="161">
        <v>18</v>
      </c>
      <c r="J610" s="161">
        <v>96</v>
      </c>
      <c r="K610" s="161">
        <v>16</v>
      </c>
      <c r="L610" s="163">
        <v>-0.08</v>
      </c>
      <c r="M610" s="163">
        <v>-2.82</v>
      </c>
      <c r="N610" s="161">
        <v>2.56</v>
      </c>
      <c r="O610" s="164" t="s">
        <v>2078</v>
      </c>
    </row>
    <row r="611" spans="1:15" ht="43.2">
      <c r="A611" s="161" t="s">
        <v>2779</v>
      </c>
      <c r="B611" s="161" t="s">
        <v>1743</v>
      </c>
      <c r="C611" s="161" t="s">
        <v>1779</v>
      </c>
      <c r="D611" s="162">
        <v>43150</v>
      </c>
      <c r="E611" s="161" t="s">
        <v>2780</v>
      </c>
      <c r="F611" s="161" t="s">
        <v>2190</v>
      </c>
      <c r="G611" s="161">
        <v>3</v>
      </c>
      <c r="H611" s="161">
        <v>1</v>
      </c>
      <c r="I611" s="161">
        <v>11.9</v>
      </c>
      <c r="J611" s="161">
        <v>85.5</v>
      </c>
      <c r="K611" s="161">
        <v>16</v>
      </c>
      <c r="L611" s="163">
        <v>-3.01</v>
      </c>
      <c r="M611" s="163">
        <v>-4.93</v>
      </c>
      <c r="N611" s="161">
        <v>0.36</v>
      </c>
      <c r="O611" s="164" t="s">
        <v>1760</v>
      </c>
    </row>
    <row r="612" spans="1:15" ht="43.2">
      <c r="A612" s="161" t="s">
        <v>2781</v>
      </c>
      <c r="B612" s="161" t="s">
        <v>1752</v>
      </c>
      <c r="C612" s="161" t="s">
        <v>1779</v>
      </c>
      <c r="D612" s="162">
        <v>43145</v>
      </c>
      <c r="E612" s="161" t="s">
        <v>2693</v>
      </c>
      <c r="F612" s="161" t="s">
        <v>2190</v>
      </c>
      <c r="G612" s="161">
        <v>7</v>
      </c>
      <c r="H612" s="161">
        <v>1</v>
      </c>
      <c r="I612" s="161">
        <v>13</v>
      </c>
      <c r="J612" s="161">
        <v>98</v>
      </c>
      <c r="K612" s="161"/>
      <c r="L612" s="163">
        <v>-2.54</v>
      </c>
      <c r="M612" s="163">
        <v>-2.46</v>
      </c>
      <c r="N612" s="161">
        <v>-1.64</v>
      </c>
      <c r="O612" s="164" t="s">
        <v>1760</v>
      </c>
    </row>
    <row r="613" spans="1:15" ht="43.2">
      <c r="A613" s="161" t="s">
        <v>2782</v>
      </c>
      <c r="B613" s="161" t="s">
        <v>1752</v>
      </c>
      <c r="C613" s="161" t="s">
        <v>1744</v>
      </c>
      <c r="D613" s="162">
        <v>44217</v>
      </c>
      <c r="E613" s="161" t="s">
        <v>2783</v>
      </c>
      <c r="F613" s="161" t="s">
        <v>2190</v>
      </c>
      <c r="G613" s="161">
        <v>4</v>
      </c>
      <c r="H613" s="161">
        <v>1</v>
      </c>
      <c r="I613" s="161">
        <v>13.35</v>
      </c>
      <c r="J613" s="161">
        <v>80</v>
      </c>
      <c r="K613" s="161">
        <v>19</v>
      </c>
      <c r="L613" s="163">
        <v>0.87</v>
      </c>
      <c r="M613" s="163">
        <v>-2.25</v>
      </c>
      <c r="N613" s="161">
        <v>2.69</v>
      </c>
      <c r="O613" s="164" t="s">
        <v>2078</v>
      </c>
    </row>
    <row r="614" spans="1:15" ht="43.2">
      <c r="A614" s="161" t="s">
        <v>2784</v>
      </c>
      <c r="B614" s="161" t="s">
        <v>1752</v>
      </c>
      <c r="C614" s="161" t="s">
        <v>1744</v>
      </c>
      <c r="D614" s="162">
        <v>44286</v>
      </c>
      <c r="E614" s="161" t="s">
        <v>2785</v>
      </c>
      <c r="F614" s="161" t="s">
        <v>2190</v>
      </c>
      <c r="G614" s="161">
        <v>5</v>
      </c>
      <c r="H614" s="161">
        <v>1</v>
      </c>
      <c r="I614" s="161">
        <v>8.8000000000000007</v>
      </c>
      <c r="J614" s="161">
        <v>79</v>
      </c>
      <c r="K614" s="161"/>
      <c r="L614" s="163">
        <v>-2.4500000000000002</v>
      </c>
      <c r="M614" s="163">
        <v>-2.21</v>
      </c>
      <c r="N614" s="161">
        <v>-1.9</v>
      </c>
      <c r="O614" s="164" t="s">
        <v>1760</v>
      </c>
    </row>
    <row r="615" spans="1:15" ht="43.2">
      <c r="A615" s="161" t="s">
        <v>2786</v>
      </c>
      <c r="B615" s="161" t="s">
        <v>1752</v>
      </c>
      <c r="C615" s="161" t="s">
        <v>1755</v>
      </c>
      <c r="D615" s="162">
        <v>44371</v>
      </c>
      <c r="E615" s="161" t="s">
        <v>2531</v>
      </c>
      <c r="F615" s="161" t="s">
        <v>2190</v>
      </c>
      <c r="G615" s="161">
        <v>6</v>
      </c>
      <c r="H615" s="161">
        <v>3</v>
      </c>
      <c r="I615" s="161">
        <v>9</v>
      </c>
      <c r="J615" s="161">
        <v>76.400000000000006</v>
      </c>
      <c r="K615" s="161">
        <v>16.5</v>
      </c>
      <c r="L615" s="163">
        <v>-1.85</v>
      </c>
      <c r="M615" s="163">
        <v>-2.36</v>
      </c>
      <c r="N615" s="161">
        <v>-1.02</v>
      </c>
      <c r="O615" s="164" t="s">
        <v>1760</v>
      </c>
    </row>
    <row r="616" spans="1:15" ht="43.2">
      <c r="A616" s="161" t="s">
        <v>2787</v>
      </c>
      <c r="B616" s="161" t="s">
        <v>1752</v>
      </c>
      <c r="C616" s="161" t="s">
        <v>1755</v>
      </c>
      <c r="D616" s="162">
        <v>44377</v>
      </c>
      <c r="E616" s="161" t="s">
        <v>2298</v>
      </c>
      <c r="F616" s="161" t="s">
        <v>2190</v>
      </c>
      <c r="G616" s="161">
        <v>8</v>
      </c>
      <c r="H616" s="161">
        <v>3</v>
      </c>
      <c r="I616" s="161">
        <v>9.1</v>
      </c>
      <c r="J616" s="161">
        <v>77</v>
      </c>
      <c r="K616" s="161">
        <v>15.5</v>
      </c>
      <c r="L616" s="163">
        <v>-1.73</v>
      </c>
      <c r="M616" s="163">
        <v>-2.11</v>
      </c>
      <c r="N616" s="161">
        <v>-1.02</v>
      </c>
      <c r="O616" s="164" t="s">
        <v>1760</v>
      </c>
    </row>
    <row r="617" spans="1:15" ht="43.2">
      <c r="A617" s="161" t="s">
        <v>2788</v>
      </c>
      <c r="B617" s="161" t="s">
        <v>1752</v>
      </c>
      <c r="C617" s="161" t="s">
        <v>1755</v>
      </c>
      <c r="D617" s="162">
        <v>44651</v>
      </c>
      <c r="E617" s="161" t="s">
        <v>2529</v>
      </c>
      <c r="F617" s="161" t="s">
        <v>2190</v>
      </c>
      <c r="G617" s="161">
        <v>1</v>
      </c>
      <c r="H617" s="161">
        <v>3</v>
      </c>
      <c r="I617" s="161">
        <v>5.9</v>
      </c>
      <c r="J617" s="161">
        <v>65</v>
      </c>
      <c r="K617" s="161">
        <v>13</v>
      </c>
      <c r="L617" s="163">
        <v>-3.72</v>
      </c>
      <c r="M617" s="163">
        <v>-3.27</v>
      </c>
      <c r="N617" s="161">
        <v>-2.63</v>
      </c>
      <c r="O617" s="164" t="s">
        <v>1747</v>
      </c>
    </row>
    <row r="618" spans="1:15" ht="43.2">
      <c r="A618" s="161" t="s">
        <v>2789</v>
      </c>
      <c r="B618" s="161" t="s">
        <v>1752</v>
      </c>
      <c r="C618" s="161" t="s">
        <v>1749</v>
      </c>
      <c r="D618" s="162">
        <v>43878</v>
      </c>
      <c r="E618" s="161" t="s">
        <v>2790</v>
      </c>
      <c r="F618" s="161" t="s">
        <v>2190</v>
      </c>
      <c r="G618" s="161">
        <v>6</v>
      </c>
      <c r="H618" s="161">
        <v>3</v>
      </c>
      <c r="I618" s="161">
        <v>11.3</v>
      </c>
      <c r="J618" s="161">
        <v>88</v>
      </c>
      <c r="K618" s="161">
        <v>16</v>
      </c>
      <c r="L618" s="163">
        <v>-1.88</v>
      </c>
      <c r="M618" s="163">
        <v>-2.0099999999999998</v>
      </c>
      <c r="N618" s="161">
        <v>-1.18</v>
      </c>
      <c r="O618" s="164" t="s">
        <v>1760</v>
      </c>
    </row>
    <row r="619" spans="1:15" ht="43.2">
      <c r="A619" s="161" t="s">
        <v>2791</v>
      </c>
      <c r="B619" s="161" t="s">
        <v>1752</v>
      </c>
      <c r="C619" s="161" t="s">
        <v>1744</v>
      </c>
      <c r="D619" s="162">
        <v>44004</v>
      </c>
      <c r="E619" s="161" t="s">
        <v>2707</v>
      </c>
      <c r="F619" s="161" t="s">
        <v>2190</v>
      </c>
      <c r="G619" s="161">
        <v>4</v>
      </c>
      <c r="H619" s="161">
        <v>3</v>
      </c>
      <c r="I619" s="161">
        <v>9.5</v>
      </c>
      <c r="J619" s="161">
        <v>84.2</v>
      </c>
      <c r="K619" s="161"/>
      <c r="L619" s="163">
        <v>-2.95</v>
      </c>
      <c r="M619" s="163">
        <v>-2.4</v>
      </c>
      <c r="N619" s="161">
        <v>-2.39</v>
      </c>
      <c r="O619" s="164" t="s">
        <v>1747</v>
      </c>
    </row>
    <row r="620" spans="1:15" ht="43.2">
      <c r="A620" s="161" t="s">
        <v>2792</v>
      </c>
      <c r="B620" s="161" t="s">
        <v>1752</v>
      </c>
      <c r="C620" s="161" t="s">
        <v>1744</v>
      </c>
      <c r="D620" s="162">
        <v>44051</v>
      </c>
      <c r="E620" s="161" t="s">
        <v>2696</v>
      </c>
      <c r="F620" s="161" t="s">
        <v>2190</v>
      </c>
      <c r="G620" s="161">
        <v>5</v>
      </c>
      <c r="H620" s="161">
        <v>3</v>
      </c>
      <c r="I620" s="161">
        <v>10</v>
      </c>
      <c r="J620" s="161">
        <v>83.5</v>
      </c>
      <c r="K620" s="161">
        <v>14</v>
      </c>
      <c r="L620" s="163">
        <v>-2.34</v>
      </c>
      <c r="M620" s="163">
        <v>-2.31</v>
      </c>
      <c r="N620" s="161">
        <v>-1.53</v>
      </c>
      <c r="O620" s="164" t="s">
        <v>1760</v>
      </c>
    </row>
    <row r="621" spans="1:15" ht="43.2">
      <c r="A621" s="161" t="s">
        <v>2793</v>
      </c>
      <c r="B621" s="161" t="s">
        <v>1752</v>
      </c>
      <c r="C621" s="161" t="s">
        <v>1779</v>
      </c>
      <c r="D621" s="162">
        <v>43187</v>
      </c>
      <c r="E621" s="161" t="s">
        <v>2711</v>
      </c>
      <c r="F621" s="161" t="s">
        <v>2190</v>
      </c>
      <c r="G621" s="161">
        <v>5</v>
      </c>
      <c r="H621" s="161">
        <v>3</v>
      </c>
      <c r="I621" s="161">
        <v>13.9</v>
      </c>
      <c r="J621" s="161">
        <v>97</v>
      </c>
      <c r="K621" s="161"/>
      <c r="L621" s="163">
        <v>-1.94</v>
      </c>
      <c r="M621" s="163">
        <v>-2.56</v>
      </c>
      <c r="N621" s="161">
        <v>-0.56999999999999995</v>
      </c>
      <c r="O621" s="164" t="s">
        <v>1760</v>
      </c>
    </row>
    <row r="622" spans="1:15" ht="43.2">
      <c r="A622" s="161" t="s">
        <v>2794</v>
      </c>
      <c r="B622" s="161" t="s">
        <v>1752</v>
      </c>
      <c r="C622" s="161" t="s">
        <v>1786</v>
      </c>
      <c r="D622" s="162">
        <v>43231</v>
      </c>
      <c r="E622" s="161" t="s">
        <v>2705</v>
      </c>
      <c r="F622" s="161" t="s">
        <v>2190</v>
      </c>
      <c r="G622" s="161">
        <v>4</v>
      </c>
      <c r="H622" s="161">
        <v>3</v>
      </c>
      <c r="I622" s="161">
        <v>12.5</v>
      </c>
      <c r="J622" s="161">
        <v>95.5</v>
      </c>
      <c r="K622" s="161"/>
      <c r="L622" s="163">
        <v>-2.68</v>
      </c>
      <c r="M622" s="163">
        <v>-2.75</v>
      </c>
      <c r="N622" s="161">
        <v>-1.6</v>
      </c>
      <c r="O622" s="164" t="s">
        <v>1760</v>
      </c>
    </row>
    <row r="623" spans="1:15" ht="43.2">
      <c r="A623" s="161" t="s">
        <v>2795</v>
      </c>
      <c r="B623" s="161" t="s">
        <v>1743</v>
      </c>
      <c r="C623" s="161" t="s">
        <v>1786</v>
      </c>
      <c r="D623" s="162">
        <v>43466</v>
      </c>
      <c r="E623" s="161" t="s">
        <v>2796</v>
      </c>
      <c r="F623" s="161" t="s">
        <v>2190</v>
      </c>
      <c r="G623" s="161">
        <v>5</v>
      </c>
      <c r="H623" s="161">
        <v>3</v>
      </c>
      <c r="I623" s="161">
        <v>11.1</v>
      </c>
      <c r="J623" s="161">
        <v>89</v>
      </c>
      <c r="K623" s="161"/>
      <c r="L623" s="163">
        <v>-2.87</v>
      </c>
      <c r="M623" s="163">
        <v>-3.23</v>
      </c>
      <c r="N623" s="161">
        <v>-1.27</v>
      </c>
      <c r="O623" s="164" t="s">
        <v>1760</v>
      </c>
    </row>
    <row r="624" spans="1:15" ht="43.2">
      <c r="A624" s="161" t="s">
        <v>2797</v>
      </c>
      <c r="B624" s="161" t="s">
        <v>1752</v>
      </c>
      <c r="C624" s="161" t="s">
        <v>1786</v>
      </c>
      <c r="D624" s="162">
        <v>43519</v>
      </c>
      <c r="E624" s="161" t="s">
        <v>2554</v>
      </c>
      <c r="F624" s="161" t="s">
        <v>2190</v>
      </c>
      <c r="G624" s="161">
        <v>3</v>
      </c>
      <c r="H624" s="161">
        <v>5</v>
      </c>
      <c r="I624" s="161">
        <v>11.9</v>
      </c>
      <c r="J624" s="161">
        <v>90.5</v>
      </c>
      <c r="K624" s="161"/>
      <c r="L624" s="163">
        <v>-2.44</v>
      </c>
      <c r="M624" s="163">
        <v>-2.91</v>
      </c>
      <c r="N624" s="161">
        <v>-1.1200000000000001</v>
      </c>
      <c r="O624" s="164" t="s">
        <v>1760</v>
      </c>
    </row>
    <row r="625" spans="1:15" ht="43.2">
      <c r="A625" s="161" t="s">
        <v>2798</v>
      </c>
      <c r="B625" s="161" t="s">
        <v>1752</v>
      </c>
      <c r="C625" s="161" t="s">
        <v>1744</v>
      </c>
      <c r="D625" s="162">
        <v>43979</v>
      </c>
      <c r="E625" s="161" t="s">
        <v>2799</v>
      </c>
      <c r="F625" s="161" t="s">
        <v>2190</v>
      </c>
      <c r="G625" s="161">
        <v>1</v>
      </c>
      <c r="H625" s="161">
        <v>5</v>
      </c>
      <c r="I625" s="161">
        <v>10</v>
      </c>
      <c r="J625" s="161">
        <v>86</v>
      </c>
      <c r="K625" s="161">
        <v>47</v>
      </c>
      <c r="L625" s="163">
        <v>-2.6</v>
      </c>
      <c r="M625" s="163">
        <v>-2.0299999999999998</v>
      </c>
      <c r="N625" s="161">
        <v>-2.23</v>
      </c>
      <c r="O625" s="164" t="s">
        <v>1747</v>
      </c>
    </row>
    <row r="626" spans="1:15" ht="43.2">
      <c r="A626" s="161" t="s">
        <v>2800</v>
      </c>
      <c r="B626" s="161" t="s">
        <v>1743</v>
      </c>
      <c r="C626" s="161" t="s">
        <v>1744</v>
      </c>
      <c r="D626" s="162">
        <v>44145</v>
      </c>
      <c r="E626" s="161" t="s">
        <v>2801</v>
      </c>
      <c r="F626" s="161" t="s">
        <v>2190</v>
      </c>
      <c r="G626" s="161">
        <v>1</v>
      </c>
      <c r="H626" s="161">
        <v>1</v>
      </c>
      <c r="I626" s="161">
        <v>10.5</v>
      </c>
      <c r="J626" s="161">
        <v>78.099999999999994</v>
      </c>
      <c r="K626" s="161"/>
      <c r="L626" s="163">
        <v>-1.03</v>
      </c>
      <c r="M626" s="163">
        <v>-2.82</v>
      </c>
      <c r="N626" s="161">
        <v>0.7</v>
      </c>
      <c r="O626" s="164" t="s">
        <v>1760</v>
      </c>
    </row>
    <row r="627" spans="1:15" ht="43.2">
      <c r="A627" s="161" t="s">
        <v>2802</v>
      </c>
      <c r="B627" s="161" t="s">
        <v>1752</v>
      </c>
      <c r="C627" s="161" t="s">
        <v>1744</v>
      </c>
      <c r="D627" s="162">
        <v>44154</v>
      </c>
      <c r="E627" s="161" t="s">
        <v>2803</v>
      </c>
      <c r="F627" s="161" t="s">
        <v>2190</v>
      </c>
      <c r="G627" s="161">
        <v>6</v>
      </c>
      <c r="H627" s="161">
        <v>3</v>
      </c>
      <c r="I627" s="161">
        <v>9.3000000000000007</v>
      </c>
      <c r="J627" s="161">
        <v>78.5</v>
      </c>
      <c r="K627" s="161"/>
      <c r="L627" s="163">
        <v>-2.58</v>
      </c>
      <c r="M627" s="163">
        <v>-3.2</v>
      </c>
      <c r="N627" s="161">
        <v>-1.25</v>
      </c>
      <c r="O627" s="164" t="s">
        <v>1760</v>
      </c>
    </row>
    <row r="628" spans="1:15" ht="43.2">
      <c r="A628" s="161" t="s">
        <v>2804</v>
      </c>
      <c r="B628" s="161" t="s">
        <v>1752</v>
      </c>
      <c r="C628" s="161" t="s">
        <v>1755</v>
      </c>
      <c r="D628" s="162">
        <v>44489</v>
      </c>
      <c r="E628" s="161" t="s">
        <v>2805</v>
      </c>
      <c r="F628" s="161" t="s">
        <v>2190</v>
      </c>
      <c r="G628" s="161">
        <v>5</v>
      </c>
      <c r="H628" s="161">
        <v>1</v>
      </c>
      <c r="I628" s="161">
        <v>9.5</v>
      </c>
      <c r="J628" s="161">
        <v>72</v>
      </c>
      <c r="K628" s="161">
        <v>17</v>
      </c>
      <c r="L628" s="163">
        <v>-0.67</v>
      </c>
      <c r="M628" s="163">
        <v>-2.67</v>
      </c>
      <c r="N628" s="161">
        <v>0.82</v>
      </c>
      <c r="O628" s="164" t="s">
        <v>1760</v>
      </c>
    </row>
    <row r="629" spans="1:15" ht="43.2">
      <c r="A629" s="161" t="s">
        <v>2806</v>
      </c>
      <c r="B629" s="161" t="s">
        <v>1752</v>
      </c>
      <c r="C629" s="161" t="s">
        <v>1755</v>
      </c>
      <c r="D629" s="162">
        <v>44494</v>
      </c>
      <c r="E629" s="161" t="s">
        <v>2807</v>
      </c>
      <c r="F629" s="161" t="s">
        <v>2190</v>
      </c>
      <c r="G629" s="161">
        <v>4</v>
      </c>
      <c r="H629" s="161">
        <v>2</v>
      </c>
      <c r="I629" s="161">
        <v>7.6</v>
      </c>
      <c r="J629" s="161">
        <v>72</v>
      </c>
      <c r="K629" s="161">
        <v>16</v>
      </c>
      <c r="L629" s="163">
        <v>-2.65</v>
      </c>
      <c r="M629" s="163">
        <v>-2.61</v>
      </c>
      <c r="N629" s="161">
        <v>-1.92</v>
      </c>
      <c r="O629" s="164" t="s">
        <v>1760</v>
      </c>
    </row>
    <row r="630" spans="1:15" ht="43.2">
      <c r="A630" s="161" t="s">
        <v>2808</v>
      </c>
      <c r="B630" s="161" t="s">
        <v>1743</v>
      </c>
      <c r="C630" s="161" t="s">
        <v>1749</v>
      </c>
      <c r="D630" s="162">
        <v>43593</v>
      </c>
      <c r="E630" s="161" t="s">
        <v>2809</v>
      </c>
      <c r="F630" s="161" t="s">
        <v>2190</v>
      </c>
      <c r="G630" s="161">
        <v>7</v>
      </c>
      <c r="H630" s="161">
        <v>3</v>
      </c>
      <c r="I630" s="161">
        <v>11.6</v>
      </c>
      <c r="J630" s="161">
        <v>87.3</v>
      </c>
      <c r="K630" s="161">
        <v>15</v>
      </c>
      <c r="L630" s="163">
        <v>-2.16</v>
      </c>
      <c r="M630" s="163">
        <v>-3.14</v>
      </c>
      <c r="N630" s="161">
        <v>-0.36</v>
      </c>
      <c r="O630" s="164" t="s">
        <v>1760</v>
      </c>
    </row>
    <row r="631" spans="1:15" ht="43.2">
      <c r="A631" s="161" t="s">
        <v>2810</v>
      </c>
      <c r="B631" s="161" t="s">
        <v>1752</v>
      </c>
      <c r="C631" s="161" t="s">
        <v>1786</v>
      </c>
      <c r="D631" s="162">
        <v>43487</v>
      </c>
      <c r="E631" s="161" t="s">
        <v>2811</v>
      </c>
      <c r="F631" s="161" t="s">
        <v>2190</v>
      </c>
      <c r="G631" s="161">
        <v>6</v>
      </c>
      <c r="H631" s="161">
        <v>3</v>
      </c>
      <c r="I631" s="161">
        <v>13.7</v>
      </c>
      <c r="J631" s="161">
        <v>93</v>
      </c>
      <c r="K631" s="161">
        <v>15</v>
      </c>
      <c r="L631" s="163">
        <v>-1.38</v>
      </c>
      <c r="M631" s="163">
        <v>-2.44</v>
      </c>
      <c r="N631" s="161">
        <v>0.1</v>
      </c>
      <c r="O631" s="164" t="s">
        <v>1760</v>
      </c>
    </row>
    <row r="632" spans="1:15" ht="43.2">
      <c r="A632" s="161" t="s">
        <v>2812</v>
      </c>
      <c r="B632" s="161" t="s">
        <v>1743</v>
      </c>
      <c r="C632" s="161" t="s">
        <v>1744</v>
      </c>
      <c r="D632" s="162">
        <v>44272</v>
      </c>
      <c r="E632" s="161" t="s">
        <v>2813</v>
      </c>
      <c r="F632" s="161" t="s">
        <v>2190</v>
      </c>
      <c r="G632" s="161">
        <v>3</v>
      </c>
      <c r="H632" s="161">
        <v>2</v>
      </c>
      <c r="I632" s="161">
        <v>7.8</v>
      </c>
      <c r="J632" s="161">
        <v>75</v>
      </c>
      <c r="K632" s="161">
        <v>13</v>
      </c>
      <c r="L632" s="163">
        <v>-2.98</v>
      </c>
      <c r="M632" s="163">
        <v>-3.08</v>
      </c>
      <c r="N632" s="161">
        <v>-1.83</v>
      </c>
      <c r="O632" s="164" t="s">
        <v>1760</v>
      </c>
    </row>
    <row r="633" spans="1:15" ht="43.2">
      <c r="A633" s="161" t="s">
        <v>2814</v>
      </c>
      <c r="B633" s="161" t="s">
        <v>1752</v>
      </c>
      <c r="C633" s="161" t="s">
        <v>1744</v>
      </c>
      <c r="D633" s="162">
        <v>44252</v>
      </c>
      <c r="E633" s="161" t="s">
        <v>2306</v>
      </c>
      <c r="F633" s="161" t="s">
        <v>2190</v>
      </c>
      <c r="G633" s="161">
        <v>1</v>
      </c>
      <c r="H633" s="161">
        <v>6</v>
      </c>
      <c r="I633" s="161">
        <v>8.1999999999999993</v>
      </c>
      <c r="J633" s="161">
        <v>76</v>
      </c>
      <c r="K633" s="161">
        <v>12.5</v>
      </c>
      <c r="L633" s="163">
        <v>-3.26</v>
      </c>
      <c r="M633" s="163">
        <v>-3.35</v>
      </c>
      <c r="N633" s="161">
        <v>-2.2599999999999998</v>
      </c>
      <c r="O633" s="164" t="s">
        <v>1747</v>
      </c>
    </row>
    <row r="634" spans="1:15" ht="43.2">
      <c r="A634" s="161" t="s">
        <v>2815</v>
      </c>
      <c r="B634" s="161" t="s">
        <v>1743</v>
      </c>
      <c r="C634" s="161" t="s">
        <v>1744</v>
      </c>
      <c r="D634" s="162">
        <v>44130</v>
      </c>
      <c r="E634" s="161" t="s">
        <v>2816</v>
      </c>
      <c r="F634" s="161" t="s">
        <v>2190</v>
      </c>
      <c r="G634" s="161">
        <v>3</v>
      </c>
      <c r="H634" s="161">
        <v>4</v>
      </c>
      <c r="I634" s="161">
        <v>8.5</v>
      </c>
      <c r="J634" s="161">
        <v>80</v>
      </c>
      <c r="K634" s="161"/>
      <c r="L634" s="163">
        <v>-2.92</v>
      </c>
      <c r="M634" s="163">
        <v>-2.35</v>
      </c>
      <c r="N634" s="161">
        <v>-2.15</v>
      </c>
      <c r="O634" s="164" t="s">
        <v>1747</v>
      </c>
    </row>
    <row r="635" spans="1:15" ht="43.2">
      <c r="A635" s="161" t="s">
        <v>2817</v>
      </c>
      <c r="B635" s="161" t="s">
        <v>1752</v>
      </c>
      <c r="C635" s="161" t="s">
        <v>1744</v>
      </c>
      <c r="D635" s="162">
        <v>44119</v>
      </c>
      <c r="E635" s="161" t="s">
        <v>2818</v>
      </c>
      <c r="F635" s="161" t="s">
        <v>2190</v>
      </c>
      <c r="G635" s="161">
        <v>4</v>
      </c>
      <c r="H635" s="161">
        <v>3</v>
      </c>
      <c r="I635" s="161">
        <v>9.5</v>
      </c>
      <c r="J635" s="161">
        <v>75.2</v>
      </c>
      <c r="K635" s="161">
        <v>15</v>
      </c>
      <c r="L635" s="163">
        <v>-2.5299999999999998</v>
      </c>
      <c r="M635" s="163">
        <v>-4.4400000000000004</v>
      </c>
      <c r="N635" s="161">
        <v>-0.23</v>
      </c>
      <c r="O635" s="164" t="s">
        <v>1760</v>
      </c>
    </row>
    <row r="636" spans="1:15" ht="57.6">
      <c r="A636" s="161" t="s">
        <v>2819</v>
      </c>
      <c r="B636" s="161" t="s">
        <v>1752</v>
      </c>
      <c r="C636" s="161" t="s">
        <v>1749</v>
      </c>
      <c r="D636" s="162">
        <v>43848</v>
      </c>
      <c r="E636" s="161" t="s">
        <v>2594</v>
      </c>
      <c r="F636" s="161" t="s">
        <v>1781</v>
      </c>
      <c r="G636" s="161">
        <v>6</v>
      </c>
      <c r="H636" s="161">
        <v>14</v>
      </c>
      <c r="I636" s="161">
        <v>10.5</v>
      </c>
      <c r="J636" s="161">
        <v>85.9</v>
      </c>
      <c r="K636" s="161">
        <v>14</v>
      </c>
      <c r="L636" s="163">
        <v>-2.59</v>
      </c>
      <c r="M636" s="163">
        <v>-2.72</v>
      </c>
      <c r="N636" s="161">
        <v>-1.57</v>
      </c>
      <c r="O636" s="164" t="s">
        <v>1760</v>
      </c>
    </row>
    <row r="637" spans="1:15" ht="43.2">
      <c r="A637" s="161" t="s">
        <v>2820</v>
      </c>
      <c r="B637" s="161" t="s">
        <v>1743</v>
      </c>
      <c r="C637" s="161" t="s">
        <v>1749</v>
      </c>
      <c r="D637" s="162">
        <v>43821</v>
      </c>
      <c r="E637" s="161" t="s">
        <v>2196</v>
      </c>
      <c r="F637" s="161" t="s">
        <v>1781</v>
      </c>
      <c r="G637" s="161">
        <v>3</v>
      </c>
      <c r="H637" s="161">
        <v>2</v>
      </c>
      <c r="I637" s="161">
        <v>8.3000000000000007</v>
      </c>
      <c r="J637" s="161">
        <v>81</v>
      </c>
      <c r="K637" s="161">
        <v>13</v>
      </c>
      <c r="L637" s="163">
        <v>-4.1500000000000004</v>
      </c>
      <c r="M637" s="163">
        <v>-3.79</v>
      </c>
      <c r="N637" s="161">
        <v>-2.7</v>
      </c>
      <c r="O637" s="164" t="s">
        <v>1747</v>
      </c>
    </row>
    <row r="638" spans="1:15" ht="43.2">
      <c r="A638" s="161" t="s">
        <v>2821</v>
      </c>
      <c r="B638" s="161" t="s">
        <v>1752</v>
      </c>
      <c r="C638" s="161" t="s">
        <v>1744</v>
      </c>
      <c r="D638" s="162">
        <v>44101</v>
      </c>
      <c r="E638" s="161" t="s">
        <v>2822</v>
      </c>
      <c r="F638" s="161" t="s">
        <v>1781</v>
      </c>
      <c r="G638" s="161">
        <v>2</v>
      </c>
      <c r="H638" s="161">
        <v>12</v>
      </c>
      <c r="I638" s="161">
        <v>9</v>
      </c>
      <c r="J638" s="161">
        <v>81.400000000000006</v>
      </c>
      <c r="K638" s="161"/>
      <c r="L638" s="163">
        <v>-3.06</v>
      </c>
      <c r="M638" s="163">
        <v>-2.64</v>
      </c>
      <c r="N638" s="161">
        <v>-2.34</v>
      </c>
      <c r="O638" s="164" t="s">
        <v>1747</v>
      </c>
    </row>
    <row r="639" spans="1:15" ht="43.2">
      <c r="A639" s="161" t="s">
        <v>2823</v>
      </c>
      <c r="B639" s="161" t="s">
        <v>1743</v>
      </c>
      <c r="C639" s="161" t="s">
        <v>1744</v>
      </c>
      <c r="D639" s="162">
        <v>44028</v>
      </c>
      <c r="E639" s="161" t="s">
        <v>2824</v>
      </c>
      <c r="F639" s="161" t="s">
        <v>1781</v>
      </c>
      <c r="G639" s="161">
        <v>1</v>
      </c>
      <c r="H639" s="161">
        <v>3</v>
      </c>
      <c r="I639" s="161">
        <v>10.4</v>
      </c>
      <c r="J639" s="161">
        <v>82.7</v>
      </c>
      <c r="K639" s="161"/>
      <c r="L639" s="163">
        <v>-1.63</v>
      </c>
      <c r="M639" s="163">
        <v>-2.2400000000000002</v>
      </c>
      <c r="N639" s="161">
        <v>-0.46</v>
      </c>
      <c r="O639" s="164" t="s">
        <v>1760</v>
      </c>
    </row>
    <row r="640" spans="1:15" ht="43.2">
      <c r="A640" s="161" t="s">
        <v>2825</v>
      </c>
      <c r="B640" s="161" t="s">
        <v>1752</v>
      </c>
      <c r="C640" s="161" t="s">
        <v>1749</v>
      </c>
      <c r="D640" s="162">
        <v>43888</v>
      </c>
      <c r="E640" s="161" t="s">
        <v>2723</v>
      </c>
      <c r="F640" s="161" t="s">
        <v>1781</v>
      </c>
      <c r="G640" s="161">
        <v>5</v>
      </c>
      <c r="H640" s="161">
        <v>12</v>
      </c>
      <c r="I640" s="161">
        <v>10.1</v>
      </c>
      <c r="J640" s="161">
        <v>83.6</v>
      </c>
      <c r="K640" s="161"/>
      <c r="L640" s="163">
        <v>-2.79</v>
      </c>
      <c r="M640" s="163">
        <v>-3.16</v>
      </c>
      <c r="N640" s="161">
        <v>-1.43</v>
      </c>
      <c r="O640" s="164" t="s">
        <v>1760</v>
      </c>
    </row>
    <row r="641" spans="1:15" ht="43.2">
      <c r="A641" s="161" t="s">
        <v>2826</v>
      </c>
      <c r="B641" s="161" t="s">
        <v>1752</v>
      </c>
      <c r="C641" s="161" t="s">
        <v>1786</v>
      </c>
      <c r="D641" s="162">
        <v>43496</v>
      </c>
      <c r="E641" s="161" t="s">
        <v>2596</v>
      </c>
      <c r="F641" s="161" t="s">
        <v>1781</v>
      </c>
      <c r="G641" s="161">
        <v>2</v>
      </c>
      <c r="H641" s="161">
        <v>13</v>
      </c>
      <c r="I641" s="161">
        <v>12</v>
      </c>
      <c r="J641" s="161">
        <v>94</v>
      </c>
      <c r="K641" s="161">
        <v>14.5</v>
      </c>
      <c r="L641" s="163">
        <v>-2.42</v>
      </c>
      <c r="M641" s="163">
        <v>-2.15</v>
      </c>
      <c r="N641" s="161">
        <v>-1.8</v>
      </c>
      <c r="O641" s="164" t="s">
        <v>1760</v>
      </c>
    </row>
    <row r="642" spans="1:15" ht="43.2">
      <c r="A642" s="161" t="s">
        <v>2827</v>
      </c>
      <c r="B642" s="161" t="s">
        <v>1752</v>
      </c>
      <c r="C642" s="161" t="s">
        <v>1749</v>
      </c>
      <c r="D642" s="162">
        <v>43727</v>
      </c>
      <c r="E642" s="161" t="s">
        <v>2119</v>
      </c>
      <c r="F642" s="161" t="s">
        <v>1781</v>
      </c>
      <c r="G642" s="161">
        <v>2</v>
      </c>
      <c r="H642" s="161">
        <v>2</v>
      </c>
      <c r="I642" s="161">
        <v>11.65</v>
      </c>
      <c r="J642" s="161">
        <v>90.4</v>
      </c>
      <c r="K642" s="161"/>
      <c r="L642" s="163">
        <v>-2.06</v>
      </c>
      <c r="M642" s="163">
        <v>-2.09</v>
      </c>
      <c r="N642" s="161">
        <v>-1.37</v>
      </c>
      <c r="O642" s="164" t="s">
        <v>1760</v>
      </c>
    </row>
    <row r="643" spans="1:15" ht="43.2">
      <c r="A643" s="161" t="s">
        <v>2828</v>
      </c>
      <c r="B643" s="161" t="s">
        <v>1743</v>
      </c>
      <c r="C643" s="161" t="s">
        <v>1749</v>
      </c>
      <c r="D643" s="162">
        <v>43646</v>
      </c>
      <c r="E643" s="161" t="s">
        <v>2320</v>
      </c>
      <c r="F643" s="161" t="s">
        <v>1781</v>
      </c>
      <c r="G643" s="161">
        <v>3</v>
      </c>
      <c r="H643" s="161">
        <v>11</v>
      </c>
      <c r="I643" s="161">
        <v>11.65</v>
      </c>
      <c r="J643" s="161">
        <v>87.9</v>
      </c>
      <c r="K643" s="161"/>
      <c r="L643" s="163">
        <v>-1.99</v>
      </c>
      <c r="M643" s="163">
        <v>-2.8</v>
      </c>
      <c r="N643" s="161">
        <v>-0.45</v>
      </c>
      <c r="O643" s="164" t="s">
        <v>1760</v>
      </c>
    </row>
    <row r="644" spans="1:15" ht="43.2">
      <c r="A644" s="161" t="s">
        <v>2829</v>
      </c>
      <c r="B644" s="161" t="s">
        <v>1743</v>
      </c>
      <c r="C644" s="161" t="s">
        <v>1749</v>
      </c>
      <c r="D644" s="162">
        <v>43637</v>
      </c>
      <c r="E644" s="161" t="s">
        <v>2308</v>
      </c>
      <c r="F644" s="161" t="s">
        <v>1781</v>
      </c>
      <c r="G644" s="161">
        <v>4</v>
      </c>
      <c r="H644" s="161">
        <v>2</v>
      </c>
      <c r="I644" s="161">
        <v>11</v>
      </c>
      <c r="J644" s="161">
        <v>87.1</v>
      </c>
      <c r="K644" s="161"/>
      <c r="L644" s="163">
        <v>-2.4900000000000002</v>
      </c>
      <c r="M644" s="163">
        <v>-3.03</v>
      </c>
      <c r="N644" s="161">
        <v>-0.92</v>
      </c>
      <c r="O644" s="164" t="s">
        <v>1760</v>
      </c>
    </row>
    <row r="645" spans="1:15" ht="43.2">
      <c r="A645" s="161" t="s">
        <v>2830</v>
      </c>
      <c r="B645" s="161" t="s">
        <v>1743</v>
      </c>
      <c r="C645" s="161" t="s">
        <v>1786</v>
      </c>
      <c r="D645" s="162">
        <v>43555</v>
      </c>
      <c r="E645" s="161" t="s">
        <v>2713</v>
      </c>
      <c r="F645" s="161" t="s">
        <v>1781</v>
      </c>
      <c r="G645" s="161">
        <v>1</v>
      </c>
      <c r="H645" s="161">
        <v>2</v>
      </c>
      <c r="I645" s="161">
        <v>13.4</v>
      </c>
      <c r="J645" s="161">
        <v>91</v>
      </c>
      <c r="K645" s="161">
        <v>16.5</v>
      </c>
      <c r="L645" s="163">
        <v>-1.1399999999999999</v>
      </c>
      <c r="M645" s="163">
        <v>-2.42</v>
      </c>
      <c r="N645" s="161">
        <v>0.43</v>
      </c>
      <c r="O645" s="164" t="s">
        <v>1760</v>
      </c>
    </row>
    <row r="646" spans="1:15" ht="28.8">
      <c r="A646" s="161" t="s">
        <v>2831</v>
      </c>
      <c r="B646" s="161" t="s">
        <v>1752</v>
      </c>
      <c r="C646" s="161" t="s">
        <v>1786</v>
      </c>
      <c r="D646" s="162">
        <v>43333</v>
      </c>
      <c r="E646" s="161" t="s">
        <v>2832</v>
      </c>
      <c r="F646" s="161" t="s">
        <v>1784</v>
      </c>
      <c r="G646" s="161">
        <v>2</v>
      </c>
      <c r="H646" s="161">
        <v>4</v>
      </c>
      <c r="I646" s="161">
        <v>12</v>
      </c>
      <c r="J646" s="161">
        <v>94.9</v>
      </c>
      <c r="K646" s="161">
        <v>14.3</v>
      </c>
      <c r="L646" s="163">
        <v>-2.79</v>
      </c>
      <c r="M646" s="163">
        <v>-2.5299999999999998</v>
      </c>
      <c r="N646" s="161">
        <v>-2.0099999999999998</v>
      </c>
      <c r="O646" s="164" t="s">
        <v>1747</v>
      </c>
    </row>
    <row r="647" spans="1:15" ht="28.8">
      <c r="A647" s="161" t="s">
        <v>2833</v>
      </c>
      <c r="B647" s="161" t="s">
        <v>1743</v>
      </c>
      <c r="C647" s="161" t="s">
        <v>1786</v>
      </c>
      <c r="D647" s="162">
        <v>43229</v>
      </c>
      <c r="E647" s="161" t="s">
        <v>2326</v>
      </c>
      <c r="F647" s="161" t="s">
        <v>1784</v>
      </c>
      <c r="G647" s="161">
        <v>7</v>
      </c>
      <c r="H647" s="161">
        <v>7</v>
      </c>
      <c r="I647" s="161">
        <v>14</v>
      </c>
      <c r="J647" s="161">
        <v>95</v>
      </c>
      <c r="K647" s="161">
        <v>14</v>
      </c>
      <c r="L647" s="163">
        <v>-1.61</v>
      </c>
      <c r="M647" s="163">
        <v>-2.68</v>
      </c>
      <c r="N647" s="161">
        <v>0.09</v>
      </c>
      <c r="O647" s="164" t="s">
        <v>1760</v>
      </c>
    </row>
    <row r="648" spans="1:15" ht="28.8">
      <c r="A648" s="161" t="s">
        <v>2834</v>
      </c>
      <c r="B648" s="161" t="s">
        <v>1743</v>
      </c>
      <c r="C648" s="161" t="s">
        <v>2055</v>
      </c>
      <c r="D648" s="162">
        <v>44956</v>
      </c>
      <c r="E648" s="161" t="s">
        <v>2336</v>
      </c>
      <c r="F648" s="161" t="s">
        <v>1784</v>
      </c>
      <c r="G648" s="161">
        <v>1</v>
      </c>
      <c r="H648" s="161">
        <v>4</v>
      </c>
      <c r="I648" s="161">
        <v>2.2999999999999998</v>
      </c>
      <c r="J648" s="161">
        <v>47</v>
      </c>
      <c r="K648" s="161"/>
      <c r="L648" s="163">
        <v>-3.98</v>
      </c>
      <c r="M648" s="163">
        <v>-3.04</v>
      </c>
      <c r="N648" s="161">
        <v>-2.77</v>
      </c>
      <c r="O648" s="164" t="s">
        <v>1747</v>
      </c>
    </row>
    <row r="649" spans="1:15" ht="28.8">
      <c r="A649" s="161" t="s">
        <v>2835</v>
      </c>
      <c r="B649" s="161" t="s">
        <v>1743</v>
      </c>
      <c r="C649" s="161" t="s">
        <v>2055</v>
      </c>
      <c r="D649" s="162">
        <v>44956</v>
      </c>
      <c r="E649" s="161" t="s">
        <v>2324</v>
      </c>
      <c r="F649" s="161" t="s">
        <v>1784</v>
      </c>
      <c r="G649" s="161">
        <v>3</v>
      </c>
      <c r="H649" s="161">
        <v>7</v>
      </c>
      <c r="I649" s="161">
        <v>3.2</v>
      </c>
      <c r="J649" s="161">
        <v>48</v>
      </c>
      <c r="K649" s="161"/>
      <c r="L649" s="163">
        <v>-1.89</v>
      </c>
      <c r="M649" s="163">
        <v>-2.5299999999999998</v>
      </c>
      <c r="N649" s="161">
        <v>0.35</v>
      </c>
      <c r="O649" s="164" t="s">
        <v>1760</v>
      </c>
    </row>
    <row r="650" spans="1:15" ht="28.8">
      <c r="A650" s="161" t="s">
        <v>2836</v>
      </c>
      <c r="B650" s="161" t="s">
        <v>1752</v>
      </c>
      <c r="C650" s="161" t="s">
        <v>1755</v>
      </c>
      <c r="D650" s="162">
        <v>44522</v>
      </c>
      <c r="E650" s="161" t="s">
        <v>1802</v>
      </c>
      <c r="F650" s="161" t="s">
        <v>1784</v>
      </c>
      <c r="G650" s="161">
        <v>3</v>
      </c>
      <c r="H650" s="161">
        <v>7</v>
      </c>
      <c r="I650" s="161">
        <v>7</v>
      </c>
      <c r="J650" s="161">
        <v>68</v>
      </c>
      <c r="K650" s="161">
        <v>13.1</v>
      </c>
      <c r="L650" s="163">
        <v>-3.22</v>
      </c>
      <c r="M650" s="163">
        <v>-3.91</v>
      </c>
      <c r="N650" s="161">
        <v>-1.61</v>
      </c>
      <c r="O650" s="164" t="s">
        <v>1760</v>
      </c>
    </row>
    <row r="651" spans="1:15" ht="43.2">
      <c r="A651" s="161" t="s">
        <v>2837</v>
      </c>
      <c r="B651" s="161" t="s">
        <v>1743</v>
      </c>
      <c r="C651" s="161" t="s">
        <v>1755</v>
      </c>
      <c r="D651" s="162">
        <v>44502</v>
      </c>
      <c r="E651" s="161" t="s">
        <v>2328</v>
      </c>
      <c r="F651" s="161" t="s">
        <v>1784</v>
      </c>
      <c r="G651" s="161">
        <v>3</v>
      </c>
      <c r="H651" s="161">
        <v>4</v>
      </c>
      <c r="I651" s="161">
        <v>7.3</v>
      </c>
      <c r="J651" s="161">
        <v>70.5</v>
      </c>
      <c r="K651" s="161">
        <v>12.5</v>
      </c>
      <c r="L651" s="163">
        <v>-2.16</v>
      </c>
      <c r="M651" s="163">
        <v>-2.29</v>
      </c>
      <c r="N651" s="161">
        <v>-1.4</v>
      </c>
      <c r="O651" s="164" t="s">
        <v>1760</v>
      </c>
    </row>
    <row r="652" spans="1:15" ht="43.2">
      <c r="A652" s="161" t="s">
        <v>2838</v>
      </c>
      <c r="B652" s="161" t="s">
        <v>1752</v>
      </c>
      <c r="C652" s="161" t="s">
        <v>1744</v>
      </c>
      <c r="D652" s="162">
        <v>44157</v>
      </c>
      <c r="E652" s="161" t="s">
        <v>2735</v>
      </c>
      <c r="F652" s="161" t="s">
        <v>1807</v>
      </c>
      <c r="G652" s="161">
        <v>2</v>
      </c>
      <c r="H652" s="161">
        <v>3</v>
      </c>
      <c r="I652" s="161">
        <v>9.6</v>
      </c>
      <c r="J652" s="161">
        <v>80.2</v>
      </c>
      <c r="K652" s="161">
        <v>14.2</v>
      </c>
      <c r="L652" s="163">
        <v>-2.27</v>
      </c>
      <c r="M652" s="163">
        <v>-2.85</v>
      </c>
      <c r="N652" s="161">
        <v>-1.08</v>
      </c>
      <c r="O652" s="164" t="s">
        <v>1760</v>
      </c>
    </row>
    <row r="653" spans="1:15" ht="43.2">
      <c r="A653" s="161" t="s">
        <v>2839</v>
      </c>
      <c r="B653" s="161" t="s">
        <v>1752</v>
      </c>
      <c r="C653" s="161" t="s">
        <v>1749</v>
      </c>
      <c r="D653" s="162">
        <v>43841</v>
      </c>
      <c r="E653" s="161" t="s">
        <v>2840</v>
      </c>
      <c r="F653" s="161" t="s">
        <v>1807</v>
      </c>
      <c r="G653" s="161">
        <v>7</v>
      </c>
      <c r="H653" s="161">
        <v>2</v>
      </c>
      <c r="I653" s="161">
        <v>10.65</v>
      </c>
      <c r="J653" s="161">
        <v>86.5</v>
      </c>
      <c r="K653" s="161">
        <v>14</v>
      </c>
      <c r="L653" s="163">
        <v>-2.48</v>
      </c>
      <c r="M653" s="163">
        <v>-2.58</v>
      </c>
      <c r="N653" s="161">
        <v>-1.55</v>
      </c>
      <c r="O653" s="164" t="s">
        <v>1760</v>
      </c>
    </row>
    <row r="654" spans="1:15" ht="43.2">
      <c r="A654" s="161" t="s">
        <v>2841</v>
      </c>
      <c r="B654" s="161" t="s">
        <v>1743</v>
      </c>
      <c r="C654" s="161" t="s">
        <v>1744</v>
      </c>
      <c r="D654" s="162">
        <v>43992</v>
      </c>
      <c r="E654" s="161" t="s">
        <v>1806</v>
      </c>
      <c r="F654" s="161" t="s">
        <v>1807</v>
      </c>
      <c r="G654" s="161">
        <v>11</v>
      </c>
      <c r="H654" s="161">
        <v>3</v>
      </c>
      <c r="I654" s="161">
        <v>10.25</v>
      </c>
      <c r="J654" s="161">
        <v>79.3</v>
      </c>
      <c r="K654" s="161">
        <v>15</v>
      </c>
      <c r="L654" s="163">
        <v>-1.89</v>
      </c>
      <c r="M654" s="163">
        <v>-3.4</v>
      </c>
      <c r="N654" s="161">
        <v>0.18</v>
      </c>
      <c r="O654" s="164" t="s">
        <v>1760</v>
      </c>
    </row>
    <row r="655" spans="1:15" ht="43.2">
      <c r="A655" s="161" t="s">
        <v>2842</v>
      </c>
      <c r="B655" s="161" t="s">
        <v>1743</v>
      </c>
      <c r="C655" s="161" t="s">
        <v>1744</v>
      </c>
      <c r="D655" s="162">
        <v>43992</v>
      </c>
      <c r="E655" s="161" t="s">
        <v>2843</v>
      </c>
      <c r="F655" s="161" t="s">
        <v>1807</v>
      </c>
      <c r="G655" s="161">
        <v>4</v>
      </c>
      <c r="H655" s="161">
        <v>4</v>
      </c>
      <c r="I655" s="161">
        <v>9.6</v>
      </c>
      <c r="J655" s="161">
        <v>78.2</v>
      </c>
      <c r="K655" s="161">
        <v>14.8</v>
      </c>
      <c r="L655" s="163">
        <v>-2.4500000000000002</v>
      </c>
      <c r="M655" s="163">
        <v>-3.7</v>
      </c>
      <c r="N655" s="161">
        <v>-0.31</v>
      </c>
      <c r="O655" s="164" t="s">
        <v>1760</v>
      </c>
    </row>
    <row r="656" spans="1:15" ht="43.2">
      <c r="A656" s="161" t="s">
        <v>2844</v>
      </c>
      <c r="B656" s="161" t="s">
        <v>1743</v>
      </c>
      <c r="C656" s="161" t="s">
        <v>1744</v>
      </c>
      <c r="D656" s="162">
        <v>43991</v>
      </c>
      <c r="E656" s="161" t="s">
        <v>2345</v>
      </c>
      <c r="F656" s="161" t="s">
        <v>1807</v>
      </c>
      <c r="G656" s="161">
        <v>1</v>
      </c>
      <c r="H656" s="161">
        <v>3</v>
      </c>
      <c r="I656" s="161">
        <v>10</v>
      </c>
      <c r="J656" s="161">
        <v>84</v>
      </c>
      <c r="K656" s="161">
        <v>14</v>
      </c>
      <c r="L656" s="163">
        <v>-2.1</v>
      </c>
      <c r="M656" s="163">
        <v>-2.09</v>
      </c>
      <c r="N656" s="161">
        <v>-1.25</v>
      </c>
      <c r="O656" s="164" t="s">
        <v>1760</v>
      </c>
    </row>
    <row r="657" spans="1:15" ht="57.6">
      <c r="A657" s="161" t="s">
        <v>2845</v>
      </c>
      <c r="B657" s="161" t="s">
        <v>1752</v>
      </c>
      <c r="C657" s="161" t="s">
        <v>1749</v>
      </c>
      <c r="D657" s="162">
        <v>43703</v>
      </c>
      <c r="E657" s="161" t="s">
        <v>2611</v>
      </c>
      <c r="F657" s="161" t="s">
        <v>1807</v>
      </c>
      <c r="G657" s="161">
        <v>1</v>
      </c>
      <c r="H657" s="161">
        <v>4</v>
      </c>
      <c r="I657" s="161">
        <v>10.6</v>
      </c>
      <c r="J657" s="161">
        <v>89.1</v>
      </c>
      <c r="K657" s="161"/>
      <c r="L657" s="163">
        <v>-2.91</v>
      </c>
      <c r="M657" s="163">
        <v>-2.52</v>
      </c>
      <c r="N657" s="161">
        <v>-2.29</v>
      </c>
      <c r="O657" s="164" t="s">
        <v>1747</v>
      </c>
    </row>
    <row r="658" spans="1:15" ht="28.8">
      <c r="A658" s="161" t="s">
        <v>2846</v>
      </c>
      <c r="B658" s="161" t="s">
        <v>1752</v>
      </c>
      <c r="C658" s="161" t="s">
        <v>1749</v>
      </c>
      <c r="D658" s="162">
        <v>43659</v>
      </c>
      <c r="E658" s="161" t="s">
        <v>2352</v>
      </c>
      <c r="F658" s="161" t="s">
        <v>1746</v>
      </c>
      <c r="G658" s="161">
        <v>2</v>
      </c>
      <c r="H658" s="161">
        <v>1</v>
      </c>
      <c r="I658" s="161">
        <v>11.7</v>
      </c>
      <c r="J658" s="161">
        <v>88.8</v>
      </c>
      <c r="K658" s="161"/>
      <c r="L658" s="163">
        <v>-2.21</v>
      </c>
      <c r="M658" s="163">
        <v>-2.78</v>
      </c>
      <c r="N658" s="161">
        <v>-0.93</v>
      </c>
      <c r="O658" s="164" t="s">
        <v>1760</v>
      </c>
    </row>
    <row r="659" spans="1:15" ht="43.2">
      <c r="A659" s="161" t="s">
        <v>2847</v>
      </c>
      <c r="B659" s="161" t="s">
        <v>1752</v>
      </c>
      <c r="C659" s="161" t="s">
        <v>1786</v>
      </c>
      <c r="D659" s="162">
        <v>43298</v>
      </c>
      <c r="E659" s="161" t="s">
        <v>2618</v>
      </c>
      <c r="F659" s="161" t="s">
        <v>1746</v>
      </c>
      <c r="G659" s="161">
        <v>6</v>
      </c>
      <c r="H659" s="161">
        <v>1</v>
      </c>
      <c r="I659" s="161">
        <v>10</v>
      </c>
      <c r="J659" s="161">
        <v>89.5</v>
      </c>
      <c r="K659" s="161"/>
      <c r="L659" s="163">
        <v>-4.1399999999999997</v>
      </c>
      <c r="M659" s="163">
        <v>-4.03</v>
      </c>
      <c r="N659" s="161">
        <v>-2.99</v>
      </c>
      <c r="O659" s="164" t="s">
        <v>1747</v>
      </c>
    </row>
    <row r="660" spans="1:15" ht="43.2">
      <c r="A660" s="161" t="s">
        <v>2848</v>
      </c>
      <c r="B660" s="161" t="s">
        <v>1743</v>
      </c>
      <c r="C660" s="161" t="s">
        <v>2055</v>
      </c>
      <c r="D660" s="162">
        <v>44889</v>
      </c>
      <c r="E660" s="161" t="s">
        <v>2849</v>
      </c>
      <c r="F660" s="161" t="s">
        <v>1746</v>
      </c>
      <c r="G660" s="161">
        <v>3</v>
      </c>
      <c r="H660" s="161">
        <v>1</v>
      </c>
      <c r="I660" s="161">
        <v>3.72</v>
      </c>
      <c r="J660" s="161">
        <v>50.5</v>
      </c>
      <c r="K660" s="161">
        <v>11.5</v>
      </c>
      <c r="L660" s="163">
        <v>-1.99</v>
      </c>
      <c r="M660" s="163">
        <v>-2.76</v>
      </c>
      <c r="N660" s="161">
        <v>0.8</v>
      </c>
      <c r="O660" s="164" t="s">
        <v>1760</v>
      </c>
    </row>
    <row r="661" spans="1:15" ht="28.8">
      <c r="A661" s="161" t="s">
        <v>2850</v>
      </c>
      <c r="B661" s="161" t="s">
        <v>1752</v>
      </c>
      <c r="C661" s="161" t="s">
        <v>2055</v>
      </c>
      <c r="D661" s="162">
        <v>44957</v>
      </c>
      <c r="E661" s="161" t="s">
        <v>2851</v>
      </c>
      <c r="F661" s="161" t="s">
        <v>1746</v>
      </c>
      <c r="G661" s="161">
        <v>7</v>
      </c>
      <c r="H661" s="161">
        <v>1</v>
      </c>
      <c r="I661" s="161">
        <v>3</v>
      </c>
      <c r="J661" s="161">
        <v>50</v>
      </c>
      <c r="K661" s="161"/>
      <c r="L661" s="163">
        <v>-2.89</v>
      </c>
      <c r="M661" s="163">
        <v>-2.11</v>
      </c>
      <c r="N661" s="161">
        <v>-1.7</v>
      </c>
      <c r="O661" s="164" t="s">
        <v>1760</v>
      </c>
    </row>
    <row r="662" spans="1:15" ht="43.2">
      <c r="A662" s="161" t="s">
        <v>2852</v>
      </c>
      <c r="B662" s="161" t="s">
        <v>1743</v>
      </c>
      <c r="C662" s="161" t="s">
        <v>2055</v>
      </c>
      <c r="D662" s="162">
        <v>44941</v>
      </c>
      <c r="E662" s="161" t="s">
        <v>2376</v>
      </c>
      <c r="F662" s="161" t="s">
        <v>1746</v>
      </c>
      <c r="G662" s="161">
        <v>4</v>
      </c>
      <c r="H662" s="161">
        <v>1</v>
      </c>
      <c r="I662" s="161">
        <v>2.4</v>
      </c>
      <c r="J662" s="161">
        <v>47</v>
      </c>
      <c r="K662" s="161"/>
      <c r="L662" s="163">
        <v>-2.72</v>
      </c>
      <c r="M662" s="163">
        <v>-2.0699999999999998</v>
      </c>
      <c r="N662" s="161">
        <v>-2.2599999999999998</v>
      </c>
      <c r="O662" s="164" t="s">
        <v>1747</v>
      </c>
    </row>
    <row r="663" spans="1:15" ht="28.8">
      <c r="A663" s="161" t="s">
        <v>2853</v>
      </c>
      <c r="B663" s="161" t="s">
        <v>1743</v>
      </c>
      <c r="C663" s="161" t="s">
        <v>1755</v>
      </c>
      <c r="D663" s="162">
        <v>44634</v>
      </c>
      <c r="E663" s="161" t="s">
        <v>1764</v>
      </c>
      <c r="F663" s="161" t="s">
        <v>1746</v>
      </c>
      <c r="G663" s="161">
        <v>4</v>
      </c>
      <c r="H663" s="161">
        <v>7</v>
      </c>
      <c r="I663" s="161">
        <v>6.8</v>
      </c>
      <c r="J663" s="161">
        <v>66</v>
      </c>
      <c r="K663" s="161"/>
      <c r="L663" s="163">
        <v>-1.85</v>
      </c>
      <c r="M663" s="163">
        <v>-2.25</v>
      </c>
      <c r="N663" s="161">
        <v>-0.8</v>
      </c>
      <c r="O663" s="164" t="s">
        <v>1760</v>
      </c>
    </row>
    <row r="664" spans="1:15" ht="28.8">
      <c r="A664" s="161" t="s">
        <v>2854</v>
      </c>
      <c r="B664" s="161" t="s">
        <v>1743</v>
      </c>
      <c r="C664" s="161" t="s">
        <v>1755</v>
      </c>
      <c r="D664" s="162">
        <v>44519</v>
      </c>
      <c r="E664" s="161" t="s">
        <v>1813</v>
      </c>
      <c r="F664" s="161" t="s">
        <v>1746</v>
      </c>
      <c r="G664" s="161">
        <v>1</v>
      </c>
      <c r="H664" s="161">
        <v>2</v>
      </c>
      <c r="I664" s="161">
        <v>7.2</v>
      </c>
      <c r="J664" s="161">
        <v>69.2</v>
      </c>
      <c r="K664" s="161">
        <v>14</v>
      </c>
      <c r="L664" s="163">
        <v>-2.19</v>
      </c>
      <c r="M664" s="163">
        <v>-2.61</v>
      </c>
      <c r="N664" s="161">
        <v>-1.18</v>
      </c>
      <c r="O664" s="164" t="s">
        <v>1760</v>
      </c>
    </row>
    <row r="665" spans="1:15" ht="43.2">
      <c r="A665" s="161" t="s">
        <v>2855</v>
      </c>
      <c r="B665" s="161" t="s">
        <v>1752</v>
      </c>
      <c r="C665" s="161" t="s">
        <v>1755</v>
      </c>
      <c r="D665" s="162">
        <v>44591</v>
      </c>
      <c r="E665" s="161" t="s">
        <v>2408</v>
      </c>
      <c r="F665" s="161" t="s">
        <v>1769</v>
      </c>
      <c r="G665" s="161">
        <v>8</v>
      </c>
      <c r="H665" s="161">
        <v>1</v>
      </c>
      <c r="I665" s="161">
        <v>8.1999999999999993</v>
      </c>
      <c r="J665" s="161">
        <v>78.5</v>
      </c>
      <c r="K665" s="161">
        <v>13</v>
      </c>
      <c r="L665" s="163">
        <v>-3.35</v>
      </c>
      <c r="M665" s="163">
        <v>-2.93</v>
      </c>
      <c r="N665" s="161">
        <v>-2.69</v>
      </c>
      <c r="O665" s="164" t="s">
        <v>1747</v>
      </c>
    </row>
    <row r="666" spans="1:15" ht="57.6">
      <c r="A666" s="161" t="s">
        <v>2856</v>
      </c>
      <c r="B666" s="161" t="s">
        <v>1743</v>
      </c>
      <c r="C666" s="161" t="s">
        <v>1744</v>
      </c>
      <c r="D666" s="162">
        <v>44195</v>
      </c>
      <c r="E666" s="161" t="s">
        <v>2636</v>
      </c>
      <c r="F666" s="161" t="s">
        <v>1769</v>
      </c>
      <c r="G666" s="161">
        <v>8</v>
      </c>
      <c r="H666" s="161">
        <v>1</v>
      </c>
      <c r="I666" s="161">
        <v>9.4</v>
      </c>
      <c r="J666" s="161">
        <v>79.2</v>
      </c>
      <c r="K666" s="161">
        <v>13</v>
      </c>
      <c r="L666" s="163">
        <v>-1.73</v>
      </c>
      <c r="M666" s="163">
        <v>-2.35</v>
      </c>
      <c r="N666" s="161">
        <v>-0.62</v>
      </c>
      <c r="O666" s="164" t="s">
        <v>1760</v>
      </c>
    </row>
    <row r="667" spans="1:15" ht="57.6">
      <c r="A667" s="161" t="s">
        <v>2857</v>
      </c>
      <c r="B667" s="161" t="s">
        <v>1743</v>
      </c>
      <c r="C667" s="161" t="s">
        <v>1755</v>
      </c>
      <c r="D667" s="162">
        <v>44443</v>
      </c>
      <c r="E667" s="161" t="s">
        <v>2858</v>
      </c>
      <c r="F667" s="161" t="s">
        <v>1769</v>
      </c>
      <c r="G667" s="161">
        <v>3</v>
      </c>
      <c r="H667" s="161">
        <v>1</v>
      </c>
      <c r="I667" s="161">
        <v>7.4</v>
      </c>
      <c r="J667" s="161">
        <v>71.5</v>
      </c>
      <c r="K667" s="161">
        <v>14</v>
      </c>
      <c r="L667" s="163">
        <v>-2.44</v>
      </c>
      <c r="M667" s="163">
        <v>-2.65</v>
      </c>
      <c r="N667" s="161">
        <v>-1.53</v>
      </c>
      <c r="O667" s="164" t="s">
        <v>1760</v>
      </c>
    </row>
    <row r="668" spans="1:15" ht="43.2">
      <c r="A668" s="161" t="s">
        <v>2859</v>
      </c>
      <c r="B668" s="161" t="s">
        <v>1752</v>
      </c>
      <c r="C668" s="161" t="s">
        <v>1755</v>
      </c>
      <c r="D668" s="162">
        <v>44370</v>
      </c>
      <c r="E668" s="161" t="s">
        <v>2158</v>
      </c>
      <c r="F668" s="161" t="s">
        <v>1769</v>
      </c>
      <c r="G668" s="161">
        <v>1</v>
      </c>
      <c r="H668" s="161">
        <v>2</v>
      </c>
      <c r="I668" s="161">
        <v>8.1999999999999993</v>
      </c>
      <c r="J668" s="161">
        <v>74.7</v>
      </c>
      <c r="K668" s="161"/>
      <c r="L668" s="163">
        <v>-2.7</v>
      </c>
      <c r="M668" s="163">
        <v>-3.02</v>
      </c>
      <c r="N668" s="161">
        <v>-1.74</v>
      </c>
      <c r="O668" s="164" t="s">
        <v>1760</v>
      </c>
    </row>
    <row r="669" spans="1:15" ht="43.2">
      <c r="A669" s="161" t="s">
        <v>2860</v>
      </c>
      <c r="B669" s="161" t="s">
        <v>1752</v>
      </c>
      <c r="C669" s="161" t="s">
        <v>1744</v>
      </c>
      <c r="D669" s="162">
        <v>44296</v>
      </c>
      <c r="E669" s="161" t="s">
        <v>1891</v>
      </c>
      <c r="F669" s="161" t="s">
        <v>1769</v>
      </c>
      <c r="G669" s="161">
        <v>3</v>
      </c>
      <c r="H669" s="161">
        <v>2</v>
      </c>
      <c r="I669" s="161">
        <v>8.4</v>
      </c>
      <c r="J669" s="161">
        <v>69.5</v>
      </c>
      <c r="K669" s="161"/>
      <c r="L669" s="163">
        <v>-2.85</v>
      </c>
      <c r="M669" s="163">
        <v>-5.47</v>
      </c>
      <c r="N669" s="161">
        <v>0.13</v>
      </c>
      <c r="O669" s="164" t="s">
        <v>1760</v>
      </c>
    </row>
    <row r="670" spans="1:15" ht="43.2">
      <c r="A670" s="161" t="s">
        <v>2861</v>
      </c>
      <c r="B670" s="161" t="s">
        <v>1752</v>
      </c>
      <c r="C670" s="161" t="s">
        <v>1744</v>
      </c>
      <c r="D670" s="162">
        <v>44144</v>
      </c>
      <c r="E670" s="161" t="s">
        <v>2862</v>
      </c>
      <c r="F670" s="161" t="s">
        <v>1769</v>
      </c>
      <c r="G670" s="161">
        <v>8</v>
      </c>
      <c r="H670" s="161">
        <v>2</v>
      </c>
      <c r="I670" s="161">
        <v>8.5</v>
      </c>
      <c r="J670" s="161">
        <v>76.400000000000006</v>
      </c>
      <c r="K670" s="161"/>
      <c r="L670" s="163">
        <v>-3.37</v>
      </c>
      <c r="M670" s="163">
        <v>-4.1500000000000004</v>
      </c>
      <c r="N670" s="161">
        <v>-1.73</v>
      </c>
      <c r="O670" s="164" t="s">
        <v>1760</v>
      </c>
    </row>
    <row r="671" spans="1:15" ht="43.2">
      <c r="A671" s="161" t="s">
        <v>2863</v>
      </c>
      <c r="B671" s="161" t="s">
        <v>1752</v>
      </c>
      <c r="C671" s="161" t="s">
        <v>1744</v>
      </c>
      <c r="D671" s="162">
        <v>44101</v>
      </c>
      <c r="E671" s="161" t="s">
        <v>2099</v>
      </c>
      <c r="F671" s="161" t="s">
        <v>1769</v>
      </c>
      <c r="G671" s="161">
        <v>9</v>
      </c>
      <c r="H671" s="161">
        <v>5</v>
      </c>
      <c r="I671" s="161">
        <v>10.3</v>
      </c>
      <c r="J671" s="161">
        <v>83</v>
      </c>
      <c r="K671" s="161">
        <v>13.5</v>
      </c>
      <c r="L671" s="163">
        <v>-1.91</v>
      </c>
      <c r="M671" s="163">
        <v>-2.16</v>
      </c>
      <c r="N671" s="161">
        <v>-1.03</v>
      </c>
      <c r="O671" s="164" t="s">
        <v>1760</v>
      </c>
    </row>
    <row r="672" spans="1:15" ht="43.2">
      <c r="A672" s="161" t="s">
        <v>2864</v>
      </c>
      <c r="B672" s="161" t="s">
        <v>1743</v>
      </c>
      <c r="C672" s="161" t="s">
        <v>1744</v>
      </c>
      <c r="D672" s="162">
        <v>44068</v>
      </c>
      <c r="E672" s="161" t="s">
        <v>2499</v>
      </c>
      <c r="F672" s="161" t="s">
        <v>1769</v>
      </c>
      <c r="G672" s="161">
        <v>6</v>
      </c>
      <c r="H672" s="161">
        <v>5</v>
      </c>
      <c r="I672" s="161">
        <v>10.199999999999999</v>
      </c>
      <c r="J672" s="161">
        <v>80.5</v>
      </c>
      <c r="K672" s="161"/>
      <c r="L672" s="163">
        <v>-1.63</v>
      </c>
      <c r="M672" s="163">
        <v>-2.63</v>
      </c>
      <c r="N672" s="161">
        <v>-0.15</v>
      </c>
      <c r="O672" s="164" t="s">
        <v>1760</v>
      </c>
    </row>
    <row r="673" spans="1:15" ht="43.2">
      <c r="A673" s="161" t="s">
        <v>2865</v>
      </c>
      <c r="B673" s="161" t="s">
        <v>1743</v>
      </c>
      <c r="C673" s="161" t="s">
        <v>1749</v>
      </c>
      <c r="D673" s="162">
        <v>43799</v>
      </c>
      <c r="E673" s="161" t="s">
        <v>2493</v>
      </c>
      <c r="F673" s="161" t="s">
        <v>1769</v>
      </c>
      <c r="G673" s="161">
        <v>8</v>
      </c>
      <c r="H673" s="161">
        <v>5</v>
      </c>
      <c r="I673" s="161">
        <v>11.4</v>
      </c>
      <c r="J673" s="161">
        <v>86.7</v>
      </c>
      <c r="K673" s="161">
        <v>14.5</v>
      </c>
      <c r="L673" s="163">
        <v>-1.71</v>
      </c>
      <c r="M673" s="163">
        <v>-2.42</v>
      </c>
      <c r="N673" s="161">
        <v>-0.41</v>
      </c>
      <c r="O673" s="164" t="s">
        <v>1760</v>
      </c>
    </row>
    <row r="674" spans="1:15" ht="43.2">
      <c r="A674" s="161" t="s">
        <v>2866</v>
      </c>
      <c r="B674" s="161" t="s">
        <v>1752</v>
      </c>
      <c r="C674" s="161" t="s">
        <v>1749</v>
      </c>
      <c r="D674" s="162">
        <v>43694</v>
      </c>
      <c r="E674" s="161" t="s">
        <v>2867</v>
      </c>
      <c r="F674" s="161" t="s">
        <v>1769</v>
      </c>
      <c r="G674" s="161">
        <v>2</v>
      </c>
      <c r="H674" s="161">
        <v>5</v>
      </c>
      <c r="I674" s="161">
        <v>13.2</v>
      </c>
      <c r="J674" s="161">
        <v>90.5</v>
      </c>
      <c r="K674" s="161">
        <v>14</v>
      </c>
      <c r="L674" s="163">
        <v>-1.1299999999999999</v>
      </c>
      <c r="M674" s="163">
        <v>-2.2200000000000002</v>
      </c>
      <c r="N674" s="161">
        <v>0.19</v>
      </c>
      <c r="O674" s="164" t="s">
        <v>1760</v>
      </c>
    </row>
    <row r="675" spans="1:15" ht="43.2">
      <c r="A675" s="161" t="s">
        <v>2868</v>
      </c>
      <c r="B675" s="161" t="s">
        <v>1752</v>
      </c>
      <c r="C675" s="161" t="s">
        <v>1755</v>
      </c>
      <c r="D675" s="162">
        <v>44477</v>
      </c>
      <c r="E675" s="161" t="s">
        <v>2248</v>
      </c>
      <c r="F675" s="161" t="s">
        <v>1769</v>
      </c>
      <c r="G675" s="161">
        <v>4</v>
      </c>
      <c r="H675" s="161">
        <v>8</v>
      </c>
      <c r="I675" s="161">
        <v>6.3</v>
      </c>
      <c r="J675" s="161">
        <v>58.3</v>
      </c>
      <c r="K675" s="161">
        <v>14</v>
      </c>
      <c r="L675" s="163">
        <v>-0.76</v>
      </c>
      <c r="M675" s="163">
        <v>-2.4500000000000002</v>
      </c>
      <c r="N675" s="161">
        <v>1.56</v>
      </c>
      <c r="O675" s="164" t="s">
        <v>1757</v>
      </c>
    </row>
    <row r="676" spans="1:15" ht="43.2">
      <c r="A676" s="161" t="s">
        <v>2869</v>
      </c>
      <c r="B676" s="161" t="s">
        <v>1752</v>
      </c>
      <c r="C676" s="161" t="s">
        <v>1755</v>
      </c>
      <c r="D676" s="162">
        <v>44495</v>
      </c>
      <c r="E676" s="161" t="s">
        <v>2870</v>
      </c>
      <c r="F676" s="161" t="s">
        <v>1769</v>
      </c>
      <c r="G676" s="161">
        <v>1</v>
      </c>
      <c r="H676" s="161">
        <v>10</v>
      </c>
      <c r="I676" s="161">
        <v>6.2</v>
      </c>
      <c r="J676" s="161">
        <v>58</v>
      </c>
      <c r="K676" s="161">
        <v>14</v>
      </c>
      <c r="L676" s="163">
        <v>-0.53</v>
      </c>
      <c r="M676" s="163">
        <v>-2.0699999999999998</v>
      </c>
      <c r="N676" s="161">
        <v>1.56</v>
      </c>
      <c r="O676" s="164" t="s">
        <v>1757</v>
      </c>
    </row>
    <row r="677" spans="1:15" ht="43.2">
      <c r="A677" s="161" t="s">
        <v>2871</v>
      </c>
      <c r="B677" s="161" t="s">
        <v>1743</v>
      </c>
      <c r="C677" s="161" t="s">
        <v>1749</v>
      </c>
      <c r="D677" s="162">
        <v>43664</v>
      </c>
      <c r="E677" s="161" t="s">
        <v>2219</v>
      </c>
      <c r="F677" s="161" t="s">
        <v>1769</v>
      </c>
      <c r="G677" s="161">
        <v>1</v>
      </c>
      <c r="H677" s="161">
        <v>11</v>
      </c>
      <c r="I677" s="161">
        <v>8.6999999999999993</v>
      </c>
      <c r="J677" s="161">
        <v>79.099999999999994</v>
      </c>
      <c r="K677" s="161"/>
      <c r="L677" s="163">
        <v>-3.29</v>
      </c>
      <c r="M677" s="163">
        <v>-3.45</v>
      </c>
      <c r="N677" s="161">
        <v>-1.66</v>
      </c>
      <c r="O677" s="164" t="s">
        <v>1760</v>
      </c>
    </row>
    <row r="678" spans="1:15" ht="43.2">
      <c r="A678" s="161" t="s">
        <v>2872</v>
      </c>
      <c r="B678" s="161" t="s">
        <v>1752</v>
      </c>
      <c r="C678" s="161" t="s">
        <v>1755</v>
      </c>
      <c r="D678" s="162">
        <v>44365</v>
      </c>
      <c r="E678" s="161" t="s">
        <v>2258</v>
      </c>
      <c r="F678" s="161" t="s">
        <v>1774</v>
      </c>
      <c r="G678" s="161">
        <v>6</v>
      </c>
      <c r="H678" s="161">
        <v>7</v>
      </c>
      <c r="I678" s="161">
        <v>7</v>
      </c>
      <c r="J678" s="161">
        <v>66</v>
      </c>
      <c r="K678" s="161">
        <v>14.5</v>
      </c>
      <c r="L678" s="163">
        <v>-2.14</v>
      </c>
      <c r="M678" s="163">
        <v>-2.57</v>
      </c>
      <c r="N678" s="161">
        <v>-0.86</v>
      </c>
      <c r="O678" s="164" t="s">
        <v>1760</v>
      </c>
    </row>
    <row r="679" spans="1:15" ht="43.2">
      <c r="A679" s="161" t="s">
        <v>2873</v>
      </c>
      <c r="B679" s="161" t="s">
        <v>1752</v>
      </c>
      <c r="C679" s="161" t="s">
        <v>1749</v>
      </c>
      <c r="D679" s="162">
        <v>43669</v>
      </c>
      <c r="E679" s="161" t="s">
        <v>2663</v>
      </c>
      <c r="F679" s="161" t="s">
        <v>1774</v>
      </c>
      <c r="G679" s="161">
        <v>4</v>
      </c>
      <c r="H679" s="161">
        <v>4</v>
      </c>
      <c r="I679" s="161">
        <v>9.6999999999999993</v>
      </c>
      <c r="J679" s="161">
        <v>85</v>
      </c>
      <c r="K679" s="161"/>
      <c r="L679" s="163">
        <v>-2.77</v>
      </c>
      <c r="M679" s="163">
        <v>-2.36</v>
      </c>
      <c r="N679" s="161">
        <v>-2.15</v>
      </c>
      <c r="O679" s="164" t="s">
        <v>1747</v>
      </c>
    </row>
    <row r="680" spans="1:15" ht="43.2">
      <c r="A680" s="161" t="s">
        <v>2874</v>
      </c>
      <c r="B680" s="161" t="s">
        <v>1743</v>
      </c>
      <c r="C680" s="161" t="s">
        <v>1749</v>
      </c>
      <c r="D680" s="162">
        <v>43849</v>
      </c>
      <c r="E680" s="161" t="s">
        <v>2875</v>
      </c>
      <c r="F680" s="161" t="s">
        <v>1774</v>
      </c>
      <c r="G680" s="161">
        <v>6</v>
      </c>
      <c r="H680" s="161">
        <v>7</v>
      </c>
      <c r="I680" s="161">
        <v>10.1</v>
      </c>
      <c r="J680" s="161">
        <v>82</v>
      </c>
      <c r="K680" s="161">
        <v>15</v>
      </c>
      <c r="L680" s="163">
        <v>-4.07</v>
      </c>
      <c r="M680" s="163">
        <v>-5.72</v>
      </c>
      <c r="N680" s="161">
        <v>-0.86</v>
      </c>
      <c r="O680" s="164" t="s">
        <v>1760</v>
      </c>
    </row>
    <row r="681" spans="1:15" ht="43.2">
      <c r="A681" s="161" t="s">
        <v>2876</v>
      </c>
      <c r="B681" s="161" t="s">
        <v>1752</v>
      </c>
      <c r="C681" s="161" t="s">
        <v>1755</v>
      </c>
      <c r="D681" s="162">
        <v>44617</v>
      </c>
      <c r="E681" s="161" t="s">
        <v>2877</v>
      </c>
      <c r="F681" s="161" t="s">
        <v>1774</v>
      </c>
      <c r="G681" s="161">
        <v>6</v>
      </c>
      <c r="H681" s="161">
        <v>7</v>
      </c>
      <c r="I681" s="161">
        <v>2.6</v>
      </c>
      <c r="J681" s="161">
        <v>47</v>
      </c>
      <c r="K681" s="161">
        <v>15</v>
      </c>
      <c r="L681" s="163">
        <v>-3.35</v>
      </c>
      <c r="M681" s="163">
        <v>-3.24</v>
      </c>
      <c r="N681" s="161">
        <v>-1.22</v>
      </c>
      <c r="O681" s="164" t="s">
        <v>1760</v>
      </c>
    </row>
    <row r="682" spans="1:15" ht="72">
      <c r="A682" s="161" t="s">
        <v>2878</v>
      </c>
      <c r="B682" s="161" t="s">
        <v>1743</v>
      </c>
      <c r="C682" s="161" t="s">
        <v>1755</v>
      </c>
      <c r="D682" s="162">
        <v>44595</v>
      </c>
      <c r="E682" s="161" t="s">
        <v>2667</v>
      </c>
      <c r="F682" s="161" t="s">
        <v>1774</v>
      </c>
      <c r="G682" s="161">
        <v>7</v>
      </c>
      <c r="H682" s="161">
        <v>3</v>
      </c>
      <c r="I682" s="161">
        <v>2.8</v>
      </c>
      <c r="J682" s="161">
        <v>45</v>
      </c>
      <c r="K682" s="161">
        <v>15</v>
      </c>
      <c r="L682" s="163">
        <v>-0.96</v>
      </c>
      <c r="M682" s="163">
        <v>-2.11</v>
      </c>
      <c r="N682" s="161">
        <v>0.89</v>
      </c>
      <c r="O682" s="164" t="s">
        <v>1760</v>
      </c>
    </row>
    <row r="683" spans="1:15" ht="43.2">
      <c r="A683" s="161" t="s">
        <v>2879</v>
      </c>
      <c r="B683" s="161" t="s">
        <v>1752</v>
      </c>
      <c r="C683" s="161" t="s">
        <v>1749</v>
      </c>
      <c r="D683" s="162">
        <v>43892</v>
      </c>
      <c r="E683" s="161" t="s">
        <v>2262</v>
      </c>
      <c r="F683" s="161" t="s">
        <v>1774</v>
      </c>
      <c r="G683" s="161">
        <v>1</v>
      </c>
      <c r="H683" s="161">
        <v>7</v>
      </c>
      <c r="I683" s="161">
        <v>9.8000000000000007</v>
      </c>
      <c r="J683" s="161">
        <v>76.5</v>
      </c>
      <c r="K683" s="161">
        <v>16</v>
      </c>
      <c r="L683" s="163">
        <v>-1.77</v>
      </c>
      <c r="M683" s="163">
        <v>-3.52</v>
      </c>
      <c r="N683" s="161">
        <v>0</v>
      </c>
      <c r="O683" s="164" t="s">
        <v>1760</v>
      </c>
    </row>
    <row r="684" spans="1:15" ht="43.2">
      <c r="A684" s="161" t="s">
        <v>2880</v>
      </c>
      <c r="B684" s="161" t="s">
        <v>1752</v>
      </c>
      <c r="C684" s="161" t="s">
        <v>1744</v>
      </c>
      <c r="D684" s="162">
        <v>43950</v>
      </c>
      <c r="E684" s="161" t="s">
        <v>2881</v>
      </c>
      <c r="F684" s="161" t="s">
        <v>1774</v>
      </c>
      <c r="G684" s="161">
        <v>5</v>
      </c>
      <c r="H684" s="161">
        <v>1</v>
      </c>
      <c r="I684" s="161">
        <v>9.1</v>
      </c>
      <c r="J684" s="161">
        <v>78.8</v>
      </c>
      <c r="K684" s="161">
        <v>16</v>
      </c>
      <c r="L684" s="163">
        <v>-2.15</v>
      </c>
      <c r="M684" s="163">
        <v>-2.27</v>
      </c>
      <c r="N684" s="161">
        <v>-1.44</v>
      </c>
      <c r="O684" s="164" t="s">
        <v>1760</v>
      </c>
    </row>
    <row r="685" spans="1:15" ht="43.2">
      <c r="A685" s="161" t="s">
        <v>2882</v>
      </c>
      <c r="B685" s="161" t="s">
        <v>1752</v>
      </c>
      <c r="C685" s="161" t="s">
        <v>1744</v>
      </c>
      <c r="D685" s="162">
        <v>44078</v>
      </c>
      <c r="E685" s="161" t="s">
        <v>2883</v>
      </c>
      <c r="F685" s="161" t="s">
        <v>1774</v>
      </c>
      <c r="G685" s="161">
        <v>7</v>
      </c>
      <c r="H685" s="161">
        <v>7</v>
      </c>
      <c r="I685" s="161">
        <v>2.75</v>
      </c>
      <c r="J685" s="161">
        <v>45</v>
      </c>
      <c r="K685" s="161">
        <v>16</v>
      </c>
      <c r="L685" s="163">
        <v>-1.3</v>
      </c>
      <c r="M685" s="163">
        <v>-2.58</v>
      </c>
      <c r="N685" s="161">
        <v>1.27</v>
      </c>
      <c r="O685" s="164" t="s">
        <v>1757</v>
      </c>
    </row>
    <row r="686" spans="1:15" ht="72">
      <c r="A686" s="161" t="s">
        <v>2884</v>
      </c>
      <c r="B686" s="161" t="s">
        <v>1752</v>
      </c>
      <c r="C686" s="161" t="s">
        <v>1755</v>
      </c>
      <c r="D686" s="162">
        <v>44620</v>
      </c>
      <c r="E686" s="161" t="s">
        <v>2885</v>
      </c>
      <c r="F686" s="161" t="s">
        <v>1774</v>
      </c>
      <c r="G686" s="161">
        <v>4</v>
      </c>
      <c r="H686" s="161">
        <v>7</v>
      </c>
      <c r="I686" s="161">
        <v>3</v>
      </c>
      <c r="J686" s="161">
        <v>49</v>
      </c>
      <c r="K686" s="161">
        <v>16</v>
      </c>
      <c r="L686" s="163">
        <v>-2.66</v>
      </c>
      <c r="M686" s="163">
        <v>-2.41</v>
      </c>
      <c r="N686" s="161">
        <v>-0.97</v>
      </c>
      <c r="O686" s="164" t="s">
        <v>1760</v>
      </c>
    </row>
    <row r="687" spans="1:15" ht="43.2">
      <c r="A687" s="161" t="s">
        <v>2886</v>
      </c>
      <c r="B687" s="161" t="s">
        <v>1752</v>
      </c>
      <c r="C687" s="161" t="s">
        <v>1755</v>
      </c>
      <c r="D687" s="162">
        <v>44614</v>
      </c>
      <c r="E687" s="161" t="s">
        <v>2887</v>
      </c>
      <c r="F687" s="161" t="s">
        <v>1777</v>
      </c>
      <c r="G687" s="161">
        <v>3</v>
      </c>
      <c r="H687" s="161">
        <v>8</v>
      </c>
      <c r="I687" s="161">
        <v>3.05</v>
      </c>
      <c r="J687" s="161">
        <v>48</v>
      </c>
      <c r="K687" s="161">
        <v>14</v>
      </c>
      <c r="L687" s="163">
        <v>-2.08</v>
      </c>
      <c r="M687" s="163">
        <v>-2.5099999999999998</v>
      </c>
      <c r="N687" s="161">
        <v>-0.09</v>
      </c>
      <c r="O687" s="164" t="s">
        <v>1760</v>
      </c>
    </row>
    <row r="688" spans="1:15" ht="72">
      <c r="A688" s="161" t="s">
        <v>2888</v>
      </c>
      <c r="B688" s="161" t="s">
        <v>1743</v>
      </c>
      <c r="C688" s="161" t="s">
        <v>1749</v>
      </c>
      <c r="D688" s="162">
        <v>43604</v>
      </c>
      <c r="E688" s="161" t="s">
        <v>2889</v>
      </c>
      <c r="F688" s="161" t="s">
        <v>1777</v>
      </c>
      <c r="G688" s="161"/>
      <c r="H688" s="161">
        <v>1</v>
      </c>
      <c r="I688" s="161">
        <v>8.3000000000000007</v>
      </c>
      <c r="J688" s="161">
        <v>84.8</v>
      </c>
      <c r="K688" s="161">
        <v>12.3</v>
      </c>
      <c r="L688" s="163">
        <v>-3.88</v>
      </c>
      <c r="M688" s="163">
        <v>-2.2799999999999998</v>
      </c>
      <c r="N688" s="161">
        <v>-3.66</v>
      </c>
      <c r="O688" s="164" t="s">
        <v>1790</v>
      </c>
    </row>
    <row r="689" spans="1:15" ht="43.2">
      <c r="A689" s="161" t="s">
        <v>2890</v>
      </c>
      <c r="B689" s="161" t="s">
        <v>1752</v>
      </c>
      <c r="C689" s="161" t="s">
        <v>1744</v>
      </c>
      <c r="D689" s="162">
        <v>44270</v>
      </c>
      <c r="E689" s="161" t="s">
        <v>2891</v>
      </c>
      <c r="F689" s="161" t="s">
        <v>1777</v>
      </c>
      <c r="G689" s="161">
        <v>4</v>
      </c>
      <c r="H689" s="161">
        <v>2</v>
      </c>
      <c r="I689" s="161">
        <v>9.6</v>
      </c>
      <c r="J689" s="161">
        <v>69.5</v>
      </c>
      <c r="K689" s="161">
        <v>15</v>
      </c>
      <c r="L689" s="163">
        <v>0.2</v>
      </c>
      <c r="M689" s="163">
        <v>-2.12</v>
      </c>
      <c r="N689" s="161">
        <v>1.71</v>
      </c>
      <c r="O689" s="164" t="s">
        <v>1757</v>
      </c>
    </row>
    <row r="690" spans="1:15" ht="43.2">
      <c r="A690" s="161" t="s">
        <v>2892</v>
      </c>
      <c r="B690" s="161" t="s">
        <v>1752</v>
      </c>
      <c r="C690" s="161" t="s">
        <v>1779</v>
      </c>
      <c r="D690" s="162">
        <v>43198</v>
      </c>
      <c r="E690" s="161" t="s">
        <v>2685</v>
      </c>
      <c r="F690" s="161" t="s">
        <v>1777</v>
      </c>
      <c r="G690" s="161">
        <v>3</v>
      </c>
      <c r="H690" s="161">
        <v>12</v>
      </c>
      <c r="I690" s="161">
        <v>12.6</v>
      </c>
      <c r="J690" s="161">
        <v>92.7</v>
      </c>
      <c r="K690" s="161">
        <v>16</v>
      </c>
      <c r="L690" s="163">
        <v>-1.94</v>
      </c>
      <c r="M690" s="163">
        <v>-2.34</v>
      </c>
      <c r="N690" s="161">
        <v>-0.89</v>
      </c>
      <c r="O690" s="164" t="s">
        <v>1760</v>
      </c>
    </row>
    <row r="691" spans="1:15" ht="43.2">
      <c r="A691" s="161" t="s">
        <v>2893</v>
      </c>
      <c r="B691" s="161" t="s">
        <v>1752</v>
      </c>
      <c r="C691" s="161" t="s">
        <v>1755</v>
      </c>
      <c r="D691" s="162">
        <v>44618</v>
      </c>
      <c r="E691" s="161" t="s">
        <v>2894</v>
      </c>
      <c r="F691" s="161" t="s">
        <v>1777</v>
      </c>
      <c r="G691" s="161">
        <v>2</v>
      </c>
      <c r="H691" s="161">
        <v>11</v>
      </c>
      <c r="I691" s="161">
        <v>3</v>
      </c>
      <c r="J691" s="161">
        <v>49</v>
      </c>
      <c r="K691" s="161">
        <v>13</v>
      </c>
      <c r="L691" s="163">
        <v>-2.5099999999999998</v>
      </c>
      <c r="M691" s="163">
        <v>-2.27</v>
      </c>
      <c r="N691" s="161">
        <v>-0.97</v>
      </c>
      <c r="O691" s="164" t="s">
        <v>1760</v>
      </c>
    </row>
    <row r="692" spans="1:15" ht="43.2">
      <c r="A692" s="161" t="s">
        <v>2895</v>
      </c>
      <c r="B692" s="161" t="s">
        <v>1743</v>
      </c>
      <c r="C692" s="161" t="s">
        <v>1744</v>
      </c>
      <c r="D692" s="162">
        <v>44033</v>
      </c>
      <c r="E692" s="161" t="s">
        <v>2509</v>
      </c>
      <c r="F692" s="161" t="s">
        <v>1777</v>
      </c>
      <c r="G692" s="161">
        <v>2</v>
      </c>
      <c r="H692" s="161">
        <v>10</v>
      </c>
      <c r="I692" s="161">
        <v>9</v>
      </c>
      <c r="J692" s="161">
        <v>84</v>
      </c>
      <c r="K692" s="161">
        <v>13</v>
      </c>
      <c r="L692" s="163">
        <v>-3.62</v>
      </c>
      <c r="M692" s="163">
        <v>-3.27</v>
      </c>
      <c r="N692" s="161">
        <v>-2.3199999999999998</v>
      </c>
      <c r="O692" s="164" t="s">
        <v>1747</v>
      </c>
    </row>
    <row r="693" spans="1:15" ht="57.6">
      <c r="A693" s="161" t="s">
        <v>2896</v>
      </c>
      <c r="B693" s="161" t="s">
        <v>1743</v>
      </c>
      <c r="C693" s="161" t="s">
        <v>1749</v>
      </c>
      <c r="D693" s="162">
        <v>43853</v>
      </c>
      <c r="E693" s="161" t="s">
        <v>2107</v>
      </c>
      <c r="F693" s="161" t="s">
        <v>1777</v>
      </c>
      <c r="G693" s="161">
        <v>4</v>
      </c>
      <c r="H693" s="161">
        <v>2</v>
      </c>
      <c r="I693" s="161">
        <v>8.5</v>
      </c>
      <c r="J693" s="161">
        <v>78</v>
      </c>
      <c r="K693" s="161">
        <v>14</v>
      </c>
      <c r="L693" s="163">
        <v>-2.61</v>
      </c>
      <c r="M693" s="163">
        <v>-2.5099999999999998</v>
      </c>
      <c r="N693" s="161">
        <v>-1.67</v>
      </c>
      <c r="O693" s="164" t="s">
        <v>1760</v>
      </c>
    </row>
    <row r="694" spans="1:15" ht="43.2">
      <c r="A694" s="161" t="s">
        <v>2897</v>
      </c>
      <c r="B694" s="161" t="s">
        <v>1752</v>
      </c>
      <c r="C694" s="161" t="s">
        <v>1744</v>
      </c>
      <c r="D694" s="162">
        <v>43986</v>
      </c>
      <c r="E694" s="161" t="s">
        <v>2898</v>
      </c>
      <c r="F694" s="161" t="s">
        <v>1777</v>
      </c>
      <c r="G694" s="161">
        <v>5</v>
      </c>
      <c r="H694" s="161">
        <v>1</v>
      </c>
      <c r="I694" s="161">
        <v>11.7</v>
      </c>
      <c r="J694" s="161">
        <v>78</v>
      </c>
      <c r="K694" s="161">
        <v>15</v>
      </c>
      <c r="L694" s="163">
        <v>0.27</v>
      </c>
      <c r="M694" s="163">
        <v>-2.21</v>
      </c>
      <c r="N694" s="161">
        <v>1.74</v>
      </c>
      <c r="O694" s="164" t="s">
        <v>1757</v>
      </c>
    </row>
    <row r="695" spans="1:15" ht="43.2">
      <c r="A695" s="161" t="s">
        <v>2899</v>
      </c>
      <c r="B695" s="161" t="s">
        <v>1752</v>
      </c>
      <c r="C695" s="161" t="s">
        <v>1755</v>
      </c>
      <c r="D695" s="162">
        <v>44380</v>
      </c>
      <c r="E695" s="161" t="s">
        <v>2511</v>
      </c>
      <c r="F695" s="161" t="s">
        <v>1777</v>
      </c>
      <c r="G695" s="161">
        <v>8</v>
      </c>
      <c r="H695" s="161">
        <v>9</v>
      </c>
      <c r="I695" s="161">
        <v>7</v>
      </c>
      <c r="J695" s="161">
        <v>64.099999999999994</v>
      </c>
      <c r="K695" s="161">
        <v>13</v>
      </c>
      <c r="L695" s="163">
        <v>-1.62</v>
      </c>
      <c r="M695" s="163">
        <v>-2.46</v>
      </c>
      <c r="N695" s="161">
        <v>-0.09</v>
      </c>
      <c r="O695" s="164" t="s">
        <v>1760</v>
      </c>
    </row>
    <row r="696" spans="1:15" ht="43.2">
      <c r="A696" s="161" t="s">
        <v>2900</v>
      </c>
      <c r="B696" s="161" t="s">
        <v>1752</v>
      </c>
      <c r="C696" s="161" t="s">
        <v>1755</v>
      </c>
      <c r="D696" s="162">
        <v>44527</v>
      </c>
      <c r="E696" s="161" t="s">
        <v>1776</v>
      </c>
      <c r="F696" s="161" t="s">
        <v>1777</v>
      </c>
      <c r="G696" s="161">
        <v>1</v>
      </c>
      <c r="H696" s="161">
        <v>2</v>
      </c>
      <c r="I696" s="161">
        <v>5.0999999999999996</v>
      </c>
      <c r="J696" s="161">
        <v>55.1</v>
      </c>
      <c r="K696" s="161">
        <v>16</v>
      </c>
      <c r="L696" s="163">
        <v>-1.05</v>
      </c>
      <c r="M696" s="163">
        <v>-2.08</v>
      </c>
      <c r="N696" s="161">
        <v>1.24</v>
      </c>
      <c r="O696" s="164" t="s">
        <v>1757</v>
      </c>
    </row>
    <row r="697" spans="1:15" ht="43.2">
      <c r="A697" s="161" t="s">
        <v>2901</v>
      </c>
      <c r="B697" s="161" t="s">
        <v>1743</v>
      </c>
      <c r="C697" s="161" t="s">
        <v>1749</v>
      </c>
      <c r="D697" s="162">
        <v>43645</v>
      </c>
      <c r="E697" s="161" t="s">
        <v>2518</v>
      </c>
      <c r="F697" s="161" t="s">
        <v>1777</v>
      </c>
      <c r="G697" s="161">
        <v>5</v>
      </c>
      <c r="H697" s="161">
        <v>2</v>
      </c>
      <c r="I697" s="161">
        <v>8.4</v>
      </c>
      <c r="J697" s="161">
        <v>81.3</v>
      </c>
      <c r="K697" s="161">
        <v>13.5</v>
      </c>
      <c r="L697" s="163">
        <v>-3.62</v>
      </c>
      <c r="M697" s="163">
        <v>-2.94</v>
      </c>
      <c r="N697" s="161">
        <v>-2.63</v>
      </c>
      <c r="O697" s="164" t="s">
        <v>1747</v>
      </c>
    </row>
    <row r="698" spans="1:15" ht="43.2">
      <c r="A698" s="161" t="s">
        <v>2902</v>
      </c>
      <c r="B698" s="161" t="s">
        <v>1752</v>
      </c>
      <c r="C698" s="161" t="s">
        <v>1866</v>
      </c>
      <c r="D698" s="162">
        <v>42849</v>
      </c>
      <c r="E698" s="161" t="s">
        <v>2513</v>
      </c>
      <c r="F698" s="161" t="s">
        <v>1777</v>
      </c>
      <c r="G698" s="161">
        <v>3</v>
      </c>
      <c r="H698" s="161">
        <v>10</v>
      </c>
      <c r="I698" s="161">
        <v>11.8</v>
      </c>
      <c r="J698" s="161">
        <v>92.6</v>
      </c>
      <c r="K698" s="161">
        <v>13.8</v>
      </c>
      <c r="L698" s="163">
        <v>-3.22</v>
      </c>
      <c r="M698" s="163">
        <v>-3.54</v>
      </c>
      <c r="N698" s="161">
        <v>-1.71</v>
      </c>
      <c r="O698" s="164" t="s">
        <v>1760</v>
      </c>
    </row>
    <row r="699" spans="1:15" ht="43.2">
      <c r="A699" s="161" t="s">
        <v>2903</v>
      </c>
      <c r="B699" s="161" t="s">
        <v>1752</v>
      </c>
      <c r="C699" s="161" t="s">
        <v>1749</v>
      </c>
      <c r="D699" s="162">
        <v>43597</v>
      </c>
      <c r="E699" s="161" t="s">
        <v>2019</v>
      </c>
      <c r="F699" s="161" t="s">
        <v>1777</v>
      </c>
      <c r="G699" s="161">
        <v>1</v>
      </c>
      <c r="H699" s="161">
        <v>15</v>
      </c>
      <c r="I699" s="161">
        <v>13.5</v>
      </c>
      <c r="J699" s="161">
        <v>83.5</v>
      </c>
      <c r="K699" s="161">
        <v>17.5</v>
      </c>
      <c r="L699" s="163">
        <v>-0.21</v>
      </c>
      <c r="M699" s="163">
        <v>-2.98</v>
      </c>
      <c r="N699" s="161">
        <v>2.09</v>
      </c>
      <c r="O699" s="164" t="s">
        <v>2078</v>
      </c>
    </row>
    <row r="700" spans="1:15" ht="43.2">
      <c r="A700" s="161" t="s">
        <v>2904</v>
      </c>
      <c r="B700" s="161" t="s">
        <v>1743</v>
      </c>
      <c r="C700" s="161" t="s">
        <v>1779</v>
      </c>
      <c r="D700" s="162">
        <v>43180</v>
      </c>
      <c r="E700" s="161" t="s">
        <v>2905</v>
      </c>
      <c r="F700" s="161" t="s">
        <v>1777</v>
      </c>
      <c r="G700" s="161">
        <v>1</v>
      </c>
      <c r="H700" s="161">
        <v>15</v>
      </c>
      <c r="I700" s="161">
        <v>12</v>
      </c>
      <c r="J700" s="161">
        <v>93.2</v>
      </c>
      <c r="K700" s="161">
        <v>18</v>
      </c>
      <c r="L700" s="163">
        <v>-2.12</v>
      </c>
      <c r="M700" s="163">
        <v>-2.08</v>
      </c>
      <c r="N700" s="161">
        <v>-1.29</v>
      </c>
      <c r="O700" s="164" t="s">
        <v>1760</v>
      </c>
    </row>
    <row r="701" spans="1:15" ht="72">
      <c r="A701" s="161" t="s">
        <v>2906</v>
      </c>
      <c r="B701" s="161" t="s">
        <v>1743</v>
      </c>
      <c r="C701" s="161" t="s">
        <v>1779</v>
      </c>
      <c r="D701" s="162">
        <v>43191</v>
      </c>
      <c r="E701" s="161" t="s">
        <v>2907</v>
      </c>
      <c r="F701" s="161" t="s">
        <v>1777</v>
      </c>
      <c r="G701" s="161">
        <v>1</v>
      </c>
      <c r="H701" s="161">
        <v>15</v>
      </c>
      <c r="I701" s="161">
        <v>8.9</v>
      </c>
      <c r="J701" s="161">
        <v>86.5</v>
      </c>
      <c r="K701" s="161">
        <v>18</v>
      </c>
      <c r="L701" s="163">
        <v>-4.3</v>
      </c>
      <c r="M701" s="163">
        <v>-3.61</v>
      </c>
      <c r="N701" s="161">
        <v>-3.29</v>
      </c>
      <c r="O701" s="164" t="s">
        <v>1790</v>
      </c>
    </row>
    <row r="702" spans="1:15" ht="43.2">
      <c r="A702" s="161" t="s">
        <v>2908</v>
      </c>
      <c r="B702" s="161" t="s">
        <v>1752</v>
      </c>
      <c r="C702" s="161" t="s">
        <v>1786</v>
      </c>
      <c r="D702" s="162">
        <v>43364</v>
      </c>
      <c r="E702" s="161" t="s">
        <v>2691</v>
      </c>
      <c r="F702" s="161" t="s">
        <v>1777</v>
      </c>
      <c r="G702" s="161"/>
      <c r="H702" s="161">
        <v>1</v>
      </c>
      <c r="I702" s="161">
        <v>10.199999999999999</v>
      </c>
      <c r="J702" s="161">
        <v>80.3</v>
      </c>
      <c r="K702" s="161">
        <v>16</v>
      </c>
      <c r="L702" s="163">
        <v>-3.23</v>
      </c>
      <c r="M702" s="163">
        <v>-4.9800000000000004</v>
      </c>
      <c r="N702" s="161">
        <v>-0.35</v>
      </c>
      <c r="O702" s="164" t="s">
        <v>1760</v>
      </c>
    </row>
    <row r="703" spans="1:15" ht="43.2">
      <c r="A703" s="161" t="s">
        <v>2909</v>
      </c>
      <c r="B703" s="161" t="s">
        <v>1752</v>
      </c>
      <c r="C703" s="161" t="s">
        <v>1749</v>
      </c>
      <c r="D703" s="162">
        <v>43665</v>
      </c>
      <c r="E703" s="161" t="s">
        <v>2910</v>
      </c>
      <c r="F703" s="161" t="s">
        <v>1777</v>
      </c>
      <c r="G703" s="161">
        <v>4</v>
      </c>
      <c r="H703" s="161">
        <v>8</v>
      </c>
      <c r="I703" s="161">
        <v>12</v>
      </c>
      <c r="J703" s="161">
        <v>86</v>
      </c>
      <c r="K703" s="161">
        <v>15</v>
      </c>
      <c r="L703" s="163">
        <v>-3.18</v>
      </c>
      <c r="M703" s="163">
        <v>-5.1100000000000003</v>
      </c>
      <c r="N703" s="161">
        <v>0.09</v>
      </c>
      <c r="O703" s="164" t="s">
        <v>1760</v>
      </c>
    </row>
    <row r="704" spans="1:15" ht="43.2">
      <c r="A704" s="161" t="s">
        <v>2911</v>
      </c>
      <c r="B704" s="161" t="s">
        <v>1752</v>
      </c>
      <c r="C704" s="161" t="s">
        <v>1749</v>
      </c>
      <c r="D704" s="162">
        <v>43875</v>
      </c>
      <c r="E704" s="161" t="s">
        <v>2816</v>
      </c>
      <c r="F704" s="161" t="s">
        <v>2190</v>
      </c>
      <c r="G704" s="161">
        <v>3</v>
      </c>
      <c r="H704" s="161">
        <v>4</v>
      </c>
      <c r="I704" s="161">
        <v>2.9</v>
      </c>
      <c r="J704" s="161">
        <v>47</v>
      </c>
      <c r="K704" s="161">
        <v>14</v>
      </c>
      <c r="L704" s="163">
        <v>-1.76</v>
      </c>
      <c r="M704" s="163">
        <v>-2.4300000000000002</v>
      </c>
      <c r="N704" s="161">
        <v>0.02</v>
      </c>
      <c r="O704" s="164" t="s">
        <v>1760</v>
      </c>
    </row>
    <row r="705" spans="1:15" ht="43.2">
      <c r="A705" s="161" t="s">
        <v>2912</v>
      </c>
      <c r="B705" s="161" t="s">
        <v>1743</v>
      </c>
      <c r="C705" s="161" t="s">
        <v>1779</v>
      </c>
      <c r="D705" s="162">
        <v>42857</v>
      </c>
      <c r="E705" s="161" t="s">
        <v>2285</v>
      </c>
      <c r="F705" s="161" t="s">
        <v>2190</v>
      </c>
      <c r="G705" s="161">
        <v>5</v>
      </c>
      <c r="H705" s="161">
        <v>2</v>
      </c>
      <c r="I705" s="161">
        <v>14</v>
      </c>
      <c r="J705" s="161">
        <v>88.9</v>
      </c>
      <c r="K705" s="161">
        <v>15.1</v>
      </c>
      <c r="L705" s="163">
        <v>-1.69</v>
      </c>
      <c r="M705" s="163">
        <v>-4.09</v>
      </c>
      <c r="N705" s="161">
        <v>1.36</v>
      </c>
      <c r="O705" s="164" t="s">
        <v>1757</v>
      </c>
    </row>
    <row r="706" spans="1:15" ht="43.2">
      <c r="A706" s="161" t="s">
        <v>2913</v>
      </c>
      <c r="B706" s="161" t="s">
        <v>1752</v>
      </c>
      <c r="C706" s="161" t="s">
        <v>1744</v>
      </c>
      <c r="D706" s="162">
        <v>44144</v>
      </c>
      <c r="E706" s="161" t="s">
        <v>2777</v>
      </c>
      <c r="F706" s="161" t="s">
        <v>2190</v>
      </c>
      <c r="G706" s="161">
        <v>1</v>
      </c>
      <c r="H706" s="161">
        <v>2</v>
      </c>
      <c r="I706" s="161">
        <v>7</v>
      </c>
      <c r="J706" s="161">
        <v>70</v>
      </c>
      <c r="K706" s="161">
        <v>13</v>
      </c>
      <c r="L706" s="163">
        <v>-3.43</v>
      </c>
      <c r="M706" s="163">
        <v>-3.57</v>
      </c>
      <c r="N706" s="161">
        <v>-2.3199999999999998</v>
      </c>
      <c r="O706" s="164" t="s">
        <v>1747</v>
      </c>
    </row>
    <row r="707" spans="1:15" ht="43.2">
      <c r="A707" s="161" t="s">
        <v>2914</v>
      </c>
      <c r="B707" s="161" t="s">
        <v>1743</v>
      </c>
      <c r="C707" s="161" t="s">
        <v>1744</v>
      </c>
      <c r="D707" s="162">
        <v>44312</v>
      </c>
      <c r="E707" s="161" t="s">
        <v>2287</v>
      </c>
      <c r="F707" s="161" t="s">
        <v>2190</v>
      </c>
      <c r="G707" s="161">
        <v>5</v>
      </c>
      <c r="H707" s="161">
        <v>2</v>
      </c>
      <c r="I707" s="161">
        <v>7.4</v>
      </c>
      <c r="J707" s="161">
        <v>75.5</v>
      </c>
      <c r="K707" s="161">
        <v>12</v>
      </c>
      <c r="L707" s="163">
        <v>-3.35</v>
      </c>
      <c r="M707" s="163">
        <v>-2.83</v>
      </c>
      <c r="N707" s="161">
        <v>-2.58</v>
      </c>
      <c r="O707" s="164" t="s">
        <v>1747</v>
      </c>
    </row>
    <row r="708" spans="1:15" ht="43.2">
      <c r="A708" s="161" t="s">
        <v>2915</v>
      </c>
      <c r="B708" s="161" t="s">
        <v>1752</v>
      </c>
      <c r="C708" s="161" t="s">
        <v>1744</v>
      </c>
      <c r="D708" s="162">
        <v>44112</v>
      </c>
      <c r="E708" s="161" t="s">
        <v>2780</v>
      </c>
      <c r="F708" s="161" t="s">
        <v>2190</v>
      </c>
      <c r="G708" s="161">
        <v>3</v>
      </c>
      <c r="H708" s="161">
        <v>1</v>
      </c>
      <c r="I708" s="161">
        <v>9.1</v>
      </c>
      <c r="J708" s="161">
        <v>81.5</v>
      </c>
      <c r="K708" s="161">
        <v>12</v>
      </c>
      <c r="L708" s="163">
        <v>-3.05</v>
      </c>
      <c r="M708" s="163">
        <v>-2.75</v>
      </c>
      <c r="N708" s="161">
        <v>-2.2200000000000002</v>
      </c>
      <c r="O708" s="164" t="s">
        <v>1747</v>
      </c>
    </row>
    <row r="709" spans="1:15" ht="43.2">
      <c r="A709" s="161" t="s">
        <v>2916</v>
      </c>
      <c r="B709" s="161" t="s">
        <v>1743</v>
      </c>
      <c r="C709" s="161" t="s">
        <v>1786</v>
      </c>
      <c r="D709" s="162">
        <v>43293</v>
      </c>
      <c r="E709" s="161" t="s">
        <v>2282</v>
      </c>
      <c r="F709" s="161" t="s">
        <v>2190</v>
      </c>
      <c r="G709" s="161">
        <v>2</v>
      </c>
      <c r="H709" s="161">
        <v>1</v>
      </c>
      <c r="I709" s="161">
        <v>11.4</v>
      </c>
      <c r="J709" s="161">
        <v>90</v>
      </c>
      <c r="K709" s="161">
        <v>13</v>
      </c>
      <c r="L709" s="163">
        <v>-3.12</v>
      </c>
      <c r="M709" s="163">
        <v>-3.67</v>
      </c>
      <c r="N709" s="161">
        <v>-1.19</v>
      </c>
      <c r="O709" s="164" t="s">
        <v>1760</v>
      </c>
    </row>
    <row r="710" spans="1:15" ht="43.2">
      <c r="A710" s="161" t="s">
        <v>2917</v>
      </c>
      <c r="B710" s="161" t="s">
        <v>1743</v>
      </c>
      <c r="C710" s="161" t="s">
        <v>1744</v>
      </c>
      <c r="D710" s="162">
        <v>43956</v>
      </c>
      <c r="E710" s="161" t="s">
        <v>2918</v>
      </c>
      <c r="F710" s="161" t="s">
        <v>2190</v>
      </c>
      <c r="G710" s="161">
        <v>9</v>
      </c>
      <c r="H710" s="161">
        <v>3</v>
      </c>
      <c r="I710" s="161">
        <v>10</v>
      </c>
      <c r="J710" s="161">
        <v>82</v>
      </c>
      <c r="K710" s="161">
        <v>14</v>
      </c>
      <c r="L710" s="163">
        <v>-2.36</v>
      </c>
      <c r="M710" s="163">
        <v>-3.01</v>
      </c>
      <c r="N710" s="161">
        <v>-0.74</v>
      </c>
      <c r="O710" s="164" t="s">
        <v>1760</v>
      </c>
    </row>
    <row r="711" spans="1:15" ht="43.2">
      <c r="A711" s="161" t="s">
        <v>2919</v>
      </c>
      <c r="B711" s="161" t="s">
        <v>1752</v>
      </c>
      <c r="C711" s="161" t="s">
        <v>1786</v>
      </c>
      <c r="D711" s="162">
        <v>43334</v>
      </c>
      <c r="E711" s="161" t="s">
        <v>2920</v>
      </c>
      <c r="F711" s="161" t="s">
        <v>1781</v>
      </c>
      <c r="G711" s="161">
        <v>3</v>
      </c>
      <c r="H711" s="161">
        <v>1</v>
      </c>
      <c r="I711" s="161">
        <v>11</v>
      </c>
      <c r="J711" s="161">
        <v>93</v>
      </c>
      <c r="K711" s="161">
        <v>14</v>
      </c>
      <c r="L711" s="163">
        <v>-3.5</v>
      </c>
      <c r="M711" s="163">
        <v>-3.06</v>
      </c>
      <c r="N711" s="161">
        <v>-2.73</v>
      </c>
      <c r="O711" s="164" t="s">
        <v>1747</v>
      </c>
    </row>
    <row r="712" spans="1:15" ht="43.2">
      <c r="A712" s="161" t="s">
        <v>2921</v>
      </c>
      <c r="B712" s="161" t="s">
        <v>1752</v>
      </c>
      <c r="C712" s="161" t="s">
        <v>1749</v>
      </c>
      <c r="D712" s="162">
        <v>43717</v>
      </c>
      <c r="E712" s="161" t="s">
        <v>2922</v>
      </c>
      <c r="F712" s="161" t="s">
        <v>1781</v>
      </c>
      <c r="G712" s="161">
        <v>3</v>
      </c>
      <c r="H712" s="161">
        <v>2</v>
      </c>
      <c r="I712" s="161">
        <v>10.5</v>
      </c>
      <c r="J712" s="161">
        <v>84</v>
      </c>
      <c r="K712" s="161">
        <v>15</v>
      </c>
      <c r="L712" s="163">
        <v>-3.04</v>
      </c>
      <c r="M712" s="163">
        <v>-4.08</v>
      </c>
      <c r="N712" s="161">
        <v>-0.87</v>
      </c>
      <c r="O712" s="164" t="s">
        <v>1760</v>
      </c>
    </row>
    <row r="713" spans="1:15" ht="43.2">
      <c r="A713" s="161" t="s">
        <v>2923</v>
      </c>
      <c r="B713" s="161" t="s">
        <v>1752</v>
      </c>
      <c r="C713" s="161" t="s">
        <v>1749</v>
      </c>
      <c r="D713" s="162">
        <v>43647</v>
      </c>
      <c r="E713" s="161" t="s">
        <v>2924</v>
      </c>
      <c r="F713" s="161" t="s">
        <v>1781</v>
      </c>
      <c r="G713" s="161"/>
      <c r="H713" s="161">
        <v>3</v>
      </c>
      <c r="I713" s="161">
        <v>12</v>
      </c>
      <c r="J713" s="161">
        <v>91</v>
      </c>
      <c r="K713" s="161">
        <v>15</v>
      </c>
      <c r="L713" s="163">
        <v>-2.1</v>
      </c>
      <c r="M713" s="163">
        <v>-2.56</v>
      </c>
      <c r="N713" s="161">
        <v>-0.97</v>
      </c>
      <c r="O713" s="164" t="s">
        <v>1760</v>
      </c>
    </row>
    <row r="714" spans="1:15" ht="43.2">
      <c r="A714" s="161" t="s">
        <v>2925</v>
      </c>
      <c r="B714" s="161" t="s">
        <v>1743</v>
      </c>
      <c r="C714" s="161" t="s">
        <v>1755</v>
      </c>
      <c r="D714" s="162">
        <v>44624</v>
      </c>
      <c r="E714" s="161" t="s">
        <v>2926</v>
      </c>
      <c r="F714" s="161" t="s">
        <v>1781</v>
      </c>
      <c r="G714" s="161"/>
      <c r="H714" s="161">
        <v>3</v>
      </c>
      <c r="I714" s="161">
        <v>5.4</v>
      </c>
      <c r="J714" s="161">
        <v>62.3</v>
      </c>
      <c r="K714" s="161">
        <v>12</v>
      </c>
      <c r="L714" s="163">
        <v>-4.03</v>
      </c>
      <c r="M714" s="163">
        <v>-4.33</v>
      </c>
      <c r="N714" s="161">
        <v>-2.0099999999999998</v>
      </c>
      <c r="O714" s="164" t="s">
        <v>1747</v>
      </c>
    </row>
    <row r="715" spans="1:15" ht="43.2">
      <c r="A715" s="161" t="s">
        <v>2927</v>
      </c>
      <c r="B715" s="161" t="s">
        <v>1743</v>
      </c>
      <c r="C715" s="161" t="s">
        <v>1744</v>
      </c>
      <c r="D715" s="162">
        <v>44104</v>
      </c>
      <c r="E715" s="161" t="s">
        <v>2196</v>
      </c>
      <c r="F715" s="161" t="s">
        <v>1781</v>
      </c>
      <c r="G715" s="161">
        <v>3</v>
      </c>
      <c r="H715" s="161">
        <v>2</v>
      </c>
      <c r="I715" s="161">
        <v>8.5</v>
      </c>
      <c r="J715" s="161">
        <v>76.5</v>
      </c>
      <c r="K715" s="161">
        <v>12.5</v>
      </c>
      <c r="L715" s="163">
        <v>-3.22</v>
      </c>
      <c r="M715" s="163">
        <v>-3.82</v>
      </c>
      <c r="N715" s="161">
        <v>-1.33</v>
      </c>
      <c r="O715" s="164" t="s">
        <v>1760</v>
      </c>
    </row>
    <row r="716" spans="1:15" ht="43.2">
      <c r="A716" s="161" t="s">
        <v>2928</v>
      </c>
      <c r="B716" s="161" t="s">
        <v>1752</v>
      </c>
      <c r="C716" s="161" t="s">
        <v>1779</v>
      </c>
      <c r="D716" s="162">
        <v>43152</v>
      </c>
      <c r="E716" s="161" t="s">
        <v>2822</v>
      </c>
      <c r="F716" s="161" t="s">
        <v>1781</v>
      </c>
      <c r="G716" s="161">
        <v>2</v>
      </c>
      <c r="H716" s="161">
        <v>12</v>
      </c>
      <c r="I716" s="161">
        <v>14.1</v>
      </c>
      <c r="J716" s="161">
        <v>96</v>
      </c>
      <c r="K716" s="161">
        <v>14</v>
      </c>
      <c r="L716" s="163">
        <v>-1.96</v>
      </c>
      <c r="M716" s="163">
        <v>-2.97</v>
      </c>
      <c r="N716" s="161">
        <v>-0.18</v>
      </c>
      <c r="O716" s="164" t="s">
        <v>1760</v>
      </c>
    </row>
    <row r="717" spans="1:15" ht="43.2">
      <c r="A717" s="161" t="s">
        <v>2929</v>
      </c>
      <c r="B717" s="161" t="s">
        <v>1752</v>
      </c>
      <c r="C717" s="161" t="s">
        <v>1749</v>
      </c>
      <c r="D717" s="162">
        <v>43790</v>
      </c>
      <c r="E717" s="161" t="s">
        <v>2824</v>
      </c>
      <c r="F717" s="161" t="s">
        <v>1781</v>
      </c>
      <c r="G717" s="161">
        <v>1</v>
      </c>
      <c r="H717" s="161">
        <v>3</v>
      </c>
      <c r="I717" s="161">
        <v>9.75</v>
      </c>
      <c r="J717" s="161">
        <v>87</v>
      </c>
      <c r="K717" s="161">
        <v>13.5</v>
      </c>
      <c r="L717" s="163">
        <v>-3.4</v>
      </c>
      <c r="M717" s="163">
        <v>-2.8</v>
      </c>
      <c r="N717" s="161">
        <v>-2.84</v>
      </c>
      <c r="O717" s="164" t="s">
        <v>1747</v>
      </c>
    </row>
    <row r="718" spans="1:15" ht="43.2">
      <c r="A718" s="161" t="s">
        <v>2930</v>
      </c>
      <c r="B718" s="161" t="s">
        <v>1752</v>
      </c>
      <c r="C718" s="161" t="s">
        <v>1744</v>
      </c>
      <c r="D718" s="162">
        <v>44169</v>
      </c>
      <c r="E718" s="161" t="s">
        <v>2596</v>
      </c>
      <c r="F718" s="161" t="s">
        <v>1781</v>
      </c>
      <c r="G718" s="161">
        <v>2</v>
      </c>
      <c r="H718" s="161">
        <v>13</v>
      </c>
      <c r="I718" s="161">
        <v>8.1999999999999993</v>
      </c>
      <c r="J718" s="161">
        <v>78</v>
      </c>
      <c r="K718" s="161">
        <v>14</v>
      </c>
      <c r="L718" s="163">
        <v>-3.67</v>
      </c>
      <c r="M718" s="163">
        <v>-3.46</v>
      </c>
      <c r="N718" s="161">
        <v>-2.74</v>
      </c>
      <c r="O718" s="164" t="s">
        <v>1747</v>
      </c>
    </row>
    <row r="719" spans="1:15" ht="43.2">
      <c r="A719" s="161" t="s">
        <v>2931</v>
      </c>
      <c r="B719" s="161" t="s">
        <v>1752</v>
      </c>
      <c r="C719" s="161" t="s">
        <v>1755</v>
      </c>
      <c r="D719" s="162">
        <v>44651</v>
      </c>
      <c r="E719" s="161" t="s">
        <v>2119</v>
      </c>
      <c r="F719" s="161" t="s">
        <v>1781</v>
      </c>
      <c r="G719" s="161">
        <v>2</v>
      </c>
      <c r="H719" s="161">
        <v>2</v>
      </c>
      <c r="I719" s="161">
        <v>6.5</v>
      </c>
      <c r="J719" s="161">
        <v>65.5</v>
      </c>
      <c r="K719" s="161">
        <v>14</v>
      </c>
      <c r="L719" s="163">
        <v>-3.21</v>
      </c>
      <c r="M719" s="163">
        <v>-3.64</v>
      </c>
      <c r="N719" s="161">
        <v>-1.59</v>
      </c>
      <c r="O719" s="164" t="s">
        <v>1760</v>
      </c>
    </row>
    <row r="720" spans="1:15" ht="43.2">
      <c r="A720" s="161" t="s">
        <v>2932</v>
      </c>
      <c r="B720" s="161" t="s">
        <v>1752</v>
      </c>
      <c r="C720" s="161" t="s">
        <v>1755</v>
      </c>
      <c r="D720" s="162">
        <v>44371</v>
      </c>
      <c r="E720" s="161" t="s">
        <v>2320</v>
      </c>
      <c r="F720" s="161" t="s">
        <v>1781</v>
      </c>
      <c r="G720" s="161">
        <v>3</v>
      </c>
      <c r="H720" s="161">
        <v>11</v>
      </c>
      <c r="I720" s="161">
        <v>9</v>
      </c>
      <c r="J720" s="161">
        <v>78</v>
      </c>
      <c r="K720" s="161">
        <v>15</v>
      </c>
      <c r="L720" s="163">
        <v>-2.0099999999999998</v>
      </c>
      <c r="M720" s="163">
        <v>-2.09</v>
      </c>
      <c r="N720" s="161">
        <v>-1.39</v>
      </c>
      <c r="O720" s="164" t="s">
        <v>1760</v>
      </c>
    </row>
    <row r="721" spans="1:15" ht="43.2">
      <c r="A721" s="161" t="s">
        <v>2933</v>
      </c>
      <c r="B721" s="161" t="s">
        <v>1752</v>
      </c>
      <c r="C721" s="161" t="s">
        <v>1744</v>
      </c>
      <c r="D721" s="162">
        <v>44286</v>
      </c>
      <c r="E721" s="161" t="s">
        <v>2308</v>
      </c>
      <c r="F721" s="161" t="s">
        <v>1781</v>
      </c>
      <c r="G721" s="161">
        <v>4</v>
      </c>
      <c r="H721" s="161">
        <v>2</v>
      </c>
      <c r="I721" s="161">
        <v>9.1</v>
      </c>
      <c r="J721" s="161">
        <v>79.5</v>
      </c>
      <c r="K721" s="161"/>
      <c r="L721" s="163">
        <v>-2.29</v>
      </c>
      <c r="M721" s="163">
        <v>-2.2799999999999998</v>
      </c>
      <c r="N721" s="161">
        <v>-1.59</v>
      </c>
      <c r="O721" s="164" t="s">
        <v>1760</v>
      </c>
    </row>
    <row r="722" spans="1:15" ht="43.2">
      <c r="A722" s="161" t="s">
        <v>2934</v>
      </c>
      <c r="B722" s="161" t="s">
        <v>1752</v>
      </c>
      <c r="C722" s="161" t="s">
        <v>1744</v>
      </c>
      <c r="D722" s="162">
        <v>44217</v>
      </c>
      <c r="E722" s="161" t="s">
        <v>2713</v>
      </c>
      <c r="F722" s="161" t="s">
        <v>1781</v>
      </c>
      <c r="G722" s="161">
        <v>1</v>
      </c>
      <c r="H722" s="161">
        <v>2</v>
      </c>
      <c r="I722" s="161">
        <v>13.55</v>
      </c>
      <c r="J722" s="161">
        <v>80.7</v>
      </c>
      <c r="K722" s="161"/>
      <c r="L722" s="163">
        <v>0.87</v>
      </c>
      <c r="M722" s="163">
        <v>-2.23</v>
      </c>
      <c r="N722" s="161">
        <v>2.72</v>
      </c>
      <c r="O722" s="164" t="s">
        <v>2078</v>
      </c>
    </row>
    <row r="723" spans="1:15" ht="43.2">
      <c r="A723" s="161" t="s">
        <v>2935</v>
      </c>
      <c r="B723" s="161" t="s">
        <v>1752</v>
      </c>
      <c r="C723" s="161" t="s">
        <v>1744</v>
      </c>
      <c r="D723" s="162">
        <v>44051</v>
      </c>
      <c r="E723" s="161" t="s">
        <v>2313</v>
      </c>
      <c r="F723" s="161" t="s">
        <v>1781</v>
      </c>
      <c r="G723" s="161">
        <v>2</v>
      </c>
      <c r="H723" s="161">
        <v>11</v>
      </c>
      <c r="I723" s="161">
        <v>10.199999999999999</v>
      </c>
      <c r="J723" s="161">
        <v>84.2</v>
      </c>
      <c r="K723" s="161">
        <v>14</v>
      </c>
      <c r="L723" s="163">
        <v>-2.2799999999999998</v>
      </c>
      <c r="M723" s="163">
        <v>-2.29</v>
      </c>
      <c r="N723" s="161">
        <v>-1.47</v>
      </c>
      <c r="O723" s="164" t="s">
        <v>1760</v>
      </c>
    </row>
    <row r="724" spans="1:15" ht="43.2">
      <c r="A724" s="161" t="s">
        <v>2936</v>
      </c>
      <c r="B724" s="161" t="s">
        <v>1752</v>
      </c>
      <c r="C724" s="161" t="s">
        <v>1744</v>
      </c>
      <c r="D724" s="162">
        <v>44004</v>
      </c>
      <c r="E724" s="161" t="s">
        <v>2937</v>
      </c>
      <c r="F724" s="161" t="s">
        <v>1784</v>
      </c>
      <c r="G724" s="161">
        <v>3</v>
      </c>
      <c r="H724" s="161">
        <v>2</v>
      </c>
      <c r="I724" s="161">
        <v>9.6999999999999993</v>
      </c>
      <c r="J724" s="161">
        <v>84.9</v>
      </c>
      <c r="K724" s="161"/>
      <c r="L724" s="163">
        <v>-2.86</v>
      </c>
      <c r="M724" s="163">
        <v>-2.34</v>
      </c>
      <c r="N724" s="161">
        <v>-2.31</v>
      </c>
      <c r="O724" s="164" t="s">
        <v>1747</v>
      </c>
    </row>
    <row r="725" spans="1:15" ht="43.2">
      <c r="A725" s="161" t="s">
        <v>2938</v>
      </c>
      <c r="B725" s="161" t="s">
        <v>1752</v>
      </c>
      <c r="C725" s="161" t="s">
        <v>1755</v>
      </c>
      <c r="D725" s="162">
        <v>44614</v>
      </c>
      <c r="E725" s="161" t="s">
        <v>2939</v>
      </c>
      <c r="F725" s="161" t="s">
        <v>1784</v>
      </c>
      <c r="G725" s="161">
        <v>3</v>
      </c>
      <c r="H725" s="161">
        <v>4</v>
      </c>
      <c r="I725" s="161">
        <v>7</v>
      </c>
      <c r="J725" s="161">
        <v>70</v>
      </c>
      <c r="K725" s="161">
        <v>12</v>
      </c>
      <c r="L725" s="163">
        <v>-2.84</v>
      </c>
      <c r="M725" s="163">
        <v>-2.2799999999999998</v>
      </c>
      <c r="N725" s="161">
        <v>-2.3199999999999998</v>
      </c>
      <c r="O725" s="164" t="s">
        <v>1747</v>
      </c>
    </row>
    <row r="726" spans="1:15" ht="28.8">
      <c r="A726" s="161" t="s">
        <v>2940</v>
      </c>
      <c r="B726" s="161" t="s">
        <v>1752</v>
      </c>
      <c r="C726" s="161" t="s">
        <v>1779</v>
      </c>
      <c r="D726" s="162">
        <v>43172</v>
      </c>
      <c r="E726" s="161" t="s">
        <v>2326</v>
      </c>
      <c r="F726" s="161" t="s">
        <v>1784</v>
      </c>
      <c r="G726" s="161">
        <v>7</v>
      </c>
      <c r="H726" s="161">
        <v>7</v>
      </c>
      <c r="I726" s="161">
        <v>13.8</v>
      </c>
      <c r="J726" s="161">
        <v>100</v>
      </c>
      <c r="K726" s="161">
        <v>15</v>
      </c>
      <c r="L726" s="163">
        <v>-2.08</v>
      </c>
      <c r="M726" s="163">
        <v>-2.0299999999999998</v>
      </c>
      <c r="N726" s="161">
        <v>-1.32</v>
      </c>
      <c r="O726" s="164" t="s">
        <v>1760</v>
      </c>
    </row>
    <row r="727" spans="1:15" ht="28.8">
      <c r="A727" s="161" t="s">
        <v>2941</v>
      </c>
      <c r="B727" s="161" t="s">
        <v>1752</v>
      </c>
      <c r="C727" s="161" t="s">
        <v>1779</v>
      </c>
      <c r="D727" s="162">
        <v>43187</v>
      </c>
      <c r="E727" s="161" t="s">
        <v>1798</v>
      </c>
      <c r="F727" s="161" t="s">
        <v>1784</v>
      </c>
      <c r="G727" s="161">
        <v>4</v>
      </c>
      <c r="H727" s="161">
        <v>5</v>
      </c>
      <c r="I727" s="161">
        <v>14.4</v>
      </c>
      <c r="J727" s="161">
        <v>99</v>
      </c>
      <c r="K727" s="161">
        <v>15</v>
      </c>
      <c r="L727" s="163">
        <v>-1.73</v>
      </c>
      <c r="M727" s="163">
        <v>-2.2200000000000002</v>
      </c>
      <c r="N727" s="161">
        <v>-0.56999999999999995</v>
      </c>
      <c r="O727" s="164" t="s">
        <v>1760</v>
      </c>
    </row>
    <row r="728" spans="1:15" ht="28.8">
      <c r="A728" s="161" t="s">
        <v>2942</v>
      </c>
      <c r="B728" s="161" t="s">
        <v>1752</v>
      </c>
      <c r="C728" s="161" t="s">
        <v>1786</v>
      </c>
      <c r="D728" s="162">
        <v>43231</v>
      </c>
      <c r="E728" s="161" t="s">
        <v>2036</v>
      </c>
      <c r="F728" s="161" t="s">
        <v>1784</v>
      </c>
      <c r="G728" s="161">
        <v>2</v>
      </c>
      <c r="H728" s="161">
        <v>4</v>
      </c>
      <c r="I728" s="161">
        <v>12.8</v>
      </c>
      <c r="J728" s="161">
        <v>96.2</v>
      </c>
      <c r="K728" s="161"/>
      <c r="L728" s="163">
        <v>-2.54</v>
      </c>
      <c r="M728" s="163">
        <v>-2.66</v>
      </c>
      <c r="N728" s="161">
        <v>-1.44</v>
      </c>
      <c r="O728" s="164" t="s">
        <v>1760</v>
      </c>
    </row>
    <row r="729" spans="1:15" ht="28.8">
      <c r="A729" s="161" t="s">
        <v>2943</v>
      </c>
      <c r="B729" s="161" t="s">
        <v>1743</v>
      </c>
      <c r="C729" s="161" t="s">
        <v>1786</v>
      </c>
      <c r="D729" s="162">
        <v>43418</v>
      </c>
      <c r="E729" s="161" t="s">
        <v>1802</v>
      </c>
      <c r="F729" s="161" t="s">
        <v>1784</v>
      </c>
      <c r="G729" s="161">
        <v>3</v>
      </c>
      <c r="H729" s="161">
        <v>7</v>
      </c>
      <c r="I729" s="161">
        <v>12.2</v>
      </c>
      <c r="J729" s="161">
        <v>95</v>
      </c>
      <c r="K729" s="161">
        <v>14.5</v>
      </c>
      <c r="L729" s="163">
        <v>-2.2799999999999998</v>
      </c>
      <c r="M729" s="163">
        <v>-2.11</v>
      </c>
      <c r="N729" s="161">
        <v>-1.48</v>
      </c>
      <c r="O729" s="164" t="s">
        <v>1760</v>
      </c>
    </row>
    <row r="730" spans="1:15" ht="43.2">
      <c r="A730" s="161" t="s">
        <v>2944</v>
      </c>
      <c r="B730" s="161" t="s">
        <v>1743</v>
      </c>
      <c r="C730" s="161" t="s">
        <v>1786</v>
      </c>
      <c r="D730" s="162">
        <v>43466</v>
      </c>
      <c r="E730" s="161" t="s">
        <v>2945</v>
      </c>
      <c r="F730" s="161" t="s">
        <v>1807</v>
      </c>
      <c r="G730" s="161">
        <v>9</v>
      </c>
      <c r="H730" s="161">
        <v>2</v>
      </c>
      <c r="I730" s="161">
        <v>11.4</v>
      </c>
      <c r="J730" s="161">
        <v>89.7</v>
      </c>
      <c r="K730" s="161"/>
      <c r="L730" s="163">
        <v>-2.7</v>
      </c>
      <c r="M730" s="163">
        <v>-3.14</v>
      </c>
      <c r="N730" s="161">
        <v>-1.1200000000000001</v>
      </c>
      <c r="O730" s="164" t="s">
        <v>1760</v>
      </c>
    </row>
    <row r="731" spans="1:15" ht="43.2">
      <c r="A731" s="161" t="s">
        <v>2946</v>
      </c>
      <c r="B731" s="161" t="s">
        <v>1752</v>
      </c>
      <c r="C731" s="161" t="s">
        <v>1786</v>
      </c>
      <c r="D731" s="162">
        <v>43519</v>
      </c>
      <c r="E731" s="161" t="s">
        <v>2843</v>
      </c>
      <c r="F731" s="161" t="s">
        <v>1807</v>
      </c>
      <c r="G731" s="161">
        <v>4</v>
      </c>
      <c r="H731" s="161">
        <v>4</v>
      </c>
      <c r="I731" s="161">
        <v>12.1</v>
      </c>
      <c r="J731" s="161">
        <v>91.2</v>
      </c>
      <c r="K731" s="161">
        <v>15</v>
      </c>
      <c r="L731" s="163">
        <v>-2.38</v>
      </c>
      <c r="M731" s="163">
        <v>-2.86</v>
      </c>
      <c r="N731" s="161">
        <v>-1.07</v>
      </c>
      <c r="O731" s="164" t="s">
        <v>1760</v>
      </c>
    </row>
    <row r="732" spans="1:15" ht="43.2">
      <c r="A732" s="161" t="s">
        <v>2947</v>
      </c>
      <c r="B732" s="161" t="s">
        <v>1752</v>
      </c>
      <c r="C732" s="161" t="s">
        <v>1744</v>
      </c>
      <c r="D732" s="162">
        <v>43971</v>
      </c>
      <c r="E732" s="161" t="s">
        <v>2948</v>
      </c>
      <c r="F732" s="161" t="s">
        <v>1807</v>
      </c>
      <c r="G732" s="161">
        <v>8</v>
      </c>
      <c r="H732" s="161">
        <v>2</v>
      </c>
      <c r="I732" s="161">
        <v>10.199999999999999</v>
      </c>
      <c r="J732" s="161">
        <v>85.3</v>
      </c>
      <c r="K732" s="161">
        <v>14.9</v>
      </c>
      <c r="L732" s="163">
        <v>-2.5299999999999998</v>
      </c>
      <c r="M732" s="163">
        <v>-2.39</v>
      </c>
      <c r="N732" s="161">
        <v>-1.77</v>
      </c>
      <c r="O732" s="164" t="s">
        <v>1760</v>
      </c>
    </row>
    <row r="733" spans="1:15" ht="57.6">
      <c r="A733" s="161" t="s">
        <v>2949</v>
      </c>
      <c r="B733" s="161" t="s">
        <v>1752</v>
      </c>
      <c r="C733" s="161" t="s">
        <v>1744</v>
      </c>
      <c r="D733" s="162">
        <v>43979</v>
      </c>
      <c r="E733" s="161" t="s">
        <v>2611</v>
      </c>
      <c r="F733" s="161" t="s">
        <v>1807</v>
      </c>
      <c r="G733" s="161">
        <v>1</v>
      </c>
      <c r="H733" s="161">
        <v>4</v>
      </c>
      <c r="I733" s="161">
        <v>10</v>
      </c>
      <c r="J733" s="161">
        <v>86</v>
      </c>
      <c r="K733" s="161">
        <v>16</v>
      </c>
      <c r="L733" s="163">
        <v>-2.69</v>
      </c>
      <c r="M733" s="163">
        <v>-2.1800000000000002</v>
      </c>
      <c r="N733" s="161">
        <v>-2.23</v>
      </c>
      <c r="O733" s="164" t="s">
        <v>1747</v>
      </c>
    </row>
    <row r="734" spans="1:15" ht="43.2">
      <c r="A734" s="161" t="s">
        <v>2950</v>
      </c>
      <c r="B734" s="161" t="s">
        <v>1743</v>
      </c>
      <c r="C734" s="161" t="s">
        <v>1744</v>
      </c>
      <c r="D734" s="162">
        <v>44145</v>
      </c>
      <c r="E734" s="161" t="s">
        <v>2951</v>
      </c>
      <c r="F734" s="161" t="s">
        <v>1807</v>
      </c>
      <c r="G734" s="161">
        <v>2</v>
      </c>
      <c r="H734" s="161">
        <v>4</v>
      </c>
      <c r="I734" s="161">
        <v>10.8</v>
      </c>
      <c r="J734" s="161">
        <v>78.8</v>
      </c>
      <c r="K734" s="161"/>
      <c r="L734" s="163">
        <v>-0.89</v>
      </c>
      <c r="M734" s="163">
        <v>-2.75</v>
      </c>
      <c r="N734" s="161">
        <v>0.86</v>
      </c>
      <c r="O734" s="164" t="s">
        <v>1760</v>
      </c>
    </row>
    <row r="735" spans="1:15" ht="43.2">
      <c r="A735" s="161" t="s">
        <v>2952</v>
      </c>
      <c r="B735" s="161" t="s">
        <v>1752</v>
      </c>
      <c r="C735" s="161" t="s">
        <v>1744</v>
      </c>
      <c r="D735" s="162">
        <v>44154</v>
      </c>
      <c r="E735" s="161" t="s">
        <v>2953</v>
      </c>
      <c r="F735" s="161" t="s">
        <v>1807</v>
      </c>
      <c r="G735" s="161">
        <v>8</v>
      </c>
      <c r="H735" s="161">
        <v>3</v>
      </c>
      <c r="I735" s="161">
        <v>9</v>
      </c>
      <c r="J735" s="161">
        <v>80</v>
      </c>
      <c r="K735" s="161">
        <v>14</v>
      </c>
      <c r="L735" s="163">
        <v>-2.98</v>
      </c>
      <c r="M735" s="163">
        <v>-2.92</v>
      </c>
      <c r="N735" s="161">
        <v>-2.0099999999999998</v>
      </c>
      <c r="O735" s="164" t="s">
        <v>1747</v>
      </c>
    </row>
    <row r="736" spans="1:15" ht="43.2">
      <c r="A736" s="161" t="s">
        <v>2954</v>
      </c>
      <c r="B736" s="161" t="s">
        <v>1743</v>
      </c>
      <c r="C736" s="161" t="s">
        <v>1786</v>
      </c>
      <c r="D736" s="162">
        <v>43378</v>
      </c>
      <c r="E736" s="161" t="s">
        <v>2955</v>
      </c>
      <c r="F736" s="161" t="s">
        <v>1807</v>
      </c>
      <c r="G736" s="161">
        <v>8</v>
      </c>
      <c r="H736" s="161">
        <v>3</v>
      </c>
      <c r="I736" s="161">
        <v>10.9</v>
      </c>
      <c r="J736" s="161">
        <v>92</v>
      </c>
      <c r="K736" s="161">
        <v>15</v>
      </c>
      <c r="L736" s="163">
        <v>-3.27</v>
      </c>
      <c r="M736" s="163">
        <v>-2.96</v>
      </c>
      <c r="N736" s="161">
        <v>-2.17</v>
      </c>
      <c r="O736" s="164" t="s">
        <v>1747</v>
      </c>
    </row>
    <row r="737" spans="1:15" ht="43.2">
      <c r="A737" s="161" t="s">
        <v>2956</v>
      </c>
      <c r="B737" s="161" t="s">
        <v>1752</v>
      </c>
      <c r="C737" s="161" t="s">
        <v>1749</v>
      </c>
      <c r="D737" s="162">
        <v>43759</v>
      </c>
      <c r="E737" s="161" t="s">
        <v>2957</v>
      </c>
      <c r="F737" s="161" t="s">
        <v>1807</v>
      </c>
      <c r="G737" s="161">
        <v>5</v>
      </c>
      <c r="H737" s="161">
        <v>2</v>
      </c>
      <c r="I737" s="161">
        <v>11.3</v>
      </c>
      <c r="J737" s="161">
        <v>88</v>
      </c>
      <c r="K737" s="161">
        <v>15.6</v>
      </c>
      <c r="L737" s="163">
        <v>-2.29</v>
      </c>
      <c r="M737" s="163">
        <v>-2.68</v>
      </c>
      <c r="N737" s="161">
        <v>-1.18</v>
      </c>
      <c r="O737" s="164" t="s">
        <v>1760</v>
      </c>
    </row>
    <row r="738" spans="1:15" ht="43.2">
      <c r="A738" s="161" t="s">
        <v>2958</v>
      </c>
      <c r="B738" s="161" t="s">
        <v>1743</v>
      </c>
      <c r="C738" s="161" t="s">
        <v>1755</v>
      </c>
      <c r="D738" s="162">
        <v>44433</v>
      </c>
      <c r="E738" s="161" t="s">
        <v>2959</v>
      </c>
      <c r="F738" s="161" t="s">
        <v>1807</v>
      </c>
      <c r="G738" s="161">
        <v>7</v>
      </c>
      <c r="H738" s="161">
        <v>2</v>
      </c>
      <c r="I738" s="161">
        <v>7.9</v>
      </c>
      <c r="J738" s="161">
        <v>71</v>
      </c>
      <c r="K738" s="161">
        <v>13</v>
      </c>
      <c r="L738" s="163">
        <v>-2.06</v>
      </c>
      <c r="M738" s="163">
        <v>-3.16</v>
      </c>
      <c r="N738" s="161">
        <v>-0.64</v>
      </c>
      <c r="O738" s="164" t="s">
        <v>1760</v>
      </c>
    </row>
    <row r="739" spans="1:15" ht="43.2">
      <c r="A739" s="161" t="s">
        <v>2960</v>
      </c>
      <c r="B739" s="161" t="s">
        <v>1743</v>
      </c>
      <c r="C739" s="161" t="s">
        <v>1744</v>
      </c>
      <c r="D739" s="162">
        <v>44265</v>
      </c>
      <c r="E739" s="161" t="s">
        <v>2961</v>
      </c>
      <c r="F739" s="161" t="s">
        <v>1807</v>
      </c>
      <c r="G739" s="161">
        <v>3</v>
      </c>
      <c r="H739" s="161">
        <v>2</v>
      </c>
      <c r="I739" s="161">
        <v>7.75</v>
      </c>
      <c r="J739" s="161">
        <v>78</v>
      </c>
      <c r="K739" s="161">
        <v>12</v>
      </c>
      <c r="L739" s="163">
        <v>-3.17</v>
      </c>
      <c r="M739" s="163">
        <v>-2.34</v>
      </c>
      <c r="N739" s="161">
        <v>-2.62</v>
      </c>
      <c r="O739" s="164" t="s">
        <v>1747</v>
      </c>
    </row>
    <row r="740" spans="1:15" ht="43.2">
      <c r="A740" s="161" t="s">
        <v>2962</v>
      </c>
      <c r="B740" s="161" t="s">
        <v>1743</v>
      </c>
      <c r="C740" s="161" t="s">
        <v>1749</v>
      </c>
      <c r="D740" s="162">
        <v>43593</v>
      </c>
      <c r="E740" s="161" t="s">
        <v>2963</v>
      </c>
      <c r="F740" s="161" t="s">
        <v>1807</v>
      </c>
      <c r="G740" s="161">
        <v>3</v>
      </c>
      <c r="H740" s="161">
        <v>2</v>
      </c>
      <c r="I740" s="161">
        <v>11.8</v>
      </c>
      <c r="J740" s="161">
        <v>89.5</v>
      </c>
      <c r="K740" s="161">
        <v>16</v>
      </c>
      <c r="L740" s="163">
        <v>-2.12</v>
      </c>
      <c r="M740" s="163">
        <v>-2.74</v>
      </c>
      <c r="N740" s="161">
        <v>-0.67</v>
      </c>
      <c r="O740" s="164" t="s">
        <v>1760</v>
      </c>
    </row>
    <row r="741" spans="1:15" ht="43.2">
      <c r="A741" s="161" t="s">
        <v>2964</v>
      </c>
      <c r="B741" s="161" t="s">
        <v>1752</v>
      </c>
      <c r="C741" s="161" t="s">
        <v>1755</v>
      </c>
      <c r="D741" s="162">
        <v>44494</v>
      </c>
      <c r="E741" s="161" t="s">
        <v>2735</v>
      </c>
      <c r="F741" s="161" t="s">
        <v>1807</v>
      </c>
      <c r="G741" s="161">
        <v>2</v>
      </c>
      <c r="H741" s="161">
        <v>3</v>
      </c>
      <c r="I741" s="161">
        <v>7.5</v>
      </c>
      <c r="J741" s="161">
        <v>72</v>
      </c>
      <c r="K741" s="161">
        <v>14</v>
      </c>
      <c r="L741" s="163">
        <v>-2.97</v>
      </c>
      <c r="M741" s="163">
        <v>-3.03</v>
      </c>
      <c r="N741" s="161">
        <v>-2.09</v>
      </c>
      <c r="O741" s="164" t="s">
        <v>1747</v>
      </c>
    </row>
    <row r="742" spans="1:15" ht="43.2">
      <c r="A742" s="161" t="s">
        <v>2965</v>
      </c>
      <c r="B742" s="161" t="s">
        <v>1752</v>
      </c>
      <c r="C742" s="161" t="s">
        <v>1744</v>
      </c>
      <c r="D742" s="162">
        <v>44252</v>
      </c>
      <c r="E742" s="161" t="s">
        <v>2966</v>
      </c>
      <c r="F742" s="161" t="s">
        <v>1807</v>
      </c>
      <c r="G742" s="161">
        <v>2</v>
      </c>
      <c r="H742" s="161">
        <v>3</v>
      </c>
      <c r="I742" s="161">
        <v>8.1999999999999993</v>
      </c>
      <c r="J742" s="161">
        <v>78.599999999999994</v>
      </c>
      <c r="K742" s="161">
        <v>13.3</v>
      </c>
      <c r="L742" s="163">
        <v>-3.37</v>
      </c>
      <c r="M742" s="163">
        <v>-2.94</v>
      </c>
      <c r="N742" s="161">
        <v>-2.72</v>
      </c>
      <c r="O742" s="164" t="s">
        <v>1747</v>
      </c>
    </row>
    <row r="743" spans="1:15" ht="43.2">
      <c r="A743" s="161" t="s">
        <v>2967</v>
      </c>
      <c r="B743" s="161" t="s">
        <v>1752</v>
      </c>
      <c r="C743" s="161" t="s">
        <v>1755</v>
      </c>
      <c r="D743" s="162">
        <v>44489</v>
      </c>
      <c r="E743" s="161" t="s">
        <v>2968</v>
      </c>
      <c r="F743" s="161" t="s">
        <v>1807</v>
      </c>
      <c r="G743" s="161">
        <v>3</v>
      </c>
      <c r="H743" s="161">
        <v>1</v>
      </c>
      <c r="I743" s="161">
        <v>10</v>
      </c>
      <c r="J743" s="161">
        <v>73</v>
      </c>
      <c r="K743" s="161">
        <v>17</v>
      </c>
      <c r="L743" s="163">
        <v>-0.37</v>
      </c>
      <c r="M743" s="163">
        <v>-2.62</v>
      </c>
      <c r="N743" s="161">
        <v>1.1399999999999999</v>
      </c>
      <c r="O743" s="164" t="s">
        <v>1757</v>
      </c>
    </row>
    <row r="744" spans="1:15" ht="72">
      <c r="A744" s="161" t="s">
        <v>2969</v>
      </c>
      <c r="B744" s="161" t="s">
        <v>1743</v>
      </c>
      <c r="C744" s="161" t="s">
        <v>1749</v>
      </c>
      <c r="D744" s="162">
        <v>43609</v>
      </c>
      <c r="E744" s="161" t="s">
        <v>2970</v>
      </c>
      <c r="F744" s="161" t="s">
        <v>1746</v>
      </c>
      <c r="G744" s="161">
        <v>5</v>
      </c>
      <c r="H744" s="161">
        <v>3</v>
      </c>
      <c r="I744" s="161">
        <v>13.5</v>
      </c>
      <c r="J744" s="161">
        <v>92</v>
      </c>
      <c r="K744" s="161">
        <v>15.5</v>
      </c>
      <c r="L744" s="163">
        <v>-1.02</v>
      </c>
      <c r="M744" s="163">
        <v>-2.09</v>
      </c>
      <c r="N744" s="161">
        <v>0.3</v>
      </c>
      <c r="O744" s="164" t="s">
        <v>1760</v>
      </c>
    </row>
    <row r="745" spans="1:15" ht="28.8">
      <c r="A745" s="161" t="s">
        <v>2971</v>
      </c>
      <c r="B745" s="161" t="s">
        <v>1743</v>
      </c>
      <c r="C745" s="161" t="s">
        <v>1744</v>
      </c>
      <c r="D745" s="162">
        <v>44272</v>
      </c>
      <c r="E745" s="161" t="s">
        <v>2972</v>
      </c>
      <c r="F745" s="161" t="s">
        <v>1746</v>
      </c>
      <c r="G745" s="161">
        <v>8</v>
      </c>
      <c r="H745" s="161">
        <v>3</v>
      </c>
      <c r="I745" s="161">
        <v>7.9</v>
      </c>
      <c r="J745" s="161">
        <v>75</v>
      </c>
      <c r="K745" s="161"/>
      <c r="L745" s="163">
        <v>-2.98</v>
      </c>
      <c r="M745" s="163">
        <v>-3.25</v>
      </c>
      <c r="N745" s="161">
        <v>-1.68</v>
      </c>
      <c r="O745" s="164" t="s">
        <v>1760</v>
      </c>
    </row>
    <row r="746" spans="1:15" ht="43.2">
      <c r="A746" s="161" t="s">
        <v>2973</v>
      </c>
      <c r="B746" s="161" t="s">
        <v>1752</v>
      </c>
      <c r="C746" s="161" t="s">
        <v>1786</v>
      </c>
      <c r="D746" s="162">
        <v>43487</v>
      </c>
      <c r="E746" s="161" t="s">
        <v>2279</v>
      </c>
      <c r="F746" s="161" t="s">
        <v>1746</v>
      </c>
      <c r="G746" s="161">
        <v>3</v>
      </c>
      <c r="H746" s="161">
        <v>11</v>
      </c>
      <c r="I746" s="161">
        <v>14</v>
      </c>
      <c r="J746" s="161">
        <v>93</v>
      </c>
      <c r="K746" s="161"/>
      <c r="L746" s="163">
        <v>-1.26</v>
      </c>
      <c r="M746" s="163">
        <v>-2.52</v>
      </c>
      <c r="N746" s="161">
        <v>0.37</v>
      </c>
      <c r="O746" s="164" t="s">
        <v>1760</v>
      </c>
    </row>
    <row r="747" spans="1:15" ht="28.8">
      <c r="A747" s="161" t="s">
        <v>2974</v>
      </c>
      <c r="B747" s="161" t="s">
        <v>1752</v>
      </c>
      <c r="C747" s="161" t="s">
        <v>1749</v>
      </c>
      <c r="D747" s="162">
        <v>43848</v>
      </c>
      <c r="E747" s="161" t="s">
        <v>2975</v>
      </c>
      <c r="F747" s="161" t="s">
        <v>1746</v>
      </c>
      <c r="G747" s="161">
        <v>6</v>
      </c>
      <c r="H747" s="161">
        <v>1</v>
      </c>
      <c r="I747" s="161">
        <v>10</v>
      </c>
      <c r="J747" s="161">
        <v>86.4</v>
      </c>
      <c r="K747" s="161">
        <v>14.2</v>
      </c>
      <c r="L747" s="163">
        <v>-3.08</v>
      </c>
      <c r="M747" s="163">
        <v>-2.73</v>
      </c>
      <c r="N747" s="161">
        <v>-2.34</v>
      </c>
      <c r="O747" s="164" t="s">
        <v>1747</v>
      </c>
    </row>
    <row r="748" spans="1:15" ht="72">
      <c r="A748" s="161" t="s">
        <v>2976</v>
      </c>
      <c r="B748" s="161" t="s">
        <v>1752</v>
      </c>
      <c r="C748" s="161" t="s">
        <v>1786</v>
      </c>
      <c r="D748" s="162">
        <v>43333</v>
      </c>
      <c r="E748" s="161" t="s">
        <v>2977</v>
      </c>
      <c r="F748" s="161" t="s">
        <v>1746</v>
      </c>
      <c r="G748" s="161">
        <v>2</v>
      </c>
      <c r="H748" s="161">
        <v>1</v>
      </c>
      <c r="I748" s="161">
        <v>12.15</v>
      </c>
      <c r="J748" s="161">
        <v>94.4</v>
      </c>
      <c r="K748" s="161">
        <v>14.5</v>
      </c>
      <c r="L748" s="163">
        <v>-2.76</v>
      </c>
      <c r="M748" s="163">
        <v>-2.75</v>
      </c>
      <c r="N748" s="161">
        <v>-1.73</v>
      </c>
      <c r="O748" s="164" t="s">
        <v>1760</v>
      </c>
    </row>
    <row r="749" spans="1:15" ht="43.2">
      <c r="A749" s="161" t="s">
        <v>2978</v>
      </c>
      <c r="B749" s="161" t="s">
        <v>1743</v>
      </c>
      <c r="C749" s="161" t="s">
        <v>1786</v>
      </c>
      <c r="D749" s="162">
        <v>43229</v>
      </c>
      <c r="E749" s="161" t="s">
        <v>2849</v>
      </c>
      <c r="F749" s="161" t="s">
        <v>1746</v>
      </c>
      <c r="G749" s="161">
        <v>3</v>
      </c>
      <c r="H749" s="161">
        <v>1</v>
      </c>
      <c r="I749" s="161">
        <v>13.95</v>
      </c>
      <c r="J749" s="161">
        <v>95.6</v>
      </c>
      <c r="K749" s="161">
        <v>14.2</v>
      </c>
      <c r="L749" s="163">
        <v>-1.71</v>
      </c>
      <c r="M749" s="163">
        <v>-2.64</v>
      </c>
      <c r="N749" s="161">
        <v>-7.0000000000000007E-2</v>
      </c>
      <c r="O749" s="164" t="s">
        <v>1760</v>
      </c>
    </row>
    <row r="750" spans="1:15" ht="28.8">
      <c r="A750" s="161" t="s">
        <v>2979</v>
      </c>
      <c r="B750" s="161" t="s">
        <v>1752</v>
      </c>
      <c r="C750" s="161" t="s">
        <v>1744</v>
      </c>
      <c r="D750" s="162">
        <v>44101</v>
      </c>
      <c r="E750" s="161" t="s">
        <v>1756</v>
      </c>
      <c r="F750" s="161" t="s">
        <v>1746</v>
      </c>
      <c r="G750" s="161">
        <v>7</v>
      </c>
      <c r="H750" s="161">
        <v>1</v>
      </c>
      <c r="I750" s="161">
        <v>8.8000000000000007</v>
      </c>
      <c r="J750" s="161">
        <v>82.6</v>
      </c>
      <c r="K750" s="161">
        <v>12.8</v>
      </c>
      <c r="L750" s="163">
        <v>-3.33</v>
      </c>
      <c r="M750" s="163">
        <v>-2.4300000000000002</v>
      </c>
      <c r="N750" s="161">
        <v>-2.95</v>
      </c>
      <c r="O750" s="164" t="s">
        <v>1747</v>
      </c>
    </row>
    <row r="751" spans="1:15" ht="28.8">
      <c r="A751" s="161" t="s">
        <v>2980</v>
      </c>
      <c r="B751" s="161" t="s">
        <v>1743</v>
      </c>
      <c r="C751" s="161" t="s">
        <v>1755</v>
      </c>
      <c r="D751" s="162">
        <v>44542</v>
      </c>
      <c r="E751" s="161" t="s">
        <v>2851</v>
      </c>
      <c r="F751" s="161" t="s">
        <v>1746</v>
      </c>
      <c r="G751" s="161">
        <v>7</v>
      </c>
      <c r="H751" s="161">
        <v>1</v>
      </c>
      <c r="I751" s="161">
        <v>7.5</v>
      </c>
      <c r="J751" s="161">
        <v>70.599999999999994</v>
      </c>
      <c r="K751" s="161"/>
      <c r="L751" s="163">
        <v>-1.85</v>
      </c>
      <c r="M751" s="163">
        <v>-2.11</v>
      </c>
      <c r="N751" s="161">
        <v>-1.1200000000000001</v>
      </c>
      <c r="O751" s="164" t="s">
        <v>1760</v>
      </c>
    </row>
    <row r="752" spans="1:15" ht="28.8">
      <c r="A752" s="161" t="s">
        <v>2981</v>
      </c>
      <c r="B752" s="161" t="s">
        <v>1743</v>
      </c>
      <c r="C752" s="161" t="s">
        <v>1744</v>
      </c>
      <c r="D752" s="162">
        <v>44130</v>
      </c>
      <c r="E752" s="161" t="s">
        <v>2982</v>
      </c>
      <c r="F752" s="161" t="s">
        <v>1746</v>
      </c>
      <c r="G752" s="161">
        <v>4</v>
      </c>
      <c r="H752" s="161">
        <v>1</v>
      </c>
      <c r="I752" s="161">
        <v>8.8000000000000007</v>
      </c>
      <c r="J752" s="161">
        <v>81.7</v>
      </c>
      <c r="K752" s="161"/>
      <c r="L752" s="163">
        <v>-2.73</v>
      </c>
      <c r="M752" s="163">
        <v>-2.02</v>
      </c>
      <c r="N752" s="161">
        <v>-2.17</v>
      </c>
      <c r="O752" s="164" t="s">
        <v>1747</v>
      </c>
    </row>
    <row r="753" spans="1:15" ht="28.8">
      <c r="A753" s="161" t="s">
        <v>2983</v>
      </c>
      <c r="B753" s="161" t="s">
        <v>1743</v>
      </c>
      <c r="C753" s="161" t="s">
        <v>1786</v>
      </c>
      <c r="D753" s="162">
        <v>43555</v>
      </c>
      <c r="E753" s="161" t="s">
        <v>2984</v>
      </c>
      <c r="F753" s="161" t="s">
        <v>1746</v>
      </c>
      <c r="G753" s="161">
        <v>1</v>
      </c>
      <c r="H753" s="161">
        <v>1</v>
      </c>
      <c r="I753" s="161">
        <v>13.4</v>
      </c>
      <c r="J753" s="161">
        <v>93</v>
      </c>
      <c r="K753" s="161">
        <v>15.4</v>
      </c>
      <c r="L753" s="163">
        <v>-1.21</v>
      </c>
      <c r="M753" s="163">
        <v>-2.0499999999999998</v>
      </c>
      <c r="N753" s="161">
        <v>0.01</v>
      </c>
      <c r="O753" s="164" t="s">
        <v>1760</v>
      </c>
    </row>
    <row r="754" spans="1:15" ht="28.8">
      <c r="A754" s="161" t="s">
        <v>2985</v>
      </c>
      <c r="B754" s="161" t="s">
        <v>1752</v>
      </c>
      <c r="C754" s="161" t="s">
        <v>1749</v>
      </c>
      <c r="D754" s="162">
        <v>43888</v>
      </c>
      <c r="E754" s="161" t="s">
        <v>2986</v>
      </c>
      <c r="F754" s="161" t="s">
        <v>1746</v>
      </c>
      <c r="G754" s="161">
        <v>2</v>
      </c>
      <c r="H754" s="161">
        <v>2</v>
      </c>
      <c r="I754" s="161">
        <v>10.25</v>
      </c>
      <c r="J754" s="161">
        <v>84.7</v>
      </c>
      <c r="K754" s="161">
        <v>13.5</v>
      </c>
      <c r="L754" s="163">
        <v>-2.74</v>
      </c>
      <c r="M754" s="163">
        <v>-2.97</v>
      </c>
      <c r="N754" s="161">
        <v>-1.55</v>
      </c>
      <c r="O754" s="164" t="s">
        <v>1760</v>
      </c>
    </row>
    <row r="755" spans="1:15" ht="28.8">
      <c r="A755" s="161" t="s">
        <v>2987</v>
      </c>
      <c r="B755" s="161" t="s">
        <v>1752</v>
      </c>
      <c r="C755" s="161" t="s">
        <v>1744</v>
      </c>
      <c r="D755" s="162">
        <v>44119</v>
      </c>
      <c r="E755" s="161" t="s">
        <v>2211</v>
      </c>
      <c r="F755" s="161" t="s">
        <v>1746</v>
      </c>
      <c r="G755" s="161">
        <v>1</v>
      </c>
      <c r="H755" s="161">
        <v>6</v>
      </c>
      <c r="I755" s="161">
        <v>9.4</v>
      </c>
      <c r="J755" s="161">
        <v>77</v>
      </c>
      <c r="K755" s="161">
        <v>15</v>
      </c>
      <c r="L755" s="163">
        <v>-2.71</v>
      </c>
      <c r="M755" s="163">
        <v>-4.0199999999999996</v>
      </c>
      <c r="N755" s="161">
        <v>-0.79</v>
      </c>
      <c r="O755" s="164" t="s">
        <v>1760</v>
      </c>
    </row>
    <row r="756" spans="1:15" ht="28.8">
      <c r="A756" s="161" t="s">
        <v>2988</v>
      </c>
      <c r="B756" s="161" t="s">
        <v>1743</v>
      </c>
      <c r="C756" s="161" t="s">
        <v>1749</v>
      </c>
      <c r="D756" s="162">
        <v>43821</v>
      </c>
      <c r="E756" s="161" t="s">
        <v>2354</v>
      </c>
      <c r="F756" s="161" t="s">
        <v>1746</v>
      </c>
      <c r="G756" s="161">
        <v>1</v>
      </c>
      <c r="H756" s="161">
        <v>7</v>
      </c>
      <c r="I756" s="161">
        <v>8.25</v>
      </c>
      <c r="J756" s="161">
        <v>81.5</v>
      </c>
      <c r="K756" s="161">
        <v>11.6</v>
      </c>
      <c r="L756" s="163">
        <v>-4.25</v>
      </c>
      <c r="M756" s="163">
        <v>-3.76</v>
      </c>
      <c r="N756" s="161">
        <v>-2.9</v>
      </c>
      <c r="O756" s="164" t="s">
        <v>1747</v>
      </c>
    </row>
    <row r="757" spans="1:15" ht="28.8">
      <c r="A757" s="161" t="s">
        <v>2989</v>
      </c>
      <c r="B757" s="161" t="s">
        <v>1752</v>
      </c>
      <c r="C757" s="161" t="s">
        <v>1749</v>
      </c>
      <c r="D757" s="162">
        <v>43727</v>
      </c>
      <c r="E757" s="161" t="s">
        <v>1764</v>
      </c>
      <c r="F757" s="161" t="s">
        <v>1746</v>
      </c>
      <c r="G757" s="161">
        <v>4</v>
      </c>
      <c r="H757" s="161">
        <v>7</v>
      </c>
      <c r="I757" s="161">
        <v>11.95</v>
      </c>
      <c r="J757" s="161">
        <v>90.9</v>
      </c>
      <c r="K757" s="161"/>
      <c r="L757" s="163">
        <v>-1.92</v>
      </c>
      <c r="M757" s="163">
        <v>-2.0699999999999998</v>
      </c>
      <c r="N757" s="161">
        <v>-1.1599999999999999</v>
      </c>
      <c r="O757" s="164" t="s">
        <v>1760</v>
      </c>
    </row>
    <row r="758" spans="1:15" ht="28.8">
      <c r="A758" s="161" t="s">
        <v>2990</v>
      </c>
      <c r="B758" s="161" t="s">
        <v>1743</v>
      </c>
      <c r="C758" s="161" t="s">
        <v>1749</v>
      </c>
      <c r="D758" s="162">
        <v>43646</v>
      </c>
      <c r="E758" s="161" t="s">
        <v>2991</v>
      </c>
      <c r="F758" s="161" t="s">
        <v>1746</v>
      </c>
      <c r="G758" s="161">
        <v>2</v>
      </c>
      <c r="H758" s="161">
        <v>2</v>
      </c>
      <c r="I758" s="161">
        <v>12.15</v>
      </c>
      <c r="J758" s="161">
        <v>88.5</v>
      </c>
      <c r="K758" s="161">
        <v>15.2</v>
      </c>
      <c r="L758" s="163">
        <v>-1.72</v>
      </c>
      <c r="M758" s="163">
        <v>-2.75</v>
      </c>
      <c r="N758" s="161">
        <v>-0.11</v>
      </c>
      <c r="O758" s="164" t="s">
        <v>1760</v>
      </c>
    </row>
    <row r="759" spans="1:15" ht="28.8">
      <c r="A759" s="161" t="s">
        <v>2992</v>
      </c>
      <c r="B759" s="161" t="s">
        <v>1743</v>
      </c>
      <c r="C759" s="161" t="s">
        <v>1749</v>
      </c>
      <c r="D759" s="162">
        <v>43637</v>
      </c>
      <c r="E759" s="161" t="s">
        <v>2993</v>
      </c>
      <c r="F759" s="161" t="s">
        <v>1746</v>
      </c>
      <c r="G759" s="161">
        <v>2</v>
      </c>
      <c r="H759" s="161">
        <v>7</v>
      </c>
      <c r="I759" s="161">
        <v>11.3</v>
      </c>
      <c r="J759" s="161">
        <v>87.6</v>
      </c>
      <c r="K759" s="161"/>
      <c r="L759" s="163">
        <v>-2.35</v>
      </c>
      <c r="M759" s="163">
        <v>-3.03</v>
      </c>
      <c r="N759" s="161">
        <v>-0.73</v>
      </c>
      <c r="O759" s="164" t="s">
        <v>1760</v>
      </c>
    </row>
    <row r="760" spans="1:15" ht="43.2">
      <c r="A760" s="161" t="s">
        <v>2994</v>
      </c>
      <c r="B760" s="161" t="s">
        <v>1743</v>
      </c>
      <c r="C760" s="161" t="s">
        <v>2055</v>
      </c>
      <c r="D760" s="162">
        <v>44889</v>
      </c>
      <c r="E760" s="161" t="s">
        <v>2995</v>
      </c>
      <c r="F760" s="161" t="s">
        <v>1769</v>
      </c>
      <c r="G760" s="161">
        <v>4</v>
      </c>
      <c r="H760" s="161">
        <v>10</v>
      </c>
      <c r="I760" s="161">
        <v>4.5199999999999996</v>
      </c>
      <c r="J760" s="161">
        <v>52.5</v>
      </c>
      <c r="K760" s="161">
        <v>11.5</v>
      </c>
      <c r="L760" s="163">
        <v>-1.39</v>
      </c>
      <c r="M760" s="163">
        <v>-2.73</v>
      </c>
      <c r="N760" s="161">
        <v>1.55</v>
      </c>
      <c r="O760" s="164" t="s">
        <v>1757</v>
      </c>
    </row>
    <row r="761" spans="1:15" ht="57.6">
      <c r="A761" s="161" t="s">
        <v>2996</v>
      </c>
      <c r="B761" s="161" t="s">
        <v>1752</v>
      </c>
      <c r="C761" s="161" t="s">
        <v>1755</v>
      </c>
      <c r="D761" s="162">
        <v>44522</v>
      </c>
      <c r="E761" s="161" t="s">
        <v>2645</v>
      </c>
      <c r="F761" s="161" t="s">
        <v>1769</v>
      </c>
      <c r="G761" s="161">
        <v>7</v>
      </c>
      <c r="H761" s="161">
        <v>5</v>
      </c>
      <c r="I761" s="161">
        <v>7.5</v>
      </c>
      <c r="J761" s="161">
        <v>70.5</v>
      </c>
      <c r="K761" s="161">
        <v>13.1</v>
      </c>
      <c r="L761" s="163">
        <v>-2.82</v>
      </c>
      <c r="M761" s="163">
        <v>-3.32</v>
      </c>
      <c r="N761" s="161">
        <v>-1.61</v>
      </c>
      <c r="O761" s="164" t="s">
        <v>1760</v>
      </c>
    </row>
    <row r="762" spans="1:15" ht="43.2">
      <c r="A762" s="161" t="s">
        <v>2997</v>
      </c>
      <c r="B762" s="161" t="s">
        <v>1743</v>
      </c>
      <c r="C762" s="161" t="s">
        <v>1755</v>
      </c>
      <c r="D762" s="162">
        <v>44502</v>
      </c>
      <c r="E762" s="161" t="s">
        <v>2099</v>
      </c>
      <c r="F762" s="161" t="s">
        <v>1769</v>
      </c>
      <c r="G762" s="161">
        <v>9</v>
      </c>
      <c r="H762" s="161">
        <v>5</v>
      </c>
      <c r="I762" s="161">
        <v>7.73</v>
      </c>
      <c r="J762" s="161">
        <v>72</v>
      </c>
      <c r="K762" s="161">
        <v>14</v>
      </c>
      <c r="L762" s="163">
        <v>-1.87</v>
      </c>
      <c r="M762" s="163">
        <v>-2.12</v>
      </c>
      <c r="N762" s="161">
        <v>-1.1599999999999999</v>
      </c>
      <c r="O762" s="164" t="s">
        <v>1760</v>
      </c>
    </row>
    <row r="763" spans="1:15" ht="43.2">
      <c r="A763" s="161" t="s">
        <v>2998</v>
      </c>
      <c r="B763" s="161" t="s">
        <v>1752</v>
      </c>
      <c r="C763" s="161" t="s">
        <v>1749</v>
      </c>
      <c r="D763" s="162">
        <v>43841</v>
      </c>
      <c r="E763" s="161" t="s">
        <v>2999</v>
      </c>
      <c r="F763" s="161" t="s">
        <v>1769</v>
      </c>
      <c r="G763" s="161">
        <v>8</v>
      </c>
      <c r="H763" s="161">
        <v>5</v>
      </c>
      <c r="I763" s="161">
        <v>10.95</v>
      </c>
      <c r="J763" s="161">
        <v>87.5</v>
      </c>
      <c r="K763" s="161">
        <v>14</v>
      </c>
      <c r="L763" s="163">
        <v>-2.34</v>
      </c>
      <c r="M763" s="163">
        <v>-2.46</v>
      </c>
      <c r="N763" s="161">
        <v>-1.46</v>
      </c>
      <c r="O763" s="164" t="s">
        <v>1760</v>
      </c>
    </row>
    <row r="764" spans="1:15" ht="43.2">
      <c r="A764" s="161" t="s">
        <v>3000</v>
      </c>
      <c r="B764" s="161" t="s">
        <v>1743</v>
      </c>
      <c r="C764" s="161" t="s">
        <v>1744</v>
      </c>
      <c r="D764" s="162">
        <v>43992</v>
      </c>
      <c r="E764" s="161" t="s">
        <v>3001</v>
      </c>
      <c r="F764" s="161" t="s">
        <v>1769</v>
      </c>
      <c r="G764" s="161">
        <v>8</v>
      </c>
      <c r="H764" s="161">
        <v>5</v>
      </c>
      <c r="I764" s="161">
        <v>10.55</v>
      </c>
      <c r="J764" s="161">
        <v>80.3</v>
      </c>
      <c r="K764" s="161">
        <v>15</v>
      </c>
      <c r="L764" s="163">
        <v>-1.77</v>
      </c>
      <c r="M764" s="163">
        <v>-3.29</v>
      </c>
      <c r="N764" s="161">
        <v>0.27</v>
      </c>
      <c r="O764" s="164" t="s">
        <v>1760</v>
      </c>
    </row>
    <row r="765" spans="1:15" ht="43.2">
      <c r="A765" s="161" t="s">
        <v>3002</v>
      </c>
      <c r="B765" s="161" t="s">
        <v>1743</v>
      </c>
      <c r="C765" s="161" t="s">
        <v>1744</v>
      </c>
      <c r="D765" s="162">
        <v>43992</v>
      </c>
      <c r="E765" s="161" t="s">
        <v>2499</v>
      </c>
      <c r="F765" s="161" t="s">
        <v>1769</v>
      </c>
      <c r="G765" s="161">
        <v>6</v>
      </c>
      <c r="H765" s="161">
        <v>5</v>
      </c>
      <c r="I765" s="161">
        <v>9.9</v>
      </c>
      <c r="J765" s="161">
        <v>79.2</v>
      </c>
      <c r="K765" s="161">
        <v>14.8</v>
      </c>
      <c r="L765" s="163">
        <v>-2.31</v>
      </c>
      <c r="M765" s="163">
        <v>-3.59</v>
      </c>
      <c r="N765" s="161">
        <v>-0.19</v>
      </c>
      <c r="O765" s="164" t="s">
        <v>1760</v>
      </c>
    </row>
    <row r="766" spans="1:15" ht="43.2">
      <c r="A766" s="161" t="s">
        <v>3003</v>
      </c>
      <c r="B766" s="161" t="s">
        <v>1752</v>
      </c>
      <c r="C766" s="161" t="s">
        <v>1749</v>
      </c>
      <c r="D766" s="162">
        <v>43703</v>
      </c>
      <c r="E766" s="161" t="s">
        <v>2867</v>
      </c>
      <c r="F766" s="161" t="s">
        <v>1769</v>
      </c>
      <c r="G766" s="161">
        <v>2</v>
      </c>
      <c r="H766" s="161">
        <v>5</v>
      </c>
      <c r="I766" s="161">
        <v>10.9</v>
      </c>
      <c r="J766" s="161">
        <v>90.1</v>
      </c>
      <c r="K766" s="161"/>
      <c r="L766" s="163">
        <v>-2.76</v>
      </c>
      <c r="M766" s="163">
        <v>-2.4</v>
      </c>
      <c r="N766" s="161">
        <v>-2.17</v>
      </c>
      <c r="O766" s="164" t="s">
        <v>1747</v>
      </c>
    </row>
    <row r="767" spans="1:15" ht="43.2">
      <c r="A767" s="161" t="s">
        <v>3004</v>
      </c>
      <c r="B767" s="161" t="s">
        <v>1752</v>
      </c>
      <c r="C767" s="161" t="s">
        <v>1749</v>
      </c>
      <c r="D767" s="162">
        <v>43659</v>
      </c>
      <c r="E767" s="161" t="s">
        <v>2495</v>
      </c>
      <c r="F767" s="161" t="s">
        <v>1769</v>
      </c>
      <c r="G767" s="161">
        <v>6</v>
      </c>
      <c r="H767" s="161">
        <v>5</v>
      </c>
      <c r="I767" s="161">
        <v>11.3</v>
      </c>
      <c r="J767" s="161">
        <v>90.7</v>
      </c>
      <c r="K767" s="161">
        <v>14</v>
      </c>
      <c r="L767" s="163">
        <v>-2.58</v>
      </c>
      <c r="M767" s="163">
        <v>-2.44</v>
      </c>
      <c r="N767" s="161">
        <v>-1.84</v>
      </c>
      <c r="O767" s="164" t="s">
        <v>1760</v>
      </c>
    </row>
    <row r="768" spans="1:15" ht="43.2">
      <c r="A768" s="161" t="s">
        <v>3005</v>
      </c>
      <c r="B768" s="161" t="s">
        <v>1752</v>
      </c>
      <c r="C768" s="161" t="s">
        <v>1786</v>
      </c>
      <c r="D768" s="162">
        <v>43298</v>
      </c>
      <c r="E768" s="161" t="s">
        <v>3006</v>
      </c>
      <c r="F768" s="161" t="s">
        <v>1769</v>
      </c>
      <c r="G768" s="161">
        <v>2</v>
      </c>
      <c r="H768" s="161">
        <v>7</v>
      </c>
      <c r="I768" s="161">
        <v>10.1</v>
      </c>
      <c r="J768" s="161">
        <v>89.6</v>
      </c>
      <c r="K768" s="161"/>
      <c r="L768" s="163">
        <v>-4.12</v>
      </c>
      <c r="M768" s="163">
        <v>-3.95</v>
      </c>
      <c r="N768" s="161">
        <v>-3.06</v>
      </c>
      <c r="O768" s="164" t="s">
        <v>1790</v>
      </c>
    </row>
    <row r="769" spans="1:15" ht="43.2">
      <c r="A769" s="161" t="s">
        <v>3007</v>
      </c>
      <c r="B769" s="161" t="s">
        <v>1752</v>
      </c>
      <c r="C769" s="161" t="s">
        <v>2055</v>
      </c>
      <c r="D769" s="162">
        <v>44967</v>
      </c>
      <c r="E769" s="161" t="s">
        <v>2412</v>
      </c>
      <c r="F769" s="161" t="s">
        <v>1769</v>
      </c>
      <c r="G769" s="161">
        <v>4</v>
      </c>
      <c r="H769" s="161">
        <v>8</v>
      </c>
      <c r="I769" s="161">
        <v>3.1</v>
      </c>
      <c r="J769" s="161">
        <v>47</v>
      </c>
      <c r="K769" s="161"/>
      <c r="L769" s="163">
        <v>-1.01</v>
      </c>
      <c r="M769" s="163">
        <v>-2.0699999999999998</v>
      </c>
      <c r="N769" s="161">
        <v>0.75</v>
      </c>
      <c r="O769" s="164" t="s">
        <v>1760</v>
      </c>
    </row>
    <row r="770" spans="1:15" ht="43.2">
      <c r="A770" s="161" t="s">
        <v>3008</v>
      </c>
      <c r="B770" s="161" t="s">
        <v>1752</v>
      </c>
      <c r="C770" s="161" t="s">
        <v>2055</v>
      </c>
      <c r="D770" s="162">
        <v>44976</v>
      </c>
      <c r="E770" s="161" t="s">
        <v>1924</v>
      </c>
      <c r="F770" s="161" t="s">
        <v>1769</v>
      </c>
      <c r="G770" s="161">
        <v>4</v>
      </c>
      <c r="H770" s="161">
        <v>8</v>
      </c>
      <c r="I770" s="161">
        <v>2.7</v>
      </c>
      <c r="J770" s="161">
        <v>48</v>
      </c>
      <c r="K770" s="161"/>
      <c r="L770" s="163">
        <v>-2.65</v>
      </c>
      <c r="M770" s="163">
        <v>-2.29</v>
      </c>
      <c r="N770" s="161">
        <v>-1.48</v>
      </c>
      <c r="O770" s="164" t="s">
        <v>1760</v>
      </c>
    </row>
    <row r="771" spans="1:15" ht="43.2">
      <c r="A771" s="161" t="s">
        <v>3009</v>
      </c>
      <c r="B771" s="161" t="s">
        <v>1743</v>
      </c>
      <c r="C771" s="161" t="s">
        <v>1755</v>
      </c>
      <c r="D771" s="162">
        <v>44443</v>
      </c>
      <c r="E771" s="161" t="s">
        <v>2148</v>
      </c>
      <c r="F771" s="161" t="s">
        <v>1769</v>
      </c>
      <c r="G771" s="161">
        <v>4</v>
      </c>
      <c r="H771" s="161">
        <v>8</v>
      </c>
      <c r="I771" s="161">
        <v>7.4</v>
      </c>
      <c r="J771" s="161">
        <v>73</v>
      </c>
      <c r="K771" s="161">
        <v>14</v>
      </c>
      <c r="L771" s="163">
        <v>-2.62</v>
      </c>
      <c r="M771" s="163">
        <v>-2.4300000000000002</v>
      </c>
      <c r="N771" s="161">
        <v>-1.94</v>
      </c>
      <c r="O771" s="164" t="s">
        <v>1760</v>
      </c>
    </row>
    <row r="772" spans="1:15" ht="43.2">
      <c r="A772" s="161" t="s">
        <v>3010</v>
      </c>
      <c r="B772" s="161" t="s">
        <v>1752</v>
      </c>
      <c r="C772" s="161" t="s">
        <v>1755</v>
      </c>
      <c r="D772" s="162">
        <v>44370</v>
      </c>
      <c r="E772" s="161" t="s">
        <v>2248</v>
      </c>
      <c r="F772" s="161" t="s">
        <v>1769</v>
      </c>
      <c r="G772" s="161">
        <v>4</v>
      </c>
      <c r="H772" s="161">
        <v>8</v>
      </c>
      <c r="I772" s="161">
        <v>8.5</v>
      </c>
      <c r="J772" s="161">
        <v>76.3</v>
      </c>
      <c r="K772" s="161">
        <v>14</v>
      </c>
      <c r="L772" s="163">
        <v>-2.5299999999999998</v>
      </c>
      <c r="M772" s="163">
        <v>-2.74</v>
      </c>
      <c r="N772" s="161">
        <v>-1.71</v>
      </c>
      <c r="O772" s="164" t="s">
        <v>1760</v>
      </c>
    </row>
    <row r="773" spans="1:15" ht="43.2">
      <c r="A773" s="161" t="s">
        <v>3011</v>
      </c>
      <c r="B773" s="161" t="s">
        <v>1752</v>
      </c>
      <c r="C773" s="161" t="s">
        <v>1744</v>
      </c>
      <c r="D773" s="162">
        <v>44296</v>
      </c>
      <c r="E773" s="161" t="s">
        <v>2870</v>
      </c>
      <c r="F773" s="161" t="s">
        <v>1769</v>
      </c>
      <c r="G773" s="161">
        <v>1</v>
      </c>
      <c r="H773" s="161">
        <v>10</v>
      </c>
      <c r="I773" s="161">
        <v>8.6999999999999993</v>
      </c>
      <c r="J773" s="161">
        <v>69.5</v>
      </c>
      <c r="K773" s="161"/>
      <c r="L773" s="163">
        <v>-2.67</v>
      </c>
      <c r="M773" s="163">
        <v>-5.65</v>
      </c>
      <c r="N773" s="161">
        <v>0.55000000000000004</v>
      </c>
      <c r="O773" s="164" t="s">
        <v>1760</v>
      </c>
    </row>
    <row r="774" spans="1:15" ht="43.2">
      <c r="A774" s="161" t="s">
        <v>3012</v>
      </c>
      <c r="B774" s="161" t="s">
        <v>1752</v>
      </c>
      <c r="C774" s="161" t="s">
        <v>1744</v>
      </c>
      <c r="D774" s="162">
        <v>44101</v>
      </c>
      <c r="E774" s="161" t="s">
        <v>2219</v>
      </c>
      <c r="F774" s="161" t="s">
        <v>1769</v>
      </c>
      <c r="G774" s="161">
        <v>1</v>
      </c>
      <c r="H774" s="161">
        <v>11</v>
      </c>
      <c r="I774" s="161">
        <v>10.5</v>
      </c>
      <c r="J774" s="161">
        <v>84</v>
      </c>
      <c r="K774" s="161">
        <v>15.5</v>
      </c>
      <c r="L774" s="163">
        <v>-1.86</v>
      </c>
      <c r="M774" s="163">
        <v>-2.06</v>
      </c>
      <c r="N774" s="161">
        <v>-1.05</v>
      </c>
      <c r="O774" s="164" t="s">
        <v>1760</v>
      </c>
    </row>
    <row r="775" spans="1:15" ht="43.2">
      <c r="A775" s="161" t="s">
        <v>3013</v>
      </c>
      <c r="B775" s="161" t="s">
        <v>1743</v>
      </c>
      <c r="C775" s="161" t="s">
        <v>1744</v>
      </c>
      <c r="D775" s="162">
        <v>44068</v>
      </c>
      <c r="E775" s="161" t="s">
        <v>3014</v>
      </c>
      <c r="F775" s="161" t="s">
        <v>1769</v>
      </c>
      <c r="G775" s="161">
        <v>5</v>
      </c>
      <c r="H775" s="161">
        <v>1</v>
      </c>
      <c r="I775" s="161">
        <v>10.5</v>
      </c>
      <c r="J775" s="161">
        <v>81.5</v>
      </c>
      <c r="K775" s="161"/>
      <c r="L775" s="163">
        <v>-1.48</v>
      </c>
      <c r="M775" s="163">
        <v>-2.48</v>
      </c>
      <c r="N775" s="161">
        <v>-0.06</v>
      </c>
      <c r="O775" s="164" t="s">
        <v>1760</v>
      </c>
    </row>
    <row r="776" spans="1:15" ht="43.2">
      <c r="A776" s="161" t="s">
        <v>3015</v>
      </c>
      <c r="B776" s="161" t="s">
        <v>1743</v>
      </c>
      <c r="C776" s="161" t="s">
        <v>1749</v>
      </c>
      <c r="D776" s="162">
        <v>43799</v>
      </c>
      <c r="E776" s="161" t="s">
        <v>3016</v>
      </c>
      <c r="F776" s="161" t="s">
        <v>1769</v>
      </c>
      <c r="G776" s="161">
        <v>6</v>
      </c>
      <c r="H776" s="161">
        <v>2</v>
      </c>
      <c r="I776" s="161">
        <v>11.7</v>
      </c>
      <c r="J776" s="161">
        <v>86.2</v>
      </c>
      <c r="K776" s="161">
        <v>14.5</v>
      </c>
      <c r="L776" s="163">
        <v>-1.6</v>
      </c>
      <c r="M776" s="163">
        <v>-2.69</v>
      </c>
      <c r="N776" s="161">
        <v>0</v>
      </c>
      <c r="O776" s="164" t="s">
        <v>1760</v>
      </c>
    </row>
    <row r="777" spans="1:15" ht="43.2">
      <c r="A777" s="161" t="s">
        <v>3017</v>
      </c>
      <c r="B777" s="161" t="s">
        <v>1752</v>
      </c>
      <c r="C777" s="161" t="s">
        <v>1749</v>
      </c>
      <c r="D777" s="162">
        <v>43694</v>
      </c>
      <c r="E777" s="161" t="s">
        <v>3018</v>
      </c>
      <c r="F777" s="161" t="s">
        <v>1769</v>
      </c>
      <c r="G777" s="161">
        <v>5</v>
      </c>
      <c r="H777" s="161">
        <v>2</v>
      </c>
      <c r="I777" s="161">
        <v>13.5</v>
      </c>
      <c r="J777" s="161">
        <v>91.5</v>
      </c>
      <c r="K777" s="161">
        <v>14</v>
      </c>
      <c r="L777" s="163">
        <v>-1.01</v>
      </c>
      <c r="M777" s="163">
        <v>-2.06</v>
      </c>
      <c r="N777" s="161">
        <v>0.24</v>
      </c>
      <c r="O777" s="164" t="s">
        <v>1760</v>
      </c>
    </row>
    <row r="778" spans="1:15" ht="57.6">
      <c r="A778" s="161" t="s">
        <v>3019</v>
      </c>
      <c r="B778" s="161" t="s">
        <v>1752</v>
      </c>
      <c r="C778" s="161" t="s">
        <v>2055</v>
      </c>
      <c r="D778" s="162">
        <v>44978</v>
      </c>
      <c r="E778" s="161" t="s">
        <v>2436</v>
      </c>
      <c r="F778" s="161" t="s">
        <v>1769</v>
      </c>
      <c r="G778" s="161">
        <v>8</v>
      </c>
      <c r="H778" s="161">
        <v>1</v>
      </c>
      <c r="I778" s="161">
        <v>2</v>
      </c>
      <c r="J778" s="161">
        <v>46</v>
      </c>
      <c r="K778" s="161"/>
      <c r="L778" s="163">
        <v>-4.46</v>
      </c>
      <c r="M778" s="163">
        <v>-3.47</v>
      </c>
      <c r="N778" s="161">
        <v>-3.55</v>
      </c>
      <c r="O778" s="164" t="s">
        <v>1790</v>
      </c>
    </row>
    <row r="779" spans="1:15" ht="43.2">
      <c r="A779" s="161" t="s">
        <v>3020</v>
      </c>
      <c r="B779" s="161" t="s">
        <v>1752</v>
      </c>
      <c r="C779" s="161" t="s">
        <v>1755</v>
      </c>
      <c r="D779" s="162">
        <v>44644</v>
      </c>
      <c r="E779" s="161" t="s">
        <v>2398</v>
      </c>
      <c r="F779" s="161" t="s">
        <v>1769</v>
      </c>
      <c r="G779" s="161">
        <v>4</v>
      </c>
      <c r="H779" s="161">
        <v>1</v>
      </c>
      <c r="I779" s="161">
        <v>3</v>
      </c>
      <c r="J779" s="161">
        <v>47</v>
      </c>
      <c r="K779" s="161"/>
      <c r="L779" s="163">
        <v>-2.35</v>
      </c>
      <c r="M779" s="163">
        <v>-3.17</v>
      </c>
      <c r="N779" s="161">
        <v>0.39</v>
      </c>
      <c r="O779" s="164" t="s">
        <v>1760</v>
      </c>
    </row>
    <row r="780" spans="1:15" ht="72">
      <c r="A780" s="161" t="s">
        <v>3021</v>
      </c>
      <c r="B780" s="161" t="s">
        <v>1752</v>
      </c>
      <c r="C780" s="161" t="s">
        <v>1755</v>
      </c>
      <c r="D780" s="162">
        <v>44647</v>
      </c>
      <c r="E780" s="161" t="s">
        <v>2656</v>
      </c>
      <c r="F780" s="161" t="s">
        <v>1769</v>
      </c>
      <c r="G780" s="161">
        <v>4</v>
      </c>
      <c r="H780" s="161">
        <v>1</v>
      </c>
      <c r="I780" s="161">
        <v>3.1</v>
      </c>
      <c r="J780" s="161">
        <v>49</v>
      </c>
      <c r="K780" s="161"/>
      <c r="L780" s="163">
        <v>-2.36</v>
      </c>
      <c r="M780" s="163">
        <v>-2.35</v>
      </c>
      <c r="N780" s="161">
        <v>-0.6</v>
      </c>
      <c r="O780" s="164" t="s">
        <v>1760</v>
      </c>
    </row>
    <row r="781" spans="1:15" ht="57.6">
      <c r="A781" s="161" t="s">
        <v>3022</v>
      </c>
      <c r="B781" s="161" t="s">
        <v>1743</v>
      </c>
      <c r="C781" s="161" t="s">
        <v>1786</v>
      </c>
      <c r="D781" s="162">
        <v>43461</v>
      </c>
      <c r="E781" s="161" t="s">
        <v>2636</v>
      </c>
      <c r="F781" s="161" t="s">
        <v>1769</v>
      </c>
      <c r="G781" s="161">
        <v>8</v>
      </c>
      <c r="H781" s="161">
        <v>1</v>
      </c>
      <c r="I781" s="161">
        <v>11</v>
      </c>
      <c r="J781" s="161">
        <v>87</v>
      </c>
      <c r="K781" s="161"/>
      <c r="L781" s="163">
        <v>-2.12</v>
      </c>
      <c r="M781" s="163">
        <v>-2.52</v>
      </c>
      <c r="N781" s="161">
        <v>-0.89</v>
      </c>
      <c r="O781" s="164" t="s">
        <v>1760</v>
      </c>
    </row>
    <row r="782" spans="1:15" ht="43.2">
      <c r="A782" s="161" t="s">
        <v>3023</v>
      </c>
      <c r="B782" s="161" t="s">
        <v>1752</v>
      </c>
      <c r="C782" s="161" t="s">
        <v>1744</v>
      </c>
      <c r="D782" s="162">
        <v>43950</v>
      </c>
      <c r="E782" s="161" t="s">
        <v>3024</v>
      </c>
      <c r="F782" s="161" t="s">
        <v>1769</v>
      </c>
      <c r="G782" s="161">
        <v>3</v>
      </c>
      <c r="H782" s="161">
        <v>2</v>
      </c>
      <c r="I782" s="161">
        <v>9.3000000000000007</v>
      </c>
      <c r="J782" s="161">
        <v>79.3</v>
      </c>
      <c r="K782" s="161"/>
      <c r="L782" s="163">
        <v>-2.12</v>
      </c>
      <c r="M782" s="163">
        <v>-2.39</v>
      </c>
      <c r="N782" s="161">
        <v>-1.27</v>
      </c>
      <c r="O782" s="164" t="s">
        <v>1760</v>
      </c>
    </row>
    <row r="783" spans="1:15" ht="43.2">
      <c r="A783" s="161" t="s">
        <v>3025</v>
      </c>
      <c r="B783" s="161" t="s">
        <v>1743</v>
      </c>
      <c r="C783" s="161" t="s">
        <v>1755</v>
      </c>
      <c r="D783" s="162">
        <v>44441</v>
      </c>
      <c r="E783" s="161" t="s">
        <v>2158</v>
      </c>
      <c r="F783" s="161" t="s">
        <v>1769</v>
      </c>
      <c r="G783" s="161">
        <v>1</v>
      </c>
      <c r="H783" s="161">
        <v>2</v>
      </c>
      <c r="I783" s="161">
        <v>5.9</v>
      </c>
      <c r="J783" s="161">
        <v>61</v>
      </c>
      <c r="K783" s="161"/>
      <c r="L783" s="163">
        <v>-1.84</v>
      </c>
      <c r="M783" s="163">
        <v>-2.23</v>
      </c>
      <c r="N783" s="161">
        <v>-0.42</v>
      </c>
      <c r="O783" s="164" t="s">
        <v>1760</v>
      </c>
    </row>
    <row r="784" spans="1:15" ht="43.2">
      <c r="A784" s="161" t="s">
        <v>3026</v>
      </c>
      <c r="B784" s="161" t="s">
        <v>1752</v>
      </c>
      <c r="C784" s="161" t="s">
        <v>1755</v>
      </c>
      <c r="D784" s="162">
        <v>44497</v>
      </c>
      <c r="E784" s="161" t="s">
        <v>1891</v>
      </c>
      <c r="F784" s="161" t="s">
        <v>1769</v>
      </c>
      <c r="G784" s="161">
        <v>3</v>
      </c>
      <c r="H784" s="161">
        <v>2</v>
      </c>
      <c r="I784" s="161">
        <v>6.5</v>
      </c>
      <c r="J784" s="161">
        <v>59</v>
      </c>
      <c r="K784" s="161"/>
      <c r="L784" s="163">
        <v>-0.91</v>
      </c>
      <c r="M784" s="163">
        <v>-2.71</v>
      </c>
      <c r="N784" s="161">
        <v>1.52</v>
      </c>
      <c r="O784" s="164" t="s">
        <v>1757</v>
      </c>
    </row>
    <row r="785" spans="1:15" ht="43.2">
      <c r="A785" s="161" t="s">
        <v>3027</v>
      </c>
      <c r="B785" s="161" t="s">
        <v>1752</v>
      </c>
      <c r="C785" s="161" t="s">
        <v>1755</v>
      </c>
      <c r="D785" s="162">
        <v>44649</v>
      </c>
      <c r="E785" s="161" t="s">
        <v>2632</v>
      </c>
      <c r="F785" s="161" t="s">
        <v>1769</v>
      </c>
      <c r="G785" s="161">
        <v>7</v>
      </c>
      <c r="H785" s="161">
        <v>2</v>
      </c>
      <c r="I785" s="161">
        <v>3</v>
      </c>
      <c r="J785" s="161">
        <v>49</v>
      </c>
      <c r="K785" s="161"/>
      <c r="L785" s="163">
        <v>-2.74</v>
      </c>
      <c r="M785" s="163">
        <v>-2.48</v>
      </c>
      <c r="N785" s="161">
        <v>-0.97</v>
      </c>
      <c r="O785" s="164" t="s">
        <v>1760</v>
      </c>
    </row>
    <row r="786" spans="1:15" ht="43.2">
      <c r="A786" s="161" t="s">
        <v>3028</v>
      </c>
      <c r="B786" s="161" t="s">
        <v>1743</v>
      </c>
      <c r="C786" s="161" t="s">
        <v>1786</v>
      </c>
      <c r="D786" s="162">
        <v>43237</v>
      </c>
      <c r="E786" s="161" t="s">
        <v>3029</v>
      </c>
      <c r="F786" s="161" t="s">
        <v>1769</v>
      </c>
      <c r="G786" s="161">
        <v>1</v>
      </c>
      <c r="H786" s="161">
        <v>7</v>
      </c>
      <c r="I786" s="161">
        <v>11</v>
      </c>
      <c r="J786" s="161">
        <v>84</v>
      </c>
      <c r="K786" s="161"/>
      <c r="L786" s="163">
        <v>-2.76</v>
      </c>
      <c r="M786" s="163">
        <v>-4.1500000000000004</v>
      </c>
      <c r="N786" s="161">
        <v>-0.15</v>
      </c>
      <c r="O786" s="164" t="s">
        <v>1760</v>
      </c>
    </row>
    <row r="787" spans="1:15" ht="43.2">
      <c r="A787" s="161" t="s">
        <v>3030</v>
      </c>
      <c r="B787" s="161" t="s">
        <v>1752</v>
      </c>
      <c r="C787" s="161" t="s">
        <v>1779</v>
      </c>
      <c r="D787" s="162">
        <v>43118</v>
      </c>
      <c r="E787" s="161" t="s">
        <v>3031</v>
      </c>
      <c r="F787" s="161" t="s">
        <v>1769</v>
      </c>
      <c r="G787" s="161">
        <v>3</v>
      </c>
      <c r="H787" s="161">
        <v>1</v>
      </c>
      <c r="I787" s="161">
        <v>14</v>
      </c>
      <c r="J787" s="161">
        <v>95</v>
      </c>
      <c r="K787" s="161"/>
      <c r="L787" s="163">
        <v>-1.37</v>
      </c>
      <c r="M787" s="163">
        <v>-2.21</v>
      </c>
      <c r="N787" s="161">
        <v>-0.05</v>
      </c>
      <c r="O787" s="164" t="s">
        <v>1760</v>
      </c>
    </row>
    <row r="788" spans="1:15" ht="43.2">
      <c r="A788" s="161" t="s">
        <v>3032</v>
      </c>
      <c r="B788" s="161" t="s">
        <v>1752</v>
      </c>
      <c r="C788" s="161" t="s">
        <v>1786</v>
      </c>
      <c r="D788" s="162">
        <v>43259</v>
      </c>
      <c r="E788" s="161" t="s">
        <v>3033</v>
      </c>
      <c r="F788" s="161" t="s">
        <v>1769</v>
      </c>
      <c r="G788" s="161">
        <v>6</v>
      </c>
      <c r="H788" s="161">
        <v>10</v>
      </c>
      <c r="I788" s="161">
        <v>11</v>
      </c>
      <c r="J788" s="161">
        <v>93</v>
      </c>
      <c r="K788" s="161"/>
      <c r="L788" s="163">
        <v>-2.98</v>
      </c>
      <c r="M788" s="163">
        <v>-2.15</v>
      </c>
      <c r="N788" s="161">
        <v>-2.73</v>
      </c>
      <c r="O788" s="164" t="s">
        <v>1747</v>
      </c>
    </row>
    <row r="789" spans="1:15" ht="43.2">
      <c r="A789" s="161" t="s">
        <v>3034</v>
      </c>
      <c r="B789" s="161" t="s">
        <v>1752</v>
      </c>
      <c r="C789" s="161" t="s">
        <v>1786</v>
      </c>
      <c r="D789" s="162">
        <v>43393</v>
      </c>
      <c r="E789" s="161" t="s">
        <v>3035</v>
      </c>
      <c r="F789" s="161" t="s">
        <v>1769</v>
      </c>
      <c r="G789" s="161">
        <v>6</v>
      </c>
      <c r="H789" s="161">
        <v>1</v>
      </c>
      <c r="I789" s="161">
        <v>12</v>
      </c>
      <c r="J789" s="161">
        <v>90</v>
      </c>
      <c r="K789" s="161">
        <v>16</v>
      </c>
      <c r="L789" s="163">
        <v>-1.92</v>
      </c>
      <c r="M789" s="163">
        <v>-2.35</v>
      </c>
      <c r="N789" s="161">
        <v>-0.9</v>
      </c>
      <c r="O789" s="164" t="s">
        <v>1760</v>
      </c>
    </row>
    <row r="790" spans="1:15" ht="72">
      <c r="A790" s="161" t="s">
        <v>3036</v>
      </c>
      <c r="B790" s="161" t="s">
        <v>1752</v>
      </c>
      <c r="C790" s="161" t="s">
        <v>1786</v>
      </c>
      <c r="D790" s="162">
        <v>43412</v>
      </c>
      <c r="E790" s="161" t="s">
        <v>2885</v>
      </c>
      <c r="F790" s="161" t="s">
        <v>1774</v>
      </c>
      <c r="G790" s="161">
        <v>4</v>
      </c>
      <c r="H790" s="161">
        <v>7</v>
      </c>
      <c r="I790" s="161">
        <v>12</v>
      </c>
      <c r="J790" s="161">
        <v>90</v>
      </c>
      <c r="K790" s="161">
        <v>16</v>
      </c>
      <c r="L790" s="163">
        <v>-1.86</v>
      </c>
      <c r="M790" s="163">
        <v>-2.27</v>
      </c>
      <c r="N790" s="161">
        <v>-0.9</v>
      </c>
      <c r="O790" s="164" t="s">
        <v>1760</v>
      </c>
    </row>
    <row r="791" spans="1:15" ht="43.2">
      <c r="A791" s="161" t="s">
        <v>3037</v>
      </c>
      <c r="B791" s="161" t="s">
        <v>1752</v>
      </c>
      <c r="C791" s="161" t="s">
        <v>1749</v>
      </c>
      <c r="D791" s="162">
        <v>43892</v>
      </c>
      <c r="E791" s="161" t="s">
        <v>2875</v>
      </c>
      <c r="F791" s="161" t="s">
        <v>1774</v>
      </c>
      <c r="G791" s="161">
        <v>6</v>
      </c>
      <c r="H791" s="161">
        <v>7</v>
      </c>
      <c r="I791" s="161">
        <v>9</v>
      </c>
      <c r="J791" s="161">
        <v>80</v>
      </c>
      <c r="K791" s="161"/>
      <c r="L791" s="163">
        <v>-2.7</v>
      </c>
      <c r="M791" s="163">
        <v>-2.46</v>
      </c>
      <c r="N791" s="165">
        <v>-2.0099999999999998</v>
      </c>
      <c r="O791" s="164" t="s">
        <v>1747</v>
      </c>
    </row>
    <row r="792" spans="1:15" ht="72">
      <c r="A792" s="161" t="s">
        <v>3038</v>
      </c>
      <c r="B792" s="161" t="s">
        <v>1752</v>
      </c>
      <c r="C792" s="161" t="s">
        <v>1749</v>
      </c>
      <c r="D792" s="162">
        <v>43720</v>
      </c>
      <c r="E792" s="161" t="s">
        <v>2667</v>
      </c>
      <c r="F792" s="161" t="s">
        <v>1774</v>
      </c>
      <c r="G792" s="161">
        <v>7</v>
      </c>
      <c r="H792" s="161">
        <v>3</v>
      </c>
      <c r="I792" s="161">
        <v>10</v>
      </c>
      <c r="J792" s="161">
        <v>84</v>
      </c>
      <c r="K792" s="161"/>
      <c r="L792" s="163">
        <v>-2.46</v>
      </c>
      <c r="M792" s="163">
        <v>-2.36</v>
      </c>
      <c r="N792" s="161">
        <v>-1.67</v>
      </c>
      <c r="O792" s="164" t="s">
        <v>1760</v>
      </c>
    </row>
    <row r="793" spans="1:15" ht="43.2">
      <c r="A793" s="161" t="s">
        <v>3039</v>
      </c>
      <c r="B793" s="161" t="s">
        <v>1752</v>
      </c>
      <c r="C793" s="161" t="s">
        <v>1749</v>
      </c>
      <c r="D793" s="162">
        <v>43854</v>
      </c>
      <c r="E793" s="161" t="s">
        <v>3040</v>
      </c>
      <c r="F793" s="161" t="s">
        <v>1774</v>
      </c>
      <c r="G793" s="161">
        <v>1</v>
      </c>
      <c r="H793" s="161">
        <v>8</v>
      </c>
      <c r="I793" s="161">
        <v>12</v>
      </c>
      <c r="J793" s="161">
        <v>82</v>
      </c>
      <c r="K793" s="161"/>
      <c r="L793" s="163">
        <v>-0.36</v>
      </c>
      <c r="M793" s="163">
        <v>-2.1</v>
      </c>
      <c r="N793" s="161">
        <v>1.06</v>
      </c>
      <c r="O793" s="164" t="s">
        <v>1757</v>
      </c>
    </row>
    <row r="794" spans="1:15" ht="43.2">
      <c r="A794" s="161" t="s">
        <v>3041</v>
      </c>
      <c r="B794" s="161" t="s">
        <v>1752</v>
      </c>
      <c r="C794" s="161" t="s">
        <v>1749</v>
      </c>
      <c r="D794" s="162">
        <v>43886</v>
      </c>
      <c r="E794" s="161" t="s">
        <v>2262</v>
      </c>
      <c r="F794" s="161" t="s">
        <v>1774</v>
      </c>
      <c r="G794" s="161">
        <v>1</v>
      </c>
      <c r="H794" s="161">
        <v>7</v>
      </c>
      <c r="I794" s="161">
        <v>9</v>
      </c>
      <c r="J794" s="161">
        <v>80</v>
      </c>
      <c r="K794" s="161"/>
      <c r="L794" s="163">
        <v>-2.73</v>
      </c>
      <c r="M794" s="163">
        <v>-2.5</v>
      </c>
      <c r="N794" s="165">
        <v>-2.0099999999999998</v>
      </c>
      <c r="O794" s="164" t="s">
        <v>1747</v>
      </c>
    </row>
    <row r="795" spans="1:15" ht="43.2">
      <c r="A795" s="161" t="s">
        <v>3042</v>
      </c>
      <c r="B795" s="161" t="s">
        <v>1752</v>
      </c>
      <c r="C795" s="161" t="s">
        <v>1749</v>
      </c>
      <c r="D795" s="162">
        <v>43926</v>
      </c>
      <c r="E795" s="161" t="s">
        <v>2881</v>
      </c>
      <c r="F795" s="161" t="s">
        <v>1774</v>
      </c>
      <c r="G795" s="161">
        <v>5</v>
      </c>
      <c r="H795" s="161">
        <v>1</v>
      </c>
      <c r="I795" s="161">
        <v>10</v>
      </c>
      <c r="J795" s="161">
        <v>81</v>
      </c>
      <c r="K795" s="161"/>
      <c r="L795" s="163">
        <v>-1.63</v>
      </c>
      <c r="M795" s="163">
        <v>-2.09</v>
      </c>
      <c r="N795" s="161">
        <v>-0.75</v>
      </c>
      <c r="O795" s="164" t="s">
        <v>1760</v>
      </c>
    </row>
    <row r="796" spans="1:15" ht="43.2">
      <c r="A796" s="161" t="s">
        <v>3043</v>
      </c>
      <c r="B796" s="161" t="s">
        <v>1743</v>
      </c>
      <c r="C796" s="161" t="s">
        <v>1755</v>
      </c>
      <c r="D796" s="162">
        <v>44430</v>
      </c>
      <c r="E796" s="161" t="s">
        <v>3044</v>
      </c>
      <c r="F796" s="161" t="s">
        <v>1774</v>
      </c>
      <c r="G796" s="161">
        <v>2</v>
      </c>
      <c r="H796" s="161">
        <v>8</v>
      </c>
      <c r="I796" s="161">
        <v>6</v>
      </c>
      <c r="J796" s="161">
        <v>60</v>
      </c>
      <c r="K796" s="161"/>
      <c r="L796" s="163">
        <v>-1.96</v>
      </c>
      <c r="M796" s="163">
        <v>-3.07</v>
      </c>
      <c r="N796" s="161">
        <v>0.23</v>
      </c>
      <c r="O796" s="164" t="s">
        <v>1760</v>
      </c>
    </row>
    <row r="797" spans="1:15" ht="43.2">
      <c r="A797" s="161" t="s">
        <v>3045</v>
      </c>
      <c r="B797" s="161" t="s">
        <v>1752</v>
      </c>
      <c r="C797" s="161" t="s">
        <v>1749</v>
      </c>
      <c r="D797" s="162">
        <v>43685</v>
      </c>
      <c r="E797" s="161" t="s">
        <v>3046</v>
      </c>
      <c r="F797" s="161" t="s">
        <v>1774</v>
      </c>
      <c r="G797" s="161">
        <v>1</v>
      </c>
      <c r="H797" s="161">
        <v>8</v>
      </c>
      <c r="I797" s="161">
        <v>9</v>
      </c>
      <c r="J797" s="161">
        <v>84</v>
      </c>
      <c r="K797" s="161"/>
      <c r="L797" s="163">
        <v>-3.44</v>
      </c>
      <c r="M797" s="163">
        <v>-2.56</v>
      </c>
      <c r="N797" s="161">
        <v>-3.04</v>
      </c>
      <c r="O797" s="164" t="s">
        <v>1790</v>
      </c>
    </row>
    <row r="798" spans="1:15" ht="43.2">
      <c r="A798" s="161" t="s">
        <v>3047</v>
      </c>
      <c r="B798" s="161" t="s">
        <v>1752</v>
      </c>
      <c r="C798" s="161" t="s">
        <v>1744</v>
      </c>
      <c r="D798" s="162">
        <v>43956</v>
      </c>
      <c r="E798" s="161" t="s">
        <v>3048</v>
      </c>
      <c r="F798" s="161" t="s">
        <v>1774</v>
      </c>
      <c r="G798" s="161">
        <v>5</v>
      </c>
      <c r="H798" s="161">
        <v>1</v>
      </c>
      <c r="I798" s="161">
        <v>10</v>
      </c>
      <c r="J798" s="161">
        <v>80</v>
      </c>
      <c r="K798" s="161"/>
      <c r="L798" s="163">
        <v>-1.45</v>
      </c>
      <c r="M798" s="163">
        <v>-2.11</v>
      </c>
      <c r="N798" s="161">
        <v>-0.53</v>
      </c>
      <c r="O798" s="164" t="s">
        <v>1760</v>
      </c>
    </row>
    <row r="799" spans="1:15" ht="43.2">
      <c r="A799" s="161" t="s">
        <v>3049</v>
      </c>
      <c r="B799" s="161" t="s">
        <v>1743</v>
      </c>
      <c r="C799" s="161" t="s">
        <v>1749</v>
      </c>
      <c r="D799" s="162">
        <v>43863</v>
      </c>
      <c r="E799" s="161" t="s">
        <v>2894</v>
      </c>
      <c r="F799" s="161" t="s">
        <v>1777</v>
      </c>
      <c r="G799" s="161">
        <v>2</v>
      </c>
      <c r="H799" s="161">
        <v>11</v>
      </c>
      <c r="I799" s="161">
        <v>10</v>
      </c>
      <c r="J799" s="161">
        <v>75</v>
      </c>
      <c r="K799" s="161"/>
      <c r="L799" s="163">
        <v>-1.32</v>
      </c>
      <c r="M799" s="163">
        <v>-3.8</v>
      </c>
      <c r="N799" s="161">
        <v>0.97</v>
      </c>
      <c r="O799" s="164" t="s">
        <v>1760</v>
      </c>
    </row>
    <row r="800" spans="1:15" ht="43.2">
      <c r="A800" s="161" t="s">
        <v>3050</v>
      </c>
      <c r="B800" s="161" t="s">
        <v>1743</v>
      </c>
      <c r="C800" s="161" t="s">
        <v>1779</v>
      </c>
      <c r="D800" s="162">
        <v>42928</v>
      </c>
      <c r="E800" s="161" t="s">
        <v>2509</v>
      </c>
      <c r="F800" s="161" t="s">
        <v>1777</v>
      </c>
      <c r="G800" s="161">
        <v>2</v>
      </c>
      <c r="H800" s="161">
        <v>10</v>
      </c>
      <c r="I800" s="161">
        <v>14</v>
      </c>
      <c r="J800" s="161">
        <v>80</v>
      </c>
      <c r="K800" s="161"/>
      <c r="L800" s="163">
        <v>-1.6</v>
      </c>
      <c r="M800" s="163">
        <v>-5.91</v>
      </c>
      <c r="N800" s="161">
        <v>3.33</v>
      </c>
      <c r="O800" s="164" t="s">
        <v>2170</v>
      </c>
    </row>
    <row r="801" spans="1:15" ht="43.2">
      <c r="A801" s="161" t="s">
        <v>3051</v>
      </c>
      <c r="B801" s="161" t="s">
        <v>1752</v>
      </c>
      <c r="C801" s="161" t="s">
        <v>1779</v>
      </c>
      <c r="D801" s="162">
        <v>43153</v>
      </c>
      <c r="E801" s="161" t="s">
        <v>2898</v>
      </c>
      <c r="F801" s="161" t="s">
        <v>1777</v>
      </c>
      <c r="G801" s="161">
        <v>5</v>
      </c>
      <c r="H801" s="161">
        <v>1</v>
      </c>
      <c r="I801" s="161">
        <v>10</v>
      </c>
      <c r="J801" s="161">
        <v>80</v>
      </c>
      <c r="K801" s="161"/>
      <c r="L801" s="163">
        <v>-3.87</v>
      </c>
      <c r="M801" s="163">
        <v>-5.61</v>
      </c>
      <c r="N801" s="161">
        <v>-0.68</v>
      </c>
      <c r="O801" s="164" t="s">
        <v>1760</v>
      </c>
    </row>
    <row r="802" spans="1:15" ht="43.2">
      <c r="A802" s="161" t="s">
        <v>3052</v>
      </c>
      <c r="B802" s="161" t="s">
        <v>1752</v>
      </c>
      <c r="C802" s="161" t="s">
        <v>1786</v>
      </c>
      <c r="D802" s="162">
        <v>43559</v>
      </c>
      <c r="E802" s="161" t="s">
        <v>2511</v>
      </c>
      <c r="F802" s="161" t="s">
        <v>1777</v>
      </c>
      <c r="G802" s="161">
        <v>8</v>
      </c>
      <c r="H802" s="161">
        <v>9</v>
      </c>
      <c r="I802" s="161">
        <v>11</v>
      </c>
      <c r="J802" s="161">
        <v>86</v>
      </c>
      <c r="K802" s="161"/>
      <c r="L802" s="163">
        <v>-2.14</v>
      </c>
      <c r="M802" s="163">
        <v>-2.8</v>
      </c>
      <c r="N802" s="161">
        <v>-0.81</v>
      </c>
      <c r="O802" s="164" t="s">
        <v>1760</v>
      </c>
    </row>
    <row r="803" spans="1:15" ht="43.2">
      <c r="A803" s="161" t="s">
        <v>3053</v>
      </c>
      <c r="B803" s="161" t="s">
        <v>1743</v>
      </c>
      <c r="C803" s="161" t="s">
        <v>1786</v>
      </c>
      <c r="D803" s="162">
        <v>43418</v>
      </c>
      <c r="E803" s="161" t="s">
        <v>2513</v>
      </c>
      <c r="F803" s="161" t="s">
        <v>1777</v>
      </c>
      <c r="G803" s="161">
        <v>3</v>
      </c>
      <c r="H803" s="161">
        <v>10</v>
      </c>
      <c r="I803" s="161">
        <v>10</v>
      </c>
      <c r="J803" s="161">
        <v>90</v>
      </c>
      <c r="K803" s="161"/>
      <c r="L803" s="163">
        <v>-3.03</v>
      </c>
      <c r="M803" s="163">
        <v>-2.1</v>
      </c>
      <c r="N803" s="161">
        <v>-2.59</v>
      </c>
      <c r="O803" s="164" t="s">
        <v>1747</v>
      </c>
    </row>
    <row r="804" spans="1:15" ht="43.2">
      <c r="A804" s="161" t="s">
        <v>3054</v>
      </c>
      <c r="B804" s="161" t="s">
        <v>1752</v>
      </c>
      <c r="C804" s="161" t="s">
        <v>1755</v>
      </c>
      <c r="D804" s="162">
        <v>44644</v>
      </c>
      <c r="E804" s="161" t="s">
        <v>2019</v>
      </c>
      <c r="F804" s="161" t="s">
        <v>1777</v>
      </c>
      <c r="G804" s="161">
        <v>1</v>
      </c>
      <c r="H804" s="161">
        <v>15</v>
      </c>
      <c r="I804" s="161">
        <v>3</v>
      </c>
      <c r="J804" s="161">
        <v>49</v>
      </c>
      <c r="K804" s="161"/>
      <c r="L804" s="163">
        <v>-2.35</v>
      </c>
      <c r="M804" s="163">
        <v>-2.13</v>
      </c>
      <c r="N804" s="161">
        <v>-0.97</v>
      </c>
      <c r="O804" s="164" t="s">
        <v>1760</v>
      </c>
    </row>
    <row r="805" spans="1:15" ht="43.2">
      <c r="A805" s="161" t="s">
        <v>3055</v>
      </c>
      <c r="B805" s="161" t="s">
        <v>1752</v>
      </c>
      <c r="C805" s="161" t="s">
        <v>1755</v>
      </c>
      <c r="D805" s="162">
        <v>44648</v>
      </c>
      <c r="E805" s="161" t="s">
        <v>2905</v>
      </c>
      <c r="F805" s="161" t="s">
        <v>1777</v>
      </c>
      <c r="G805" s="161">
        <v>1</v>
      </c>
      <c r="H805" s="161">
        <v>15</v>
      </c>
      <c r="I805" s="161">
        <v>2.9</v>
      </c>
      <c r="J805" s="161">
        <v>48</v>
      </c>
      <c r="K805" s="161"/>
      <c r="L805" s="163">
        <v>-2.89</v>
      </c>
      <c r="M805" s="163">
        <v>-2.93</v>
      </c>
      <c r="N805" s="161">
        <v>-0.66</v>
      </c>
      <c r="O805" s="164" t="s">
        <v>1760</v>
      </c>
    </row>
    <row r="806" spans="1:15" ht="72">
      <c r="A806" s="161" t="s">
        <v>3056</v>
      </c>
      <c r="B806" s="161" t="s">
        <v>1752</v>
      </c>
      <c r="C806" s="161" t="s">
        <v>1779</v>
      </c>
      <c r="D806" s="162">
        <v>43198</v>
      </c>
      <c r="E806" s="161" t="s">
        <v>2907</v>
      </c>
      <c r="F806" s="161" t="s">
        <v>1777</v>
      </c>
      <c r="G806" s="161">
        <v>1</v>
      </c>
      <c r="H806" s="161">
        <v>15</v>
      </c>
      <c r="I806" s="161">
        <v>12.8</v>
      </c>
      <c r="J806" s="161">
        <v>93.3</v>
      </c>
      <c r="K806" s="161"/>
      <c r="L806" s="163">
        <v>-1.88</v>
      </c>
      <c r="M806" s="163">
        <v>-2.29</v>
      </c>
      <c r="N806" s="161">
        <v>-0.82</v>
      </c>
      <c r="O806" s="164" t="s">
        <v>1760</v>
      </c>
    </row>
    <row r="807" spans="1:15" ht="43.2">
      <c r="A807" s="161" t="s">
        <v>3057</v>
      </c>
      <c r="B807" s="161" t="s">
        <v>1752</v>
      </c>
      <c r="C807" s="161" t="s">
        <v>1744</v>
      </c>
      <c r="D807" s="162">
        <v>44270</v>
      </c>
      <c r="E807" s="161" t="s">
        <v>2282</v>
      </c>
      <c r="F807" s="161" t="s">
        <v>2190</v>
      </c>
      <c r="G807" s="161">
        <v>2</v>
      </c>
      <c r="H807" s="161">
        <v>1</v>
      </c>
      <c r="I807" s="161">
        <v>9.8000000000000007</v>
      </c>
      <c r="J807" s="161">
        <v>70.2</v>
      </c>
      <c r="K807" s="161"/>
      <c r="L807" s="163">
        <v>0.17</v>
      </c>
      <c r="M807" s="163">
        <v>-2.27</v>
      </c>
      <c r="N807" s="161">
        <v>1.73</v>
      </c>
      <c r="O807" s="164" t="s">
        <v>1757</v>
      </c>
    </row>
    <row r="808" spans="1:15" ht="43.2">
      <c r="A808" s="161" t="s">
        <v>3058</v>
      </c>
      <c r="B808" s="161" t="s">
        <v>1752</v>
      </c>
      <c r="C808" s="161" t="s">
        <v>1755</v>
      </c>
      <c r="D808" s="162">
        <v>44646</v>
      </c>
      <c r="E808" s="161" t="s">
        <v>3059</v>
      </c>
      <c r="F808" s="161" t="s">
        <v>2190</v>
      </c>
      <c r="G808" s="161">
        <v>6</v>
      </c>
      <c r="H808" s="161">
        <v>1</v>
      </c>
      <c r="I808" s="161">
        <v>3</v>
      </c>
      <c r="J808" s="161">
        <v>48</v>
      </c>
      <c r="K808" s="161"/>
      <c r="L808" s="163">
        <v>-2.5099999999999998</v>
      </c>
      <c r="M808" s="163">
        <v>-2.79</v>
      </c>
      <c r="N808" s="161">
        <v>-0.27</v>
      </c>
      <c r="O808" s="164" t="s">
        <v>1760</v>
      </c>
    </row>
    <row r="809" spans="1:15" ht="43.2">
      <c r="A809" s="161" t="s">
        <v>3060</v>
      </c>
      <c r="B809" s="161" t="s">
        <v>1752</v>
      </c>
      <c r="C809" s="161" t="s">
        <v>1755</v>
      </c>
      <c r="D809" s="162">
        <v>44638</v>
      </c>
      <c r="E809" s="161" t="s">
        <v>2571</v>
      </c>
      <c r="F809" s="161" t="s">
        <v>2190</v>
      </c>
      <c r="G809" s="161">
        <v>7</v>
      </c>
      <c r="H809" s="161">
        <v>1</v>
      </c>
      <c r="I809" s="161">
        <v>2.8</v>
      </c>
      <c r="J809" s="161">
        <v>48</v>
      </c>
      <c r="K809" s="161"/>
      <c r="L809" s="163">
        <v>-2.33</v>
      </c>
      <c r="M809" s="163">
        <v>-2.21</v>
      </c>
      <c r="N809" s="161">
        <v>-1.06</v>
      </c>
      <c r="O809" s="164" t="s">
        <v>1760</v>
      </c>
    </row>
    <row r="810" spans="1:15" ht="57.6">
      <c r="A810" s="161" t="s">
        <v>3061</v>
      </c>
      <c r="B810" s="161" t="s">
        <v>1743</v>
      </c>
      <c r="C810" s="161" t="s">
        <v>1749</v>
      </c>
      <c r="D810" s="162">
        <v>43584</v>
      </c>
      <c r="E810" s="161" t="s">
        <v>3062</v>
      </c>
      <c r="F810" s="161" t="s">
        <v>2190</v>
      </c>
      <c r="G810" s="161">
        <v>7</v>
      </c>
      <c r="H810" s="161">
        <v>1</v>
      </c>
      <c r="I810" s="161">
        <v>7</v>
      </c>
      <c r="J810" s="161">
        <v>65.900000000000006</v>
      </c>
      <c r="K810" s="161">
        <v>13</v>
      </c>
      <c r="L810" s="163">
        <v>-1.66</v>
      </c>
      <c r="M810" s="163">
        <v>-2.4</v>
      </c>
      <c r="N810" s="161">
        <v>-0.44</v>
      </c>
      <c r="O810" s="164" t="s">
        <v>1760</v>
      </c>
    </row>
    <row r="811" spans="1:15" ht="43.2">
      <c r="A811" s="161" t="s">
        <v>3063</v>
      </c>
      <c r="B811" s="161" t="s">
        <v>1752</v>
      </c>
      <c r="C811" s="161" t="s">
        <v>1755</v>
      </c>
      <c r="D811" s="162">
        <v>44380</v>
      </c>
      <c r="E811" s="161" t="s">
        <v>2285</v>
      </c>
      <c r="F811" s="161" t="s">
        <v>2190</v>
      </c>
      <c r="G811" s="161">
        <v>5</v>
      </c>
      <c r="H811" s="161">
        <v>2</v>
      </c>
      <c r="I811" s="161">
        <v>7</v>
      </c>
      <c r="J811" s="161">
        <v>64.5</v>
      </c>
      <c r="K811" s="161">
        <v>13.5</v>
      </c>
      <c r="L811" s="163">
        <v>-1.93</v>
      </c>
      <c r="M811" s="163">
        <v>-2.85</v>
      </c>
      <c r="N811" s="161">
        <v>-0.25</v>
      </c>
      <c r="O811" s="164" t="s">
        <v>1760</v>
      </c>
    </row>
    <row r="812" spans="1:15" ht="43.2">
      <c r="A812" s="161" t="s">
        <v>3064</v>
      </c>
      <c r="B812" s="161" t="s">
        <v>1743</v>
      </c>
      <c r="C812" s="161" t="s">
        <v>1779</v>
      </c>
      <c r="D812" s="162">
        <v>43139</v>
      </c>
      <c r="E812" s="161" t="s">
        <v>2777</v>
      </c>
      <c r="F812" s="161" t="s">
        <v>2190</v>
      </c>
      <c r="G812" s="161">
        <v>1</v>
      </c>
      <c r="H812" s="161">
        <v>2</v>
      </c>
      <c r="I812" s="161">
        <v>13</v>
      </c>
      <c r="J812" s="161">
        <v>95</v>
      </c>
      <c r="K812" s="161"/>
      <c r="L812" s="163">
        <v>-1.66</v>
      </c>
      <c r="M812" s="163">
        <v>-2.08</v>
      </c>
      <c r="N812" s="161">
        <v>-0.6</v>
      </c>
      <c r="O812" s="164" t="s">
        <v>1760</v>
      </c>
    </row>
    <row r="813" spans="1:15" ht="43.2">
      <c r="A813" s="161" t="s">
        <v>3065</v>
      </c>
      <c r="B813" s="161" t="s">
        <v>1743</v>
      </c>
      <c r="C813" s="161" t="s">
        <v>1779</v>
      </c>
      <c r="D813" s="162">
        <v>42857</v>
      </c>
      <c r="E813" s="161" t="s">
        <v>3066</v>
      </c>
      <c r="F813" s="161" t="s">
        <v>2190</v>
      </c>
      <c r="G813" s="161">
        <v>5</v>
      </c>
      <c r="H813" s="161">
        <v>2</v>
      </c>
      <c r="I813" s="161">
        <v>14.2</v>
      </c>
      <c r="J813" s="161">
        <v>91</v>
      </c>
      <c r="K813" s="161"/>
      <c r="L813" s="163">
        <v>-1.65</v>
      </c>
      <c r="M813" s="163">
        <v>-3.73</v>
      </c>
      <c r="N813" s="161">
        <v>1.06</v>
      </c>
      <c r="O813" s="164" t="s">
        <v>1757</v>
      </c>
    </row>
    <row r="814" spans="1:15" ht="43.2">
      <c r="A814" s="161" t="s">
        <v>3067</v>
      </c>
      <c r="B814" s="161" t="s">
        <v>1752</v>
      </c>
      <c r="C814" s="161" t="s">
        <v>1749</v>
      </c>
      <c r="D814" s="162">
        <v>43669</v>
      </c>
      <c r="E814" s="161" t="s">
        <v>2287</v>
      </c>
      <c r="F814" s="161" t="s">
        <v>2190</v>
      </c>
      <c r="G814" s="161">
        <v>5</v>
      </c>
      <c r="H814" s="161">
        <v>2</v>
      </c>
      <c r="I814" s="161">
        <v>11</v>
      </c>
      <c r="J814" s="161">
        <v>88</v>
      </c>
      <c r="K814" s="161">
        <v>16</v>
      </c>
      <c r="L814" s="163">
        <v>-2.83</v>
      </c>
      <c r="M814" s="163">
        <v>-3.33</v>
      </c>
      <c r="N814" s="161">
        <v>-1.34</v>
      </c>
      <c r="O814" s="164" t="s">
        <v>1760</v>
      </c>
    </row>
    <row r="815" spans="1:15" ht="43.2">
      <c r="A815" s="161" t="s">
        <v>3068</v>
      </c>
      <c r="B815" s="161" t="s">
        <v>1743</v>
      </c>
      <c r="C815" s="161" t="s">
        <v>1744</v>
      </c>
      <c r="D815" s="162">
        <v>44312</v>
      </c>
      <c r="E815" s="161" t="s">
        <v>3069</v>
      </c>
      <c r="F815" s="161" t="s">
        <v>2190</v>
      </c>
      <c r="G815" s="161">
        <v>7</v>
      </c>
      <c r="H815" s="161">
        <v>2</v>
      </c>
      <c r="I815" s="161">
        <v>7.3</v>
      </c>
      <c r="J815" s="161">
        <v>76</v>
      </c>
      <c r="K815" s="161">
        <v>12.5</v>
      </c>
      <c r="L815" s="163">
        <v>-3.58</v>
      </c>
      <c r="M815" s="163">
        <v>-2.87</v>
      </c>
      <c r="N815" s="161">
        <v>-2.87</v>
      </c>
      <c r="O815" s="164" t="s">
        <v>1747</v>
      </c>
    </row>
    <row r="816" spans="1:15" ht="43.2">
      <c r="A816" s="161" t="s">
        <v>3070</v>
      </c>
      <c r="B816" s="161" t="s">
        <v>1752</v>
      </c>
      <c r="C816" s="161" t="s">
        <v>1744</v>
      </c>
      <c r="D816" s="162">
        <v>44112</v>
      </c>
      <c r="E816" s="161" t="s">
        <v>2816</v>
      </c>
      <c r="F816" s="161" t="s">
        <v>2190</v>
      </c>
      <c r="G816" s="161">
        <v>3</v>
      </c>
      <c r="H816" s="161">
        <v>4</v>
      </c>
      <c r="I816" s="161">
        <v>9.1999999999999993</v>
      </c>
      <c r="J816" s="161">
        <v>82</v>
      </c>
      <c r="K816" s="161">
        <v>12</v>
      </c>
      <c r="L816" s="163">
        <v>-3.05</v>
      </c>
      <c r="M816" s="163">
        <v>-2.96</v>
      </c>
      <c r="N816" s="161">
        <v>-2.0299999999999998</v>
      </c>
      <c r="O816" s="164" t="s">
        <v>1747</v>
      </c>
    </row>
    <row r="817" spans="1:15" ht="43.2">
      <c r="A817" s="161" t="s">
        <v>3071</v>
      </c>
      <c r="B817" s="161" t="s">
        <v>1743</v>
      </c>
      <c r="C817" s="161" t="s">
        <v>1786</v>
      </c>
      <c r="D817" s="162">
        <v>43293</v>
      </c>
      <c r="E817" s="161" t="s">
        <v>3072</v>
      </c>
      <c r="F817" s="161" t="s">
        <v>2190</v>
      </c>
      <c r="G817" s="161">
        <v>3</v>
      </c>
      <c r="H817" s="161">
        <v>5</v>
      </c>
      <c r="I817" s="161">
        <v>12</v>
      </c>
      <c r="J817" s="161">
        <v>91</v>
      </c>
      <c r="K817" s="161">
        <v>16</v>
      </c>
      <c r="L817" s="163">
        <v>-2.78</v>
      </c>
      <c r="M817" s="163">
        <v>-3.54</v>
      </c>
      <c r="N817" s="161">
        <v>-0.82</v>
      </c>
      <c r="O817" s="164" t="s">
        <v>1760</v>
      </c>
    </row>
    <row r="818" spans="1:15" ht="43.2">
      <c r="A818" s="161" t="s">
        <v>3073</v>
      </c>
      <c r="B818" s="161" t="s">
        <v>1743</v>
      </c>
      <c r="C818" s="161" t="s">
        <v>1744</v>
      </c>
      <c r="D818" s="162">
        <v>43956</v>
      </c>
      <c r="E818" s="161" t="s">
        <v>3074</v>
      </c>
      <c r="F818" s="161" t="s">
        <v>2190</v>
      </c>
      <c r="G818" s="161">
        <v>1</v>
      </c>
      <c r="H818" s="161">
        <v>6</v>
      </c>
      <c r="I818" s="161">
        <v>11</v>
      </c>
      <c r="J818" s="161">
        <v>82</v>
      </c>
      <c r="K818" s="161">
        <v>15</v>
      </c>
      <c r="L818" s="163">
        <v>-1.66</v>
      </c>
      <c r="M818" s="163">
        <v>-3.16</v>
      </c>
      <c r="N818" s="161">
        <v>0.34</v>
      </c>
      <c r="O818" s="164" t="s">
        <v>1760</v>
      </c>
    </row>
    <row r="819" spans="1:15" ht="43.2">
      <c r="A819" s="161" t="s">
        <v>3075</v>
      </c>
      <c r="B819" s="161" t="s">
        <v>1752</v>
      </c>
      <c r="C819" s="161" t="s">
        <v>1786</v>
      </c>
      <c r="D819" s="162">
        <v>43334</v>
      </c>
      <c r="E819" s="161" t="s">
        <v>3076</v>
      </c>
      <c r="F819" s="161" t="s">
        <v>2190</v>
      </c>
      <c r="G819" s="161">
        <v>8</v>
      </c>
      <c r="H819" s="161">
        <v>3</v>
      </c>
      <c r="I819" s="161">
        <v>12</v>
      </c>
      <c r="J819" s="161">
        <v>93.5</v>
      </c>
      <c r="K819" s="161">
        <v>14.5</v>
      </c>
      <c r="L819" s="163">
        <v>-2.91</v>
      </c>
      <c r="M819" s="163">
        <v>-3.04</v>
      </c>
      <c r="N819" s="161">
        <v>-1.69</v>
      </c>
      <c r="O819" s="164" t="s">
        <v>1760</v>
      </c>
    </row>
    <row r="820" spans="1:15" ht="43.2">
      <c r="A820" s="161" t="s">
        <v>3077</v>
      </c>
      <c r="B820" s="161" t="s">
        <v>1752</v>
      </c>
      <c r="C820" s="161" t="s">
        <v>1749</v>
      </c>
      <c r="D820" s="162">
        <v>43717</v>
      </c>
      <c r="E820" s="161" t="s">
        <v>3078</v>
      </c>
      <c r="F820" s="161" t="s">
        <v>2190</v>
      </c>
      <c r="G820" s="161">
        <v>2</v>
      </c>
      <c r="H820" s="161">
        <v>3</v>
      </c>
      <c r="I820" s="161">
        <v>10</v>
      </c>
      <c r="J820" s="161">
        <v>85</v>
      </c>
      <c r="K820" s="161">
        <v>15</v>
      </c>
      <c r="L820" s="163">
        <v>-3.47</v>
      </c>
      <c r="M820" s="163">
        <v>-3.76</v>
      </c>
      <c r="N820" s="161">
        <v>-1.95</v>
      </c>
      <c r="O820" s="164" t="s">
        <v>1760</v>
      </c>
    </row>
    <row r="821" spans="1:15" ht="57.6">
      <c r="A821" s="161" t="s">
        <v>3079</v>
      </c>
      <c r="B821" s="161" t="s">
        <v>1752</v>
      </c>
      <c r="C821" s="161" t="s">
        <v>1749</v>
      </c>
      <c r="D821" s="162">
        <v>43647</v>
      </c>
      <c r="E821" s="161" t="s">
        <v>3080</v>
      </c>
      <c r="F821" s="161" t="s">
        <v>2190</v>
      </c>
      <c r="G821" s="161">
        <v>1</v>
      </c>
      <c r="H821" s="161">
        <v>3</v>
      </c>
      <c r="I821" s="161">
        <v>10.5</v>
      </c>
      <c r="J821" s="161">
        <v>92</v>
      </c>
      <c r="K821" s="161">
        <v>16</v>
      </c>
      <c r="L821" s="163">
        <v>-3.27</v>
      </c>
      <c r="M821" s="163">
        <v>-2.27</v>
      </c>
      <c r="N821" s="161">
        <v>-3.12</v>
      </c>
      <c r="O821" s="164" t="s">
        <v>1790</v>
      </c>
    </row>
    <row r="822" spans="1:15" ht="43.2">
      <c r="A822" s="161" t="s">
        <v>3081</v>
      </c>
      <c r="B822" s="161" t="s">
        <v>1743</v>
      </c>
      <c r="C822" s="161" t="s">
        <v>1749</v>
      </c>
      <c r="D822" s="162">
        <v>43664</v>
      </c>
      <c r="E822" s="161" t="s">
        <v>2924</v>
      </c>
      <c r="F822" s="161" t="s">
        <v>1781</v>
      </c>
      <c r="G822" s="161"/>
      <c r="H822" s="161">
        <v>3</v>
      </c>
      <c r="I822" s="161">
        <v>10.6</v>
      </c>
      <c r="J822" s="161">
        <v>87</v>
      </c>
      <c r="K822" s="161">
        <v>14</v>
      </c>
      <c r="L822" s="163">
        <v>-2.88</v>
      </c>
      <c r="M822" s="163">
        <v>-3.18</v>
      </c>
      <c r="N822" s="161">
        <v>-1.33</v>
      </c>
      <c r="O822" s="164" t="s">
        <v>1760</v>
      </c>
    </row>
    <row r="823" spans="1:15" ht="43.2">
      <c r="A823" s="161" t="s">
        <v>3082</v>
      </c>
      <c r="B823" s="161" t="s">
        <v>1743</v>
      </c>
      <c r="C823" s="161" t="s">
        <v>1755</v>
      </c>
      <c r="D823" s="162">
        <v>44624</v>
      </c>
      <c r="E823" s="161" t="s">
        <v>2926</v>
      </c>
      <c r="F823" s="161" t="s">
        <v>1781</v>
      </c>
      <c r="G823" s="161"/>
      <c r="H823" s="161">
        <v>3</v>
      </c>
      <c r="I823" s="161">
        <v>5.8</v>
      </c>
      <c r="J823" s="161">
        <v>63</v>
      </c>
      <c r="K823" s="161">
        <v>14</v>
      </c>
      <c r="L823" s="163">
        <v>-3.62</v>
      </c>
      <c r="M823" s="163">
        <v>-4.2699999999999996</v>
      </c>
      <c r="N823" s="161">
        <v>-1.48</v>
      </c>
      <c r="O823" s="164" t="s">
        <v>1760</v>
      </c>
    </row>
    <row r="824" spans="1:15" ht="43.2">
      <c r="A824" s="161" t="s">
        <v>3083</v>
      </c>
      <c r="B824" s="161" t="s">
        <v>1743</v>
      </c>
      <c r="C824" s="161" t="s">
        <v>1744</v>
      </c>
      <c r="D824" s="162">
        <v>44104</v>
      </c>
      <c r="E824" s="161" t="s">
        <v>2196</v>
      </c>
      <c r="F824" s="161" t="s">
        <v>1781</v>
      </c>
      <c r="G824" s="161">
        <v>3</v>
      </c>
      <c r="H824" s="161">
        <v>2</v>
      </c>
      <c r="I824" s="161">
        <v>8.5</v>
      </c>
      <c r="J824" s="161">
        <v>76.5</v>
      </c>
      <c r="K824" s="161">
        <v>12.5</v>
      </c>
      <c r="L824" s="163">
        <v>-3.29</v>
      </c>
      <c r="M824" s="163">
        <v>-3.91</v>
      </c>
      <c r="N824" s="161">
        <v>-1.33</v>
      </c>
      <c r="O824" s="164" t="s">
        <v>1760</v>
      </c>
    </row>
    <row r="825" spans="1:15" ht="43.2">
      <c r="A825" s="161" t="s">
        <v>3084</v>
      </c>
      <c r="B825" s="161" t="s">
        <v>1752</v>
      </c>
      <c r="C825" s="161" t="s">
        <v>1749</v>
      </c>
      <c r="D825" s="162">
        <v>43892</v>
      </c>
      <c r="E825" s="161" t="s">
        <v>2822</v>
      </c>
      <c r="F825" s="161" t="s">
        <v>1781</v>
      </c>
      <c r="G825" s="161">
        <v>2</v>
      </c>
      <c r="H825" s="161">
        <v>12</v>
      </c>
      <c r="I825" s="161">
        <v>11.4</v>
      </c>
      <c r="J825" s="161">
        <v>87</v>
      </c>
      <c r="K825" s="161">
        <v>16</v>
      </c>
      <c r="L825" s="163">
        <v>-1.91</v>
      </c>
      <c r="M825" s="163">
        <v>-2.46</v>
      </c>
      <c r="N825" s="161">
        <v>-0.81</v>
      </c>
      <c r="O825" s="164" t="s">
        <v>1760</v>
      </c>
    </row>
    <row r="826" spans="1:15" ht="43.2">
      <c r="A826" s="161" t="s">
        <v>3085</v>
      </c>
      <c r="B826" s="161" t="s">
        <v>1752</v>
      </c>
      <c r="C826" s="161" t="s">
        <v>1749</v>
      </c>
      <c r="D826" s="162">
        <v>43790</v>
      </c>
      <c r="E826" s="161" t="s">
        <v>2320</v>
      </c>
      <c r="F826" s="161" t="s">
        <v>1781</v>
      </c>
      <c r="G826" s="161">
        <v>3</v>
      </c>
      <c r="H826" s="161">
        <v>11</v>
      </c>
      <c r="I826" s="161">
        <v>10</v>
      </c>
      <c r="J826" s="161">
        <v>88</v>
      </c>
      <c r="K826" s="161">
        <v>15</v>
      </c>
      <c r="L826" s="163">
        <v>-3.28</v>
      </c>
      <c r="M826" s="163">
        <v>-2.66</v>
      </c>
      <c r="N826" s="161">
        <v>-2.78</v>
      </c>
      <c r="O826" s="164" t="s">
        <v>1747</v>
      </c>
    </row>
    <row r="827" spans="1:15" ht="43.2">
      <c r="A827" s="161" t="s">
        <v>3086</v>
      </c>
      <c r="B827" s="161" t="s">
        <v>1752</v>
      </c>
      <c r="C827" s="161" t="s">
        <v>1744</v>
      </c>
      <c r="D827" s="162">
        <v>44169</v>
      </c>
      <c r="E827" s="161" t="s">
        <v>2824</v>
      </c>
      <c r="F827" s="161" t="s">
        <v>1781</v>
      </c>
      <c r="G827" s="161">
        <v>1</v>
      </c>
      <c r="H827" s="161">
        <v>3</v>
      </c>
      <c r="I827" s="161">
        <v>8.3000000000000007</v>
      </c>
      <c r="J827" s="161">
        <v>78</v>
      </c>
      <c r="K827" s="161">
        <v>14</v>
      </c>
      <c r="L827" s="163">
        <v>-3.67</v>
      </c>
      <c r="M827" s="163">
        <v>-3.63</v>
      </c>
      <c r="N827" s="161">
        <v>-2.58</v>
      </c>
      <c r="O827" s="164" t="s">
        <v>1747</v>
      </c>
    </row>
    <row r="828" spans="1:15" ht="43.2">
      <c r="A828" s="161" t="s">
        <v>3087</v>
      </c>
      <c r="B828" s="161" t="s">
        <v>1752</v>
      </c>
      <c r="C828" s="161" t="s">
        <v>1744</v>
      </c>
      <c r="D828" s="162">
        <v>44286</v>
      </c>
      <c r="E828" s="161" t="s">
        <v>2596</v>
      </c>
      <c r="F828" s="161" t="s">
        <v>1781</v>
      </c>
      <c r="G828" s="161">
        <v>2</v>
      </c>
      <c r="H828" s="161">
        <v>13</v>
      </c>
      <c r="I828" s="161">
        <v>9.4</v>
      </c>
      <c r="J828" s="161">
        <v>80.5</v>
      </c>
      <c r="K828" s="161"/>
      <c r="L828" s="163">
        <v>-2.19</v>
      </c>
      <c r="M828" s="163">
        <v>-2.29</v>
      </c>
      <c r="N828" s="161">
        <v>-1.41</v>
      </c>
      <c r="O828" s="164" t="s">
        <v>1760</v>
      </c>
    </row>
    <row r="829" spans="1:15" ht="43.2">
      <c r="A829" s="161" t="s">
        <v>3088</v>
      </c>
      <c r="B829" s="161" t="s">
        <v>1752</v>
      </c>
      <c r="C829" s="161" t="s">
        <v>1755</v>
      </c>
      <c r="D829" s="162">
        <v>44371</v>
      </c>
      <c r="E829" s="161" t="s">
        <v>2313</v>
      </c>
      <c r="F829" s="161" t="s">
        <v>1781</v>
      </c>
      <c r="G829" s="161">
        <v>2</v>
      </c>
      <c r="H829" s="161">
        <v>11</v>
      </c>
      <c r="I829" s="161">
        <v>9.3000000000000007</v>
      </c>
      <c r="J829" s="161">
        <v>79</v>
      </c>
      <c r="K829" s="161"/>
      <c r="L829" s="163">
        <v>-1.89</v>
      </c>
      <c r="M829" s="163">
        <v>-2.0699999999999998</v>
      </c>
      <c r="N829" s="161">
        <v>-1.21</v>
      </c>
      <c r="O829" s="164" t="s">
        <v>1760</v>
      </c>
    </row>
    <row r="830" spans="1:15" ht="43.2">
      <c r="A830" s="161" t="s">
        <v>3089</v>
      </c>
      <c r="B830" s="161" t="s">
        <v>1752</v>
      </c>
      <c r="C830" s="161" t="s">
        <v>1755</v>
      </c>
      <c r="D830" s="162">
        <v>44651</v>
      </c>
      <c r="E830" s="161" t="s">
        <v>3090</v>
      </c>
      <c r="F830" s="161" t="s">
        <v>1781</v>
      </c>
      <c r="G830" s="161">
        <v>1</v>
      </c>
      <c r="H830" s="161">
        <v>14</v>
      </c>
      <c r="I830" s="161">
        <v>6.8</v>
      </c>
      <c r="J830" s="161">
        <v>67.5</v>
      </c>
      <c r="K830" s="161"/>
      <c r="L830" s="163">
        <v>-3.07</v>
      </c>
      <c r="M830" s="163">
        <v>-3.28</v>
      </c>
      <c r="N830" s="161">
        <v>-1.8</v>
      </c>
      <c r="O830" s="164" t="s">
        <v>1760</v>
      </c>
    </row>
    <row r="831" spans="1:15" ht="43.2">
      <c r="A831" s="161" t="s">
        <v>3091</v>
      </c>
      <c r="B831" s="161" t="s">
        <v>1752</v>
      </c>
      <c r="C831" s="161" t="s">
        <v>1744</v>
      </c>
      <c r="D831" s="162">
        <v>44004</v>
      </c>
      <c r="E831" s="161" t="s">
        <v>2937</v>
      </c>
      <c r="F831" s="161" t="s">
        <v>1784</v>
      </c>
      <c r="G831" s="161">
        <v>3</v>
      </c>
      <c r="H831" s="161">
        <v>2</v>
      </c>
      <c r="I831" s="161">
        <v>9.9</v>
      </c>
      <c r="J831" s="161">
        <v>85.9</v>
      </c>
      <c r="K831" s="161"/>
      <c r="L831" s="163">
        <v>-2.78</v>
      </c>
      <c r="M831" s="163">
        <v>-2.23</v>
      </c>
      <c r="N831" s="161">
        <v>-2.33</v>
      </c>
      <c r="O831" s="164" t="s">
        <v>1747</v>
      </c>
    </row>
    <row r="832" spans="1:15" ht="28.8">
      <c r="A832" s="161" t="s">
        <v>3092</v>
      </c>
      <c r="B832" s="161" t="s">
        <v>1752</v>
      </c>
      <c r="C832" s="161" t="s">
        <v>1744</v>
      </c>
      <c r="D832" s="162">
        <v>44051</v>
      </c>
      <c r="E832" s="161" t="s">
        <v>2326</v>
      </c>
      <c r="F832" s="161" t="s">
        <v>1784</v>
      </c>
      <c r="G832" s="161">
        <v>7</v>
      </c>
      <c r="H832" s="161">
        <v>7</v>
      </c>
      <c r="I832" s="161">
        <v>10.4</v>
      </c>
      <c r="J832" s="161">
        <v>85.2</v>
      </c>
      <c r="K832" s="161"/>
      <c r="L832" s="163">
        <v>-2.21</v>
      </c>
      <c r="M832" s="163">
        <v>-2.17</v>
      </c>
      <c r="N832" s="161">
        <v>-1.5</v>
      </c>
      <c r="O832" s="164" t="s">
        <v>1760</v>
      </c>
    </row>
    <row r="833" spans="1:15" ht="28.8">
      <c r="A833" s="161" t="s">
        <v>3093</v>
      </c>
      <c r="B833" s="161" t="s">
        <v>1752</v>
      </c>
      <c r="C833" s="161" t="s">
        <v>1744</v>
      </c>
      <c r="D833" s="162">
        <v>44217</v>
      </c>
      <c r="E833" s="161" t="s">
        <v>1798</v>
      </c>
      <c r="F833" s="161" t="s">
        <v>1784</v>
      </c>
      <c r="G833" s="161">
        <v>4</v>
      </c>
      <c r="H833" s="161">
        <v>5</v>
      </c>
      <c r="I833" s="161">
        <v>13.5</v>
      </c>
      <c r="J833" s="161">
        <v>81.5</v>
      </c>
      <c r="K833" s="161"/>
      <c r="L833" s="163">
        <v>0.69</v>
      </c>
      <c r="M833" s="163">
        <v>-2.21</v>
      </c>
      <c r="N833" s="161">
        <v>2.52</v>
      </c>
      <c r="O833" s="164" t="s">
        <v>2078</v>
      </c>
    </row>
    <row r="834" spans="1:15" ht="28.8">
      <c r="A834" s="161" t="s">
        <v>3094</v>
      </c>
      <c r="B834" s="161" t="s">
        <v>1743</v>
      </c>
      <c r="C834" s="161" t="s">
        <v>1744</v>
      </c>
      <c r="D834" s="162">
        <v>44265</v>
      </c>
      <c r="E834" s="161" t="s">
        <v>2036</v>
      </c>
      <c r="F834" s="161" t="s">
        <v>1784</v>
      </c>
      <c r="G834" s="161">
        <v>2</v>
      </c>
      <c r="H834" s="161">
        <v>4</v>
      </c>
      <c r="I834" s="161">
        <v>7.95</v>
      </c>
      <c r="J834" s="161">
        <v>79</v>
      </c>
      <c r="K834" s="161"/>
      <c r="L834" s="163">
        <v>-3.09</v>
      </c>
      <c r="M834" s="163">
        <v>-2.25</v>
      </c>
      <c r="N834" s="161">
        <v>-2.5499999999999998</v>
      </c>
      <c r="O834" s="164" t="s">
        <v>1747</v>
      </c>
    </row>
    <row r="835" spans="1:15" ht="28.8">
      <c r="A835" s="161" t="s">
        <v>3095</v>
      </c>
      <c r="B835" s="161" t="s">
        <v>1743</v>
      </c>
      <c r="C835" s="161" t="s">
        <v>1755</v>
      </c>
      <c r="D835" s="162">
        <v>44433</v>
      </c>
      <c r="E835" s="161" t="s">
        <v>1802</v>
      </c>
      <c r="F835" s="161" t="s">
        <v>1784</v>
      </c>
      <c r="G835" s="161">
        <v>3</v>
      </c>
      <c r="H835" s="161">
        <v>7</v>
      </c>
      <c r="I835" s="161">
        <v>8.1</v>
      </c>
      <c r="J835" s="161">
        <v>71.5</v>
      </c>
      <c r="K835" s="161">
        <v>13</v>
      </c>
      <c r="L835" s="163">
        <v>-2.0099999999999998</v>
      </c>
      <c r="M835" s="163">
        <v>-3.26</v>
      </c>
      <c r="N835" s="161">
        <v>-0.49</v>
      </c>
      <c r="O835" s="164" t="s">
        <v>1760</v>
      </c>
    </row>
    <row r="836" spans="1:15" ht="28.8">
      <c r="A836" s="161" t="s">
        <v>3096</v>
      </c>
      <c r="B836" s="161" t="s">
        <v>1752</v>
      </c>
      <c r="C836" s="161" t="s">
        <v>1755</v>
      </c>
      <c r="D836" s="162">
        <v>44614</v>
      </c>
      <c r="E836" s="161" t="s">
        <v>3097</v>
      </c>
      <c r="F836" s="161" t="s">
        <v>1784</v>
      </c>
      <c r="G836" s="161">
        <v>5</v>
      </c>
      <c r="H836" s="161">
        <v>6</v>
      </c>
      <c r="I836" s="161">
        <v>7.2</v>
      </c>
      <c r="J836" s="161">
        <v>71</v>
      </c>
      <c r="K836" s="161"/>
      <c r="L836" s="163">
        <v>-2.72</v>
      </c>
      <c r="M836" s="163">
        <v>-2.14</v>
      </c>
      <c r="N836" s="161">
        <v>-2.2999999999999998</v>
      </c>
      <c r="O836" s="164" t="s">
        <v>1747</v>
      </c>
    </row>
    <row r="837" spans="1:15" ht="28.8">
      <c r="A837" s="161" t="s">
        <v>3098</v>
      </c>
      <c r="B837" s="161" t="s">
        <v>1752</v>
      </c>
      <c r="C837" s="161" t="s">
        <v>1779</v>
      </c>
      <c r="D837" s="162">
        <v>43187</v>
      </c>
      <c r="E837" s="161" t="s">
        <v>3099</v>
      </c>
      <c r="F837" s="161" t="s">
        <v>1784</v>
      </c>
      <c r="G837" s="161">
        <v>3</v>
      </c>
      <c r="H837" s="161">
        <v>4</v>
      </c>
      <c r="I837" s="161">
        <v>15</v>
      </c>
      <c r="J837" s="161">
        <v>100</v>
      </c>
      <c r="K837" s="161">
        <v>15.5</v>
      </c>
      <c r="L837" s="163">
        <v>-1.47</v>
      </c>
      <c r="M837" s="163">
        <v>-2.09</v>
      </c>
      <c r="N837" s="161">
        <v>-0.28999999999999998</v>
      </c>
      <c r="O837" s="164" t="s">
        <v>1760</v>
      </c>
    </row>
    <row r="838" spans="1:15" ht="28.8">
      <c r="A838" s="161" t="s">
        <v>3100</v>
      </c>
      <c r="B838" s="161" t="s">
        <v>1752</v>
      </c>
      <c r="C838" s="161" t="s">
        <v>1786</v>
      </c>
      <c r="D838" s="162">
        <v>43231</v>
      </c>
      <c r="E838" s="161" t="s">
        <v>3101</v>
      </c>
      <c r="F838" s="161" t="s">
        <v>1784</v>
      </c>
      <c r="G838" s="161">
        <v>3</v>
      </c>
      <c r="H838" s="161">
        <v>4</v>
      </c>
      <c r="I838" s="161">
        <v>13</v>
      </c>
      <c r="J838" s="161">
        <v>97.2</v>
      </c>
      <c r="K838" s="161"/>
      <c r="L838" s="163">
        <v>-2.4900000000000002</v>
      </c>
      <c r="M838" s="163">
        <v>-2.56</v>
      </c>
      <c r="N838" s="161">
        <v>-1.46</v>
      </c>
      <c r="O838" s="164" t="s">
        <v>1760</v>
      </c>
    </row>
    <row r="839" spans="1:15" ht="43.2">
      <c r="A839" s="161" t="s">
        <v>3102</v>
      </c>
      <c r="B839" s="161" t="s">
        <v>1743</v>
      </c>
      <c r="C839" s="161" t="s">
        <v>1786</v>
      </c>
      <c r="D839" s="162">
        <v>43378</v>
      </c>
      <c r="E839" s="161" t="s">
        <v>2945</v>
      </c>
      <c r="F839" s="161" t="s">
        <v>1807</v>
      </c>
      <c r="G839" s="161">
        <v>9</v>
      </c>
      <c r="H839" s="161">
        <v>2</v>
      </c>
      <c r="I839" s="161">
        <v>10.9</v>
      </c>
      <c r="J839" s="161">
        <v>93</v>
      </c>
      <c r="K839" s="161">
        <v>13</v>
      </c>
      <c r="L839" s="163">
        <v>-3.31</v>
      </c>
      <c r="M839" s="163">
        <v>-2.8</v>
      </c>
      <c r="N839" s="161">
        <v>-2.39</v>
      </c>
      <c r="O839" s="164" t="s">
        <v>1747</v>
      </c>
    </row>
    <row r="840" spans="1:15" ht="43.2">
      <c r="A840" s="161" t="s">
        <v>3103</v>
      </c>
      <c r="B840" s="161" t="s">
        <v>1743</v>
      </c>
      <c r="C840" s="161" t="s">
        <v>1786</v>
      </c>
      <c r="D840" s="162">
        <v>43466</v>
      </c>
      <c r="E840" s="161" t="s">
        <v>2345</v>
      </c>
      <c r="F840" s="161" t="s">
        <v>1807</v>
      </c>
      <c r="G840" s="161">
        <v>1</v>
      </c>
      <c r="H840" s="161">
        <v>3</v>
      </c>
      <c r="I840" s="161">
        <v>11.6</v>
      </c>
      <c r="J840" s="161">
        <v>90.7</v>
      </c>
      <c r="K840" s="161"/>
      <c r="L840" s="163">
        <v>-2.65</v>
      </c>
      <c r="M840" s="163">
        <v>-3.04</v>
      </c>
      <c r="N840" s="161">
        <v>-1.1399999999999999</v>
      </c>
      <c r="O840" s="164" t="s">
        <v>1760</v>
      </c>
    </row>
    <row r="841" spans="1:15" ht="43.2">
      <c r="A841" s="161" t="s">
        <v>3104</v>
      </c>
      <c r="B841" s="161" t="s">
        <v>1752</v>
      </c>
      <c r="C841" s="161" t="s">
        <v>1786</v>
      </c>
      <c r="D841" s="162">
        <v>43519</v>
      </c>
      <c r="E841" s="161" t="s">
        <v>2957</v>
      </c>
      <c r="F841" s="161" t="s">
        <v>1807</v>
      </c>
      <c r="G841" s="161">
        <v>5</v>
      </c>
      <c r="H841" s="161">
        <v>2</v>
      </c>
      <c r="I841" s="161">
        <v>12.3</v>
      </c>
      <c r="J841" s="161">
        <v>92.2</v>
      </c>
      <c r="K841" s="161"/>
      <c r="L841" s="163">
        <v>-2.2999999999999998</v>
      </c>
      <c r="M841" s="163">
        <v>-2.71</v>
      </c>
      <c r="N841" s="161">
        <v>-1.08</v>
      </c>
      <c r="O841" s="164" t="s">
        <v>1760</v>
      </c>
    </row>
    <row r="842" spans="1:15" ht="43.2">
      <c r="A842" s="161" t="s">
        <v>3105</v>
      </c>
      <c r="B842" s="161" t="s">
        <v>1752</v>
      </c>
      <c r="C842" s="161" t="s">
        <v>1749</v>
      </c>
      <c r="D842" s="162">
        <v>43759</v>
      </c>
      <c r="E842" s="161" t="s">
        <v>2843</v>
      </c>
      <c r="F842" s="161" t="s">
        <v>1807</v>
      </c>
      <c r="G842" s="161">
        <v>4</v>
      </c>
      <c r="H842" s="161">
        <v>4</v>
      </c>
      <c r="I842" s="161">
        <v>11.5</v>
      </c>
      <c r="J842" s="161">
        <v>89</v>
      </c>
      <c r="K842" s="161"/>
      <c r="L842" s="163">
        <v>-2.2400000000000002</v>
      </c>
      <c r="M842" s="163">
        <v>-2.56</v>
      </c>
      <c r="N842" s="161">
        <v>-1.2</v>
      </c>
      <c r="O842" s="164" t="s">
        <v>1760</v>
      </c>
    </row>
    <row r="843" spans="1:15" ht="43.2">
      <c r="A843" s="161" t="s">
        <v>3106</v>
      </c>
      <c r="B843" s="161" t="s">
        <v>1752</v>
      </c>
      <c r="C843" s="161" t="s">
        <v>1744</v>
      </c>
      <c r="D843" s="162">
        <v>43971</v>
      </c>
      <c r="E843" s="161" t="s">
        <v>2948</v>
      </c>
      <c r="F843" s="161" t="s">
        <v>1807</v>
      </c>
      <c r="G843" s="161">
        <v>8</v>
      </c>
      <c r="H843" s="161">
        <v>2</v>
      </c>
      <c r="I843" s="161">
        <v>10.6</v>
      </c>
      <c r="J843" s="161">
        <v>86.6</v>
      </c>
      <c r="K843" s="161">
        <v>14.8</v>
      </c>
      <c r="L843" s="163">
        <v>-2.29</v>
      </c>
      <c r="M843" s="163">
        <v>-2.17</v>
      </c>
      <c r="N843" s="161">
        <v>-1.64</v>
      </c>
      <c r="O843" s="164" t="s">
        <v>1760</v>
      </c>
    </row>
    <row r="844" spans="1:15" ht="43.2">
      <c r="A844" s="161" t="s">
        <v>3107</v>
      </c>
      <c r="B844" s="161" t="s">
        <v>1752</v>
      </c>
      <c r="C844" s="161" t="s">
        <v>1744</v>
      </c>
      <c r="D844" s="162">
        <v>43979</v>
      </c>
      <c r="E844" s="161" t="s">
        <v>2963</v>
      </c>
      <c r="F844" s="161" t="s">
        <v>1807</v>
      </c>
      <c r="G844" s="161">
        <v>3</v>
      </c>
      <c r="H844" s="161">
        <v>2</v>
      </c>
      <c r="I844" s="161">
        <v>10.199999999999999</v>
      </c>
      <c r="J844" s="161">
        <v>87</v>
      </c>
      <c r="K844" s="161"/>
      <c r="L844" s="163">
        <v>-2.61</v>
      </c>
      <c r="M844" s="163">
        <v>-2.0499999999999998</v>
      </c>
      <c r="N844" s="161">
        <v>-2.25</v>
      </c>
      <c r="O844" s="164" t="s">
        <v>1747</v>
      </c>
    </row>
    <row r="845" spans="1:15" ht="57.6">
      <c r="A845" s="161" t="s">
        <v>3108</v>
      </c>
      <c r="B845" s="161" t="s">
        <v>1743</v>
      </c>
      <c r="C845" s="161" t="s">
        <v>1744</v>
      </c>
      <c r="D845" s="162">
        <v>44145</v>
      </c>
      <c r="E845" s="161" t="s">
        <v>2611</v>
      </c>
      <c r="F845" s="161" t="s">
        <v>1807</v>
      </c>
      <c r="G845" s="161">
        <v>1</v>
      </c>
      <c r="H845" s="161">
        <v>4</v>
      </c>
      <c r="I845" s="161">
        <v>11</v>
      </c>
      <c r="J845" s="161">
        <v>79.8</v>
      </c>
      <c r="K845" s="161"/>
      <c r="L845" s="163">
        <v>-0.91</v>
      </c>
      <c r="M845" s="163">
        <v>-2.7</v>
      </c>
      <c r="N845" s="161">
        <v>0.84</v>
      </c>
      <c r="O845" s="164" t="s">
        <v>1760</v>
      </c>
    </row>
    <row r="846" spans="1:15" ht="43.2">
      <c r="A846" s="161" t="s">
        <v>3109</v>
      </c>
      <c r="B846" s="161" t="s">
        <v>1752</v>
      </c>
      <c r="C846" s="161" t="s">
        <v>1744</v>
      </c>
      <c r="D846" s="162">
        <v>44154</v>
      </c>
      <c r="E846" s="161" t="s">
        <v>2951</v>
      </c>
      <c r="F846" s="161" t="s">
        <v>1807</v>
      </c>
      <c r="G846" s="161">
        <v>2</v>
      </c>
      <c r="H846" s="161">
        <v>4</v>
      </c>
      <c r="I846" s="161">
        <v>9.1999999999999993</v>
      </c>
      <c r="J846" s="161">
        <v>81</v>
      </c>
      <c r="K846" s="161"/>
      <c r="L846" s="163">
        <v>-2.9</v>
      </c>
      <c r="M846" s="163">
        <v>-2.79</v>
      </c>
      <c r="N846" s="161">
        <v>-1.96</v>
      </c>
      <c r="O846" s="164" t="s">
        <v>1760</v>
      </c>
    </row>
    <row r="847" spans="1:15" ht="43.2">
      <c r="A847" s="161" t="s">
        <v>3110</v>
      </c>
      <c r="B847" s="161" t="s">
        <v>1752</v>
      </c>
      <c r="C847" s="161" t="s">
        <v>1786</v>
      </c>
      <c r="D847" s="162">
        <v>43487</v>
      </c>
      <c r="E847" s="161" t="s">
        <v>2968</v>
      </c>
      <c r="F847" s="161" t="s">
        <v>1807</v>
      </c>
      <c r="G847" s="161">
        <v>3</v>
      </c>
      <c r="H847" s="161">
        <v>1</v>
      </c>
      <c r="I847" s="161">
        <v>14</v>
      </c>
      <c r="J847" s="161">
        <v>94</v>
      </c>
      <c r="K847" s="161"/>
      <c r="L847" s="163">
        <v>-1.33</v>
      </c>
      <c r="M847" s="163">
        <v>-2.38</v>
      </c>
      <c r="N847" s="161">
        <v>0.16</v>
      </c>
      <c r="O847" s="164" t="s">
        <v>1760</v>
      </c>
    </row>
    <row r="848" spans="1:15" ht="72">
      <c r="A848" s="161" t="s">
        <v>3111</v>
      </c>
      <c r="B848" s="161" t="s">
        <v>1743</v>
      </c>
      <c r="C848" s="161" t="s">
        <v>1749</v>
      </c>
      <c r="D848" s="162">
        <v>43593</v>
      </c>
      <c r="E848" s="161" t="s">
        <v>2970</v>
      </c>
      <c r="F848" s="161" t="s">
        <v>1746</v>
      </c>
      <c r="G848" s="161">
        <v>5</v>
      </c>
      <c r="H848" s="161">
        <v>3</v>
      </c>
      <c r="I848" s="161">
        <v>12</v>
      </c>
      <c r="J848" s="161">
        <v>90</v>
      </c>
      <c r="K848" s="161">
        <v>16</v>
      </c>
      <c r="L848" s="163">
        <v>-2.06</v>
      </c>
      <c r="M848" s="163">
        <v>-2.74</v>
      </c>
      <c r="N848" s="161">
        <v>-0.59</v>
      </c>
      <c r="O848" s="164" t="s">
        <v>1760</v>
      </c>
    </row>
    <row r="849" spans="1:15" ht="43.2">
      <c r="A849" s="161" t="s">
        <v>3112</v>
      </c>
      <c r="B849" s="161" t="s">
        <v>1752</v>
      </c>
      <c r="C849" s="161" t="s">
        <v>1755</v>
      </c>
      <c r="D849" s="162">
        <v>44494</v>
      </c>
      <c r="E849" s="161" t="s">
        <v>2849</v>
      </c>
      <c r="F849" s="161" t="s">
        <v>1746</v>
      </c>
      <c r="G849" s="161">
        <v>3</v>
      </c>
      <c r="H849" s="161">
        <v>1</v>
      </c>
      <c r="I849" s="161">
        <v>8.5</v>
      </c>
      <c r="J849" s="161">
        <v>73</v>
      </c>
      <c r="K849" s="161">
        <v>16</v>
      </c>
      <c r="L849" s="163">
        <v>-2.0099999999999998</v>
      </c>
      <c r="M849" s="163">
        <v>-2.96</v>
      </c>
      <c r="N849" s="161">
        <v>-0.82</v>
      </c>
      <c r="O849" s="164" t="s">
        <v>1760</v>
      </c>
    </row>
    <row r="850" spans="1:15" ht="43.2">
      <c r="A850" s="161" t="s">
        <v>3113</v>
      </c>
      <c r="B850" s="161" t="s">
        <v>1752</v>
      </c>
      <c r="C850" s="161" t="s">
        <v>1744</v>
      </c>
      <c r="D850" s="162">
        <v>44252</v>
      </c>
      <c r="E850" s="161" t="s">
        <v>2376</v>
      </c>
      <c r="F850" s="161" t="s">
        <v>1746</v>
      </c>
      <c r="G850" s="161">
        <v>4</v>
      </c>
      <c r="H850" s="161">
        <v>1</v>
      </c>
      <c r="I850" s="161">
        <v>8.1999999999999993</v>
      </c>
      <c r="J850" s="161">
        <v>78.599999999999994</v>
      </c>
      <c r="K850" s="161">
        <v>13.5</v>
      </c>
      <c r="L850" s="163">
        <v>-3.49</v>
      </c>
      <c r="M850" s="163">
        <v>-3.16</v>
      </c>
      <c r="N850" s="161">
        <v>-2.72</v>
      </c>
      <c r="O850" s="164" t="s">
        <v>1747</v>
      </c>
    </row>
    <row r="851" spans="1:15" ht="28.8">
      <c r="A851" s="161" t="s">
        <v>3114</v>
      </c>
      <c r="B851" s="161" t="s">
        <v>1743</v>
      </c>
      <c r="C851" s="161" t="s">
        <v>1744</v>
      </c>
      <c r="D851" s="162">
        <v>44272</v>
      </c>
      <c r="E851" s="161" t="s">
        <v>2388</v>
      </c>
      <c r="F851" s="161" t="s">
        <v>1746</v>
      </c>
      <c r="G851" s="161">
        <v>1</v>
      </c>
      <c r="H851" s="161">
        <v>2</v>
      </c>
      <c r="I851" s="161">
        <v>8</v>
      </c>
      <c r="J851" s="161">
        <v>75</v>
      </c>
      <c r="K851" s="161">
        <v>13</v>
      </c>
      <c r="L851" s="163">
        <v>-3.01</v>
      </c>
      <c r="M851" s="163">
        <v>-3.46</v>
      </c>
      <c r="N851" s="161">
        <v>-1.53</v>
      </c>
      <c r="O851" s="164" t="s">
        <v>1760</v>
      </c>
    </row>
    <row r="852" spans="1:15" ht="28.8">
      <c r="A852" s="161" t="s">
        <v>3115</v>
      </c>
      <c r="B852" s="161" t="s">
        <v>1752</v>
      </c>
      <c r="C852" s="161" t="s">
        <v>1749</v>
      </c>
      <c r="D852" s="162">
        <v>43888</v>
      </c>
      <c r="E852" s="161" t="s">
        <v>2354</v>
      </c>
      <c r="F852" s="161" t="s">
        <v>1746</v>
      </c>
      <c r="G852" s="161">
        <v>1</v>
      </c>
      <c r="H852" s="161">
        <v>7</v>
      </c>
      <c r="I852" s="161">
        <v>10.45</v>
      </c>
      <c r="J852" s="161">
        <v>85.7</v>
      </c>
      <c r="K852" s="161">
        <v>13.5</v>
      </c>
      <c r="L852" s="163">
        <v>-2.66</v>
      </c>
      <c r="M852" s="163">
        <v>-2.83</v>
      </c>
      <c r="N852" s="161">
        <v>-1.57</v>
      </c>
      <c r="O852" s="164" t="s">
        <v>1760</v>
      </c>
    </row>
    <row r="853" spans="1:15" ht="28.8">
      <c r="A853" s="161" t="s">
        <v>3116</v>
      </c>
      <c r="B853" s="161" t="s">
        <v>1743</v>
      </c>
      <c r="C853" s="161" t="s">
        <v>1744</v>
      </c>
      <c r="D853" s="162">
        <v>44130</v>
      </c>
      <c r="E853" s="161" t="s">
        <v>2851</v>
      </c>
      <c r="F853" s="161" t="s">
        <v>1746</v>
      </c>
      <c r="G853" s="161">
        <v>7</v>
      </c>
      <c r="H853" s="161">
        <v>1</v>
      </c>
      <c r="I853" s="161">
        <v>9</v>
      </c>
      <c r="J853" s="161">
        <v>82.2</v>
      </c>
      <c r="K853" s="161"/>
      <c r="L853" s="163">
        <v>-2.66</v>
      </c>
      <c r="M853" s="163">
        <v>-2.06</v>
      </c>
      <c r="N853" s="161">
        <v>-2.0299999999999998</v>
      </c>
      <c r="O853" s="164" t="s">
        <v>1747</v>
      </c>
    </row>
    <row r="854" spans="1:15" ht="43.2">
      <c r="A854" s="161" t="s">
        <v>3117</v>
      </c>
      <c r="B854" s="161" t="s">
        <v>1752</v>
      </c>
      <c r="C854" s="161" t="s">
        <v>1744</v>
      </c>
      <c r="D854" s="162">
        <v>44119</v>
      </c>
      <c r="E854" s="161" t="s">
        <v>2279</v>
      </c>
      <c r="F854" s="161" t="s">
        <v>1746</v>
      </c>
      <c r="G854" s="161">
        <v>3</v>
      </c>
      <c r="H854" s="161">
        <v>11</v>
      </c>
      <c r="I854" s="161">
        <v>9.6</v>
      </c>
      <c r="J854" s="161">
        <v>78</v>
      </c>
      <c r="K854" s="161">
        <v>15</v>
      </c>
      <c r="L854" s="163">
        <v>-2.64</v>
      </c>
      <c r="M854" s="163">
        <v>-3.87</v>
      </c>
      <c r="N854" s="161">
        <v>-0.75</v>
      </c>
      <c r="O854" s="164" t="s">
        <v>1760</v>
      </c>
    </row>
    <row r="855" spans="1:15" ht="43.2">
      <c r="A855" s="161" t="s">
        <v>3118</v>
      </c>
      <c r="B855" s="161" t="s">
        <v>1752</v>
      </c>
      <c r="C855" s="161" t="s">
        <v>1744</v>
      </c>
      <c r="D855" s="162">
        <v>44101</v>
      </c>
      <c r="E855" s="161" t="s">
        <v>2742</v>
      </c>
      <c r="F855" s="161" t="s">
        <v>1769</v>
      </c>
      <c r="G855" s="161">
        <v>4</v>
      </c>
      <c r="H855" s="161">
        <v>1</v>
      </c>
      <c r="I855" s="161">
        <v>9</v>
      </c>
      <c r="J855" s="161">
        <v>83.6</v>
      </c>
      <c r="K855" s="161">
        <v>12.8</v>
      </c>
      <c r="L855" s="163">
        <v>-3.24</v>
      </c>
      <c r="M855" s="163">
        <v>-2.31</v>
      </c>
      <c r="N855" s="161">
        <v>-2.93</v>
      </c>
      <c r="O855" s="164" t="s">
        <v>1747</v>
      </c>
    </row>
    <row r="856" spans="1:15" ht="72">
      <c r="A856" s="161" t="s">
        <v>3119</v>
      </c>
      <c r="B856" s="161" t="s">
        <v>1752</v>
      </c>
      <c r="C856" s="161" t="s">
        <v>1749</v>
      </c>
      <c r="D856" s="162">
        <v>43848</v>
      </c>
      <c r="E856" s="161" t="s">
        <v>2656</v>
      </c>
      <c r="F856" s="161" t="s">
        <v>1769</v>
      </c>
      <c r="G856" s="161">
        <v>4</v>
      </c>
      <c r="H856" s="161">
        <v>1</v>
      </c>
      <c r="I856" s="161">
        <v>10.199999999999999</v>
      </c>
      <c r="J856" s="161">
        <v>86.5</v>
      </c>
      <c r="K856" s="161">
        <v>14.2</v>
      </c>
      <c r="L856" s="163">
        <v>-3</v>
      </c>
      <c r="M856" s="163">
        <v>-2.83</v>
      </c>
      <c r="N856" s="161">
        <v>-2.11</v>
      </c>
      <c r="O856" s="164" t="s">
        <v>1747</v>
      </c>
    </row>
    <row r="857" spans="1:15" ht="57.6">
      <c r="A857" s="161" t="s">
        <v>3120</v>
      </c>
      <c r="B857" s="161" t="s">
        <v>1743</v>
      </c>
      <c r="C857" s="161" t="s">
        <v>1749</v>
      </c>
      <c r="D857" s="162">
        <v>43821</v>
      </c>
      <c r="E857" s="161" t="s">
        <v>2636</v>
      </c>
      <c r="F857" s="161" t="s">
        <v>1769</v>
      </c>
      <c r="G857" s="161">
        <v>8</v>
      </c>
      <c r="H857" s="161">
        <v>1</v>
      </c>
      <c r="I857" s="161">
        <v>8.57</v>
      </c>
      <c r="J857" s="161">
        <v>82.5</v>
      </c>
      <c r="K857" s="161">
        <v>13</v>
      </c>
      <c r="L857" s="163">
        <v>-4.0599999999999996</v>
      </c>
      <c r="M857" s="163">
        <v>-3.63</v>
      </c>
      <c r="N857" s="161">
        <v>-2.7</v>
      </c>
      <c r="O857" s="164" t="s">
        <v>1747</v>
      </c>
    </row>
    <row r="858" spans="1:15" ht="43.2">
      <c r="A858" s="161" t="s">
        <v>3121</v>
      </c>
      <c r="B858" s="161" t="s">
        <v>1743</v>
      </c>
      <c r="C858" s="161" t="s">
        <v>1749</v>
      </c>
      <c r="D858" s="162">
        <v>43637</v>
      </c>
      <c r="E858" s="161" t="s">
        <v>1891</v>
      </c>
      <c r="F858" s="161" t="s">
        <v>1769</v>
      </c>
      <c r="G858" s="161">
        <v>3</v>
      </c>
      <c r="H858" s="161">
        <v>2</v>
      </c>
      <c r="I858" s="161">
        <v>11.5</v>
      </c>
      <c r="J858" s="161">
        <v>88.6</v>
      </c>
      <c r="K858" s="161"/>
      <c r="L858" s="163">
        <v>-2.2799999999999998</v>
      </c>
      <c r="M858" s="163">
        <v>-2.9</v>
      </c>
      <c r="N858" s="161">
        <v>-0.76</v>
      </c>
      <c r="O858" s="164" t="s">
        <v>1760</v>
      </c>
    </row>
    <row r="859" spans="1:15" ht="43.2">
      <c r="A859" s="161" t="s">
        <v>3122</v>
      </c>
      <c r="B859" s="161" t="s">
        <v>1743</v>
      </c>
      <c r="C859" s="161" t="s">
        <v>1749</v>
      </c>
      <c r="D859" s="162">
        <v>43646</v>
      </c>
      <c r="E859" s="161" t="s">
        <v>2158</v>
      </c>
      <c r="F859" s="161" t="s">
        <v>1769</v>
      </c>
      <c r="G859" s="161">
        <v>1</v>
      </c>
      <c r="H859" s="161">
        <v>2</v>
      </c>
      <c r="I859" s="161">
        <v>12.8</v>
      </c>
      <c r="J859" s="161">
        <v>89.5</v>
      </c>
      <c r="K859" s="161">
        <v>15.2</v>
      </c>
      <c r="L859" s="163">
        <v>-1.39</v>
      </c>
      <c r="M859" s="163">
        <v>-2.62</v>
      </c>
      <c r="N859" s="161">
        <v>0.25</v>
      </c>
      <c r="O859" s="164" t="s">
        <v>1760</v>
      </c>
    </row>
    <row r="860" spans="1:15" ht="43.2">
      <c r="A860" s="161" t="s">
        <v>3123</v>
      </c>
      <c r="B860" s="161" t="s">
        <v>1752</v>
      </c>
      <c r="C860" s="161" t="s">
        <v>1786</v>
      </c>
      <c r="D860" s="162">
        <v>43333</v>
      </c>
      <c r="E860" s="161" t="s">
        <v>2412</v>
      </c>
      <c r="F860" s="161" t="s">
        <v>1769</v>
      </c>
      <c r="G860" s="161">
        <v>4</v>
      </c>
      <c r="H860" s="161">
        <v>8</v>
      </c>
      <c r="I860" s="161">
        <v>12.35</v>
      </c>
      <c r="J860" s="161">
        <v>94.4</v>
      </c>
      <c r="K860" s="161">
        <v>14.5</v>
      </c>
      <c r="L860" s="163">
        <v>-2.69</v>
      </c>
      <c r="M860" s="163">
        <v>-2.84</v>
      </c>
      <c r="N860" s="161">
        <v>-1.52</v>
      </c>
      <c r="O860" s="164" t="s">
        <v>1760</v>
      </c>
    </row>
    <row r="861" spans="1:15" ht="43.2">
      <c r="A861" s="161" t="s">
        <v>3124</v>
      </c>
      <c r="B861" s="161" t="s">
        <v>1743</v>
      </c>
      <c r="C861" s="161" t="s">
        <v>1786</v>
      </c>
      <c r="D861" s="162">
        <v>43229</v>
      </c>
      <c r="E861" s="161" t="s">
        <v>1924</v>
      </c>
      <c r="F861" s="161" t="s">
        <v>1769</v>
      </c>
      <c r="G861" s="161">
        <v>4</v>
      </c>
      <c r="H861" s="161">
        <v>8</v>
      </c>
      <c r="I861" s="161">
        <v>13.5</v>
      </c>
      <c r="J861" s="161">
        <v>95.6</v>
      </c>
      <c r="K861" s="161">
        <v>16</v>
      </c>
      <c r="L861" s="163">
        <v>-2.0099999999999998</v>
      </c>
      <c r="M861" s="163">
        <v>-2.73</v>
      </c>
      <c r="N861" s="161">
        <v>-0.44</v>
      </c>
      <c r="O861" s="164" t="s">
        <v>1760</v>
      </c>
    </row>
    <row r="862" spans="1:15" ht="43.2">
      <c r="A862" s="161" t="s">
        <v>3125</v>
      </c>
      <c r="B862" s="161" t="s">
        <v>1752</v>
      </c>
      <c r="C862" s="161" t="s">
        <v>2055</v>
      </c>
      <c r="D862" s="162">
        <v>44967</v>
      </c>
      <c r="E862" s="161" t="s">
        <v>2248</v>
      </c>
      <c r="F862" s="161" t="s">
        <v>1769</v>
      </c>
      <c r="G862" s="161">
        <v>4</v>
      </c>
      <c r="H862" s="161">
        <v>8</v>
      </c>
      <c r="I862" s="161">
        <v>4.0999999999999996</v>
      </c>
      <c r="J862" s="161">
        <v>50</v>
      </c>
      <c r="K862" s="161"/>
      <c r="L862" s="163">
        <v>-0.46</v>
      </c>
      <c r="M862" s="163">
        <v>-2.2599999999999998</v>
      </c>
      <c r="N862" s="161">
        <v>2.2599999999999998</v>
      </c>
      <c r="O862" s="164" t="s">
        <v>2078</v>
      </c>
    </row>
    <row r="863" spans="1:15" ht="43.2">
      <c r="A863" s="161" t="s">
        <v>3126</v>
      </c>
      <c r="B863" s="161" t="s">
        <v>1743</v>
      </c>
      <c r="C863" s="161" t="s">
        <v>2055</v>
      </c>
      <c r="D863" s="162">
        <v>44889</v>
      </c>
      <c r="E863" s="161" t="s">
        <v>2870</v>
      </c>
      <c r="F863" s="161" t="s">
        <v>1769</v>
      </c>
      <c r="G863" s="161">
        <v>1</v>
      </c>
      <c r="H863" s="161">
        <v>10</v>
      </c>
      <c r="I863" s="161">
        <v>5.52</v>
      </c>
      <c r="J863" s="161">
        <v>55.5</v>
      </c>
      <c r="K863" s="161">
        <v>11.5</v>
      </c>
      <c r="L863" s="163">
        <v>-0.69</v>
      </c>
      <c r="M863" s="163">
        <v>-2.35</v>
      </c>
      <c r="N863" s="161">
        <v>1.75</v>
      </c>
      <c r="O863" s="164" t="s">
        <v>1757</v>
      </c>
    </row>
    <row r="864" spans="1:15" ht="43.2">
      <c r="A864" s="161" t="s">
        <v>3127</v>
      </c>
      <c r="B864" s="161" t="s">
        <v>1752</v>
      </c>
      <c r="C864" s="161" t="s">
        <v>1755</v>
      </c>
      <c r="D864" s="162">
        <v>44522</v>
      </c>
      <c r="E864" s="161" t="s">
        <v>2995</v>
      </c>
      <c r="F864" s="161" t="s">
        <v>1769</v>
      </c>
      <c r="G864" s="161">
        <v>4</v>
      </c>
      <c r="H864" s="161">
        <v>10</v>
      </c>
      <c r="I864" s="161">
        <v>6.93</v>
      </c>
      <c r="J864" s="161">
        <v>70.900000000000006</v>
      </c>
      <c r="K864" s="161">
        <v>12</v>
      </c>
      <c r="L864" s="163">
        <v>-3.63</v>
      </c>
      <c r="M864" s="163">
        <v>-3.48</v>
      </c>
      <c r="N864" s="161">
        <v>-2.76</v>
      </c>
      <c r="O864" s="164" t="s">
        <v>1747</v>
      </c>
    </row>
    <row r="865" spans="1:15" ht="43.2">
      <c r="A865" s="161" t="s">
        <v>3128</v>
      </c>
      <c r="B865" s="161" t="s">
        <v>1743</v>
      </c>
      <c r="C865" s="161" t="s">
        <v>1755</v>
      </c>
      <c r="D865" s="162">
        <v>44502</v>
      </c>
      <c r="E865" s="161" t="s">
        <v>2219</v>
      </c>
      <c r="F865" s="161" t="s">
        <v>1769</v>
      </c>
      <c r="G865" s="161">
        <v>1</v>
      </c>
      <c r="H865" s="161">
        <v>11</v>
      </c>
      <c r="I865" s="161">
        <v>7.78</v>
      </c>
      <c r="J865" s="161">
        <v>72.5</v>
      </c>
      <c r="K865" s="161">
        <v>13</v>
      </c>
      <c r="L865" s="163">
        <v>-1.98</v>
      </c>
      <c r="M865" s="163">
        <v>-2.2599999999999998</v>
      </c>
      <c r="N865" s="161">
        <v>-1.22</v>
      </c>
      <c r="O865" s="164" t="s">
        <v>1760</v>
      </c>
    </row>
    <row r="866" spans="1:15" ht="43.2">
      <c r="A866" s="161" t="s">
        <v>3129</v>
      </c>
      <c r="B866" s="161" t="s">
        <v>1743</v>
      </c>
      <c r="C866" s="161" t="s">
        <v>1744</v>
      </c>
      <c r="D866" s="162">
        <v>43992</v>
      </c>
      <c r="E866" s="161" t="s">
        <v>2408</v>
      </c>
      <c r="F866" s="161" t="s">
        <v>1769</v>
      </c>
      <c r="G866" s="161">
        <v>8</v>
      </c>
      <c r="H866" s="161">
        <v>1</v>
      </c>
      <c r="I866" s="161">
        <v>10.8</v>
      </c>
      <c r="J866" s="161">
        <v>82.5</v>
      </c>
      <c r="K866" s="161">
        <v>15.5</v>
      </c>
      <c r="L866" s="163">
        <v>-1.68</v>
      </c>
      <c r="M866" s="163">
        <v>-2.84</v>
      </c>
      <c r="N866" s="161">
        <v>0.01</v>
      </c>
      <c r="O866" s="164" t="s">
        <v>1760</v>
      </c>
    </row>
    <row r="867" spans="1:15" ht="43.2">
      <c r="A867" s="161" t="s">
        <v>3130</v>
      </c>
      <c r="B867" s="161" t="s">
        <v>1743</v>
      </c>
      <c r="C867" s="161" t="s">
        <v>1744</v>
      </c>
      <c r="D867" s="162">
        <v>43992</v>
      </c>
      <c r="E867" s="161" t="s">
        <v>3014</v>
      </c>
      <c r="F867" s="161" t="s">
        <v>1769</v>
      </c>
      <c r="G867" s="161">
        <v>5</v>
      </c>
      <c r="H867" s="161">
        <v>1</v>
      </c>
      <c r="I867" s="161">
        <v>10.1</v>
      </c>
      <c r="J867" s="161">
        <v>80.599999999999994</v>
      </c>
      <c r="K867" s="161">
        <v>14.8</v>
      </c>
      <c r="L867" s="163">
        <v>-2.25</v>
      </c>
      <c r="M867" s="163">
        <v>-3.35</v>
      </c>
      <c r="N867" s="161">
        <v>-0.28999999999999998</v>
      </c>
      <c r="O867" s="164" t="s">
        <v>1760</v>
      </c>
    </row>
    <row r="868" spans="1:15" ht="43.2">
      <c r="A868" s="161" t="s">
        <v>3131</v>
      </c>
      <c r="B868" s="161" t="s">
        <v>1752</v>
      </c>
      <c r="C868" s="161" t="s">
        <v>1749</v>
      </c>
      <c r="D868" s="162">
        <v>43841</v>
      </c>
      <c r="E868" s="161" t="s">
        <v>3016</v>
      </c>
      <c r="F868" s="161" t="s">
        <v>1769</v>
      </c>
      <c r="G868" s="161">
        <v>6</v>
      </c>
      <c r="H868" s="161">
        <v>2</v>
      </c>
      <c r="I868" s="161">
        <v>10.6</v>
      </c>
      <c r="J868" s="161">
        <v>87.2</v>
      </c>
      <c r="K868" s="161">
        <v>14.5</v>
      </c>
      <c r="L868" s="163">
        <v>-2.69</v>
      </c>
      <c r="M868" s="163">
        <v>-2.67</v>
      </c>
      <c r="N868" s="161">
        <v>-1.8</v>
      </c>
      <c r="O868" s="164" t="s">
        <v>1760</v>
      </c>
    </row>
    <row r="869" spans="1:15" ht="43.2">
      <c r="A869" s="161" t="s">
        <v>3132</v>
      </c>
      <c r="B869" s="161" t="s">
        <v>1752</v>
      </c>
      <c r="C869" s="161" t="s">
        <v>1749</v>
      </c>
      <c r="D869" s="162">
        <v>43703</v>
      </c>
      <c r="E869" s="161" t="s">
        <v>2999</v>
      </c>
      <c r="F869" s="161" t="s">
        <v>1769</v>
      </c>
      <c r="G869" s="161">
        <v>8</v>
      </c>
      <c r="H869" s="161">
        <v>5</v>
      </c>
      <c r="I869" s="161">
        <v>11.1</v>
      </c>
      <c r="J869" s="161">
        <v>90.3</v>
      </c>
      <c r="K869" s="161"/>
      <c r="L869" s="163">
        <v>-2.69</v>
      </c>
      <c r="M869" s="163">
        <v>-2.4700000000000002</v>
      </c>
      <c r="N869" s="161">
        <v>-1.98</v>
      </c>
      <c r="O869" s="164" t="s">
        <v>1760</v>
      </c>
    </row>
    <row r="870" spans="1:15" ht="43.2">
      <c r="A870" s="161" t="s">
        <v>3133</v>
      </c>
      <c r="B870" s="161" t="s">
        <v>1752</v>
      </c>
      <c r="C870" s="161" t="s">
        <v>1749</v>
      </c>
      <c r="D870" s="162">
        <v>43659</v>
      </c>
      <c r="E870" s="161" t="s">
        <v>2499</v>
      </c>
      <c r="F870" s="161" t="s">
        <v>1769</v>
      </c>
      <c r="G870" s="161">
        <v>6</v>
      </c>
      <c r="H870" s="161">
        <v>5</v>
      </c>
      <c r="I870" s="161">
        <v>11.75</v>
      </c>
      <c r="J870" s="161">
        <v>92.1</v>
      </c>
      <c r="K870" s="161">
        <v>15</v>
      </c>
      <c r="L870" s="163">
        <v>-2.33</v>
      </c>
      <c r="M870" s="163">
        <v>-2.2000000000000002</v>
      </c>
      <c r="N870" s="161">
        <v>-1.65</v>
      </c>
      <c r="O870" s="164" t="s">
        <v>1760</v>
      </c>
    </row>
    <row r="871" spans="1:15" ht="43.2">
      <c r="A871" s="161" t="s">
        <v>3134</v>
      </c>
      <c r="B871" s="161" t="s">
        <v>1743</v>
      </c>
      <c r="C871" s="161" t="s">
        <v>1749</v>
      </c>
      <c r="D871" s="162">
        <v>43645</v>
      </c>
      <c r="E871" s="161" t="s">
        <v>2867</v>
      </c>
      <c r="F871" s="161" t="s">
        <v>1769</v>
      </c>
      <c r="G871" s="161">
        <v>2</v>
      </c>
      <c r="H871" s="161">
        <v>5</v>
      </c>
      <c r="I871" s="161">
        <v>10.5</v>
      </c>
      <c r="J871" s="161">
        <v>91.4</v>
      </c>
      <c r="K871" s="161">
        <v>13.5</v>
      </c>
      <c r="L871" s="163">
        <v>-3.02</v>
      </c>
      <c r="M871" s="163">
        <v>-2.2000000000000002</v>
      </c>
      <c r="N871" s="161">
        <v>-2.4900000000000002</v>
      </c>
      <c r="O871" s="164" t="s">
        <v>1747</v>
      </c>
    </row>
    <row r="872" spans="1:15" ht="43.2">
      <c r="A872" s="161" t="s">
        <v>3135</v>
      </c>
      <c r="B872" s="161" t="s">
        <v>1743</v>
      </c>
      <c r="C872" s="161" t="s">
        <v>1779</v>
      </c>
      <c r="D872" s="162">
        <v>43191</v>
      </c>
      <c r="E872" s="161" t="s">
        <v>2495</v>
      </c>
      <c r="F872" s="161" t="s">
        <v>1769</v>
      </c>
      <c r="G872" s="161">
        <v>6</v>
      </c>
      <c r="H872" s="161">
        <v>5</v>
      </c>
      <c r="I872" s="161">
        <v>9.08</v>
      </c>
      <c r="J872" s="161">
        <v>92.6</v>
      </c>
      <c r="K872" s="161">
        <v>12.5</v>
      </c>
      <c r="L872" s="163">
        <v>-4.74</v>
      </c>
      <c r="M872" s="163">
        <v>-3.48</v>
      </c>
      <c r="N872" s="161">
        <v>-4.38</v>
      </c>
      <c r="O872" s="164" t="s">
        <v>1790</v>
      </c>
    </row>
    <row r="873" spans="1:15" ht="57.6">
      <c r="A873" s="161" t="s">
        <v>3136</v>
      </c>
      <c r="B873" s="161" t="s">
        <v>1752</v>
      </c>
      <c r="C873" s="161" t="s">
        <v>1786</v>
      </c>
      <c r="D873" s="162">
        <v>43364</v>
      </c>
      <c r="E873" s="161" t="s">
        <v>2858</v>
      </c>
      <c r="F873" s="161" t="s">
        <v>1769</v>
      </c>
      <c r="G873" s="161">
        <v>3</v>
      </c>
      <c r="H873" s="161">
        <v>1</v>
      </c>
      <c r="I873" s="161">
        <v>11.25</v>
      </c>
      <c r="J873" s="161">
        <v>86.6</v>
      </c>
      <c r="K873" s="161">
        <v>15</v>
      </c>
      <c r="L873" s="163">
        <v>-3.33</v>
      </c>
      <c r="M873" s="163">
        <v>-4.51</v>
      </c>
      <c r="N873" s="161">
        <v>-0.87</v>
      </c>
      <c r="O873" s="164" t="s">
        <v>1760</v>
      </c>
    </row>
    <row r="874" spans="1:15" ht="43.2">
      <c r="A874" s="161" t="s">
        <v>3137</v>
      </c>
      <c r="B874" s="161" t="s">
        <v>1752</v>
      </c>
      <c r="C874" s="161" t="s">
        <v>1786</v>
      </c>
      <c r="D874" s="162">
        <v>43298</v>
      </c>
      <c r="E874" s="161" t="s">
        <v>2099</v>
      </c>
      <c r="F874" s="161" t="s">
        <v>1769</v>
      </c>
      <c r="G874" s="161">
        <v>9</v>
      </c>
      <c r="H874" s="161">
        <v>5</v>
      </c>
      <c r="I874" s="161">
        <v>10.1</v>
      </c>
      <c r="J874" s="161">
        <v>89.6</v>
      </c>
      <c r="K874" s="161">
        <v>12.8</v>
      </c>
      <c r="L874" s="163">
        <v>-4.16</v>
      </c>
      <c r="M874" s="163">
        <v>-4.03</v>
      </c>
      <c r="N874" s="161">
        <v>-3.06</v>
      </c>
      <c r="O874" s="164" t="s">
        <v>1790</v>
      </c>
    </row>
    <row r="875" spans="1:15" ht="43.2">
      <c r="A875" s="161" t="s">
        <v>3138</v>
      </c>
      <c r="B875" s="161" t="s">
        <v>1752</v>
      </c>
      <c r="C875" s="161" t="s">
        <v>1749</v>
      </c>
      <c r="D875" s="162">
        <v>43694</v>
      </c>
      <c r="E875" s="161" t="s">
        <v>3139</v>
      </c>
      <c r="F875" s="161" t="s">
        <v>1769</v>
      </c>
      <c r="G875" s="161">
        <v>7</v>
      </c>
      <c r="H875" s="161">
        <v>2</v>
      </c>
      <c r="I875" s="161">
        <v>14.1</v>
      </c>
      <c r="J875" s="161">
        <v>91.5</v>
      </c>
      <c r="K875" s="161">
        <v>16.5</v>
      </c>
      <c r="L875" s="163">
        <v>-0.73</v>
      </c>
      <c r="M875" s="163">
        <v>-2.1800000000000002</v>
      </c>
      <c r="N875" s="161">
        <v>0.78</v>
      </c>
      <c r="O875" s="164" t="s">
        <v>1760</v>
      </c>
    </row>
    <row r="876" spans="1:15" ht="43.2">
      <c r="A876" s="161" t="s">
        <v>3140</v>
      </c>
      <c r="B876" s="161" t="s">
        <v>1743</v>
      </c>
      <c r="C876" s="161" t="s">
        <v>1749</v>
      </c>
      <c r="D876" s="162">
        <v>43799</v>
      </c>
      <c r="E876" s="161" t="s">
        <v>2262</v>
      </c>
      <c r="F876" s="161" t="s">
        <v>1774</v>
      </c>
      <c r="G876" s="161">
        <v>1</v>
      </c>
      <c r="H876" s="161">
        <v>7</v>
      </c>
      <c r="I876" s="161">
        <v>11.5</v>
      </c>
      <c r="J876" s="161">
        <v>86.5</v>
      </c>
      <c r="K876" s="161">
        <v>15.5</v>
      </c>
      <c r="L876" s="163">
        <v>-1.82</v>
      </c>
      <c r="M876" s="163">
        <v>-2.75</v>
      </c>
      <c r="N876" s="161">
        <v>-0.26</v>
      </c>
      <c r="O876" s="164" t="s">
        <v>1760</v>
      </c>
    </row>
    <row r="877" spans="1:15" ht="43.2">
      <c r="A877" s="161" t="s">
        <v>3141</v>
      </c>
      <c r="B877" s="161" t="s">
        <v>1752</v>
      </c>
      <c r="C877" s="161" t="s">
        <v>1749</v>
      </c>
      <c r="D877" s="162">
        <v>43909</v>
      </c>
      <c r="E877" s="161" t="s">
        <v>3040</v>
      </c>
      <c r="F877" s="161" t="s">
        <v>1774</v>
      </c>
      <c r="G877" s="161">
        <v>1</v>
      </c>
      <c r="H877" s="161">
        <v>8</v>
      </c>
      <c r="I877" s="161">
        <v>10.6</v>
      </c>
      <c r="J877" s="161">
        <v>86.5</v>
      </c>
      <c r="K877" s="161">
        <v>14.5</v>
      </c>
      <c r="L877" s="163">
        <v>-2.48</v>
      </c>
      <c r="M877" s="163">
        <v>-2.5099999999999998</v>
      </c>
      <c r="N877" s="161">
        <v>-1.61</v>
      </c>
      <c r="O877" s="164" t="s">
        <v>1760</v>
      </c>
    </row>
    <row r="878" spans="1:15" ht="43.2">
      <c r="A878" s="161" t="s">
        <v>3142</v>
      </c>
      <c r="B878" s="161" t="s">
        <v>1743</v>
      </c>
      <c r="C878" s="161" t="s">
        <v>1744</v>
      </c>
      <c r="D878" s="162">
        <v>44068</v>
      </c>
      <c r="E878" s="161" t="s">
        <v>3143</v>
      </c>
      <c r="F878" s="161" t="s">
        <v>1774</v>
      </c>
      <c r="G878" s="161">
        <v>2</v>
      </c>
      <c r="H878" s="161">
        <v>5</v>
      </c>
      <c r="I878" s="161">
        <v>10.8</v>
      </c>
      <c r="J878" s="161">
        <v>82.5</v>
      </c>
      <c r="K878" s="161"/>
      <c r="L878" s="163">
        <v>-1.36</v>
      </c>
      <c r="M878" s="163">
        <v>-2.37</v>
      </c>
      <c r="N878" s="161">
        <v>0.01</v>
      </c>
      <c r="O878" s="164" t="s">
        <v>1760</v>
      </c>
    </row>
    <row r="879" spans="1:15" ht="43.2">
      <c r="A879" s="161" t="s">
        <v>3144</v>
      </c>
      <c r="B879" s="161" t="s">
        <v>1752</v>
      </c>
      <c r="C879" s="161" t="s">
        <v>1744</v>
      </c>
      <c r="D879" s="162">
        <v>44144</v>
      </c>
      <c r="E879" s="161" t="s">
        <v>3145</v>
      </c>
      <c r="F879" s="161" t="s">
        <v>1774</v>
      </c>
      <c r="G879" s="161">
        <v>8</v>
      </c>
      <c r="H879" s="161">
        <v>1</v>
      </c>
      <c r="I879" s="161">
        <v>9.1</v>
      </c>
      <c r="J879" s="161">
        <v>78.400000000000006</v>
      </c>
      <c r="K879" s="161"/>
      <c r="L879" s="163">
        <v>-3.04</v>
      </c>
      <c r="M879" s="163">
        <v>-3.66</v>
      </c>
      <c r="N879" s="161">
        <v>-1.5</v>
      </c>
      <c r="O879" s="164" t="s">
        <v>1760</v>
      </c>
    </row>
    <row r="880" spans="1:15" ht="57.6">
      <c r="A880" s="161" t="s">
        <v>3146</v>
      </c>
      <c r="B880" s="161" t="s">
        <v>1752</v>
      </c>
      <c r="C880" s="161" t="s">
        <v>1744</v>
      </c>
      <c r="D880" s="162">
        <v>44296</v>
      </c>
      <c r="E880" s="161" t="s">
        <v>3147</v>
      </c>
      <c r="F880" s="161" t="s">
        <v>1777</v>
      </c>
      <c r="G880" s="161">
        <v>2</v>
      </c>
      <c r="H880" s="161">
        <v>15</v>
      </c>
      <c r="I880" s="161">
        <v>9</v>
      </c>
      <c r="J880" s="161">
        <v>69.099999999999994</v>
      </c>
      <c r="K880" s="161"/>
      <c r="L880" s="163">
        <v>-2.5</v>
      </c>
      <c r="M880" s="163">
        <v>-5.96</v>
      </c>
      <c r="N880" s="161">
        <v>1.0900000000000001</v>
      </c>
      <c r="O880" s="164" t="s">
        <v>1757</v>
      </c>
    </row>
    <row r="881" spans="1:15" ht="43.2">
      <c r="A881" s="161" t="s">
        <v>3148</v>
      </c>
      <c r="B881" s="161" t="s">
        <v>1752</v>
      </c>
      <c r="C881" s="161" t="s">
        <v>1755</v>
      </c>
      <c r="D881" s="162">
        <v>44370</v>
      </c>
      <c r="E881" s="161" t="s">
        <v>2894</v>
      </c>
      <c r="F881" s="161" t="s">
        <v>1777</v>
      </c>
      <c r="G881" s="161">
        <v>2</v>
      </c>
      <c r="H881" s="161">
        <v>11</v>
      </c>
      <c r="I881" s="161">
        <v>8.8000000000000007</v>
      </c>
      <c r="J881" s="161">
        <v>77.3</v>
      </c>
      <c r="K881" s="161"/>
      <c r="L881" s="163">
        <v>-2.36</v>
      </c>
      <c r="M881" s="163">
        <v>-2.64</v>
      </c>
      <c r="N881" s="161">
        <v>-1.51</v>
      </c>
      <c r="O881" s="164" t="s">
        <v>1760</v>
      </c>
    </row>
    <row r="882" spans="1:15" ht="43.2">
      <c r="A882" s="161" t="s">
        <v>3149</v>
      </c>
      <c r="B882" s="161" t="s">
        <v>1743</v>
      </c>
      <c r="C882" s="161" t="s">
        <v>1755</v>
      </c>
      <c r="D882" s="162">
        <v>44443</v>
      </c>
      <c r="E882" s="161" t="s">
        <v>2509</v>
      </c>
      <c r="F882" s="161" t="s">
        <v>1777</v>
      </c>
      <c r="G882" s="161">
        <v>2</v>
      </c>
      <c r="H882" s="161">
        <v>10</v>
      </c>
      <c r="I882" s="161">
        <v>7.7</v>
      </c>
      <c r="J882" s="161">
        <v>74</v>
      </c>
      <c r="K882" s="161"/>
      <c r="L882" s="163">
        <v>-2.42</v>
      </c>
      <c r="M882" s="163">
        <v>-2.35</v>
      </c>
      <c r="N882" s="161">
        <v>-1.73</v>
      </c>
      <c r="O882" s="164" t="s">
        <v>1760</v>
      </c>
    </row>
    <row r="883" spans="1:15" ht="43.2">
      <c r="A883" s="161" t="s">
        <v>3150</v>
      </c>
      <c r="B883" s="161" t="s">
        <v>1752</v>
      </c>
      <c r="C883" s="161" t="s">
        <v>1749</v>
      </c>
      <c r="D883" s="162">
        <v>43669</v>
      </c>
      <c r="E883" s="161" t="s">
        <v>2898</v>
      </c>
      <c r="F883" s="161" t="s">
        <v>1777</v>
      </c>
      <c r="G883" s="161">
        <v>5</v>
      </c>
      <c r="H883" s="161">
        <v>1</v>
      </c>
      <c r="I883" s="161">
        <v>10</v>
      </c>
      <c r="J883" s="161">
        <v>86</v>
      </c>
      <c r="K883" s="161">
        <v>15.5</v>
      </c>
      <c r="L883" s="163">
        <v>-2.71</v>
      </c>
      <c r="M883" s="163">
        <v>-2.41</v>
      </c>
      <c r="N883" s="161">
        <v>-2.0299999999999998</v>
      </c>
      <c r="O883" s="164" t="s">
        <v>1747</v>
      </c>
    </row>
    <row r="884" spans="1:15" ht="43.2">
      <c r="A884" s="161" t="s">
        <v>3151</v>
      </c>
      <c r="B884" s="161" t="s">
        <v>1743</v>
      </c>
      <c r="C884" s="161" t="s">
        <v>1749</v>
      </c>
      <c r="D884" s="162">
        <v>43664</v>
      </c>
      <c r="E884" s="161" t="s">
        <v>2513</v>
      </c>
      <c r="F884" s="161" t="s">
        <v>1777</v>
      </c>
      <c r="G884" s="161">
        <v>3</v>
      </c>
      <c r="H884" s="161">
        <v>10</v>
      </c>
      <c r="I884" s="161">
        <v>8.9</v>
      </c>
      <c r="J884" s="161">
        <v>81</v>
      </c>
      <c r="K884" s="161">
        <v>13.2</v>
      </c>
      <c r="L884" s="163">
        <v>-3.29</v>
      </c>
      <c r="M884" s="163">
        <v>-3.21</v>
      </c>
      <c r="N884" s="161">
        <v>-1.85</v>
      </c>
      <c r="O884" s="164" t="s">
        <v>1760</v>
      </c>
    </row>
    <row r="885" spans="1:15" ht="57.6">
      <c r="A885" s="161" t="s">
        <v>3152</v>
      </c>
      <c r="B885" s="161" t="s">
        <v>1752</v>
      </c>
      <c r="C885" s="161" t="s">
        <v>1755</v>
      </c>
      <c r="D885" s="162">
        <v>44365</v>
      </c>
      <c r="E885" s="161" t="s">
        <v>3153</v>
      </c>
      <c r="F885" s="161" t="s">
        <v>1777</v>
      </c>
      <c r="G885" s="161">
        <v>4</v>
      </c>
      <c r="H885" s="161">
        <v>2</v>
      </c>
      <c r="I885" s="161">
        <v>7.9</v>
      </c>
      <c r="J885" s="161">
        <v>68</v>
      </c>
      <c r="K885" s="161"/>
      <c r="L885" s="163">
        <v>-1.54</v>
      </c>
      <c r="M885" s="163">
        <v>-2.68</v>
      </c>
      <c r="N885" s="161">
        <v>-0.1</v>
      </c>
      <c r="O885" s="164" t="s">
        <v>1760</v>
      </c>
    </row>
    <row r="886" spans="1:15" ht="43.2">
      <c r="A886" s="161" t="s">
        <v>3154</v>
      </c>
      <c r="B886" s="161" t="s">
        <v>1743</v>
      </c>
      <c r="C886" s="161" t="s">
        <v>1749</v>
      </c>
      <c r="D886" s="162">
        <v>43782</v>
      </c>
      <c r="E886" s="161" t="s">
        <v>2019</v>
      </c>
      <c r="F886" s="161" t="s">
        <v>1777</v>
      </c>
      <c r="G886" s="161">
        <v>1</v>
      </c>
      <c r="H886" s="161">
        <v>15</v>
      </c>
      <c r="I886" s="161">
        <v>9.1</v>
      </c>
      <c r="J886" s="161">
        <v>82</v>
      </c>
      <c r="K886" s="161">
        <v>46</v>
      </c>
      <c r="L886" s="163">
        <v>-2.66</v>
      </c>
      <c r="M886" s="163">
        <v>-2.2599999999999998</v>
      </c>
      <c r="N886" s="161">
        <v>-1.84</v>
      </c>
      <c r="O886" s="164" t="s">
        <v>1760</v>
      </c>
    </row>
    <row r="887" spans="1:15" ht="43.2">
      <c r="A887" s="161" t="s">
        <v>3155</v>
      </c>
      <c r="B887" s="161" t="s">
        <v>1752</v>
      </c>
      <c r="C887" s="161" t="s">
        <v>1749</v>
      </c>
      <c r="D887" s="162">
        <v>43892</v>
      </c>
      <c r="E887" s="161" t="s">
        <v>2905</v>
      </c>
      <c r="F887" s="161" t="s">
        <v>1777</v>
      </c>
      <c r="G887" s="161">
        <v>1</v>
      </c>
      <c r="H887" s="161">
        <v>15</v>
      </c>
      <c r="I887" s="161">
        <v>10.199999999999999</v>
      </c>
      <c r="J887" s="161">
        <v>80</v>
      </c>
      <c r="K887" s="161"/>
      <c r="L887" s="163">
        <v>-1.7</v>
      </c>
      <c r="M887" s="163">
        <v>-2.84</v>
      </c>
      <c r="N887" s="161">
        <v>-0.28999999999999998</v>
      </c>
      <c r="O887" s="164" t="s">
        <v>1760</v>
      </c>
    </row>
    <row r="888" spans="1:15" ht="43.2">
      <c r="A888" s="161" t="s">
        <v>3156</v>
      </c>
      <c r="B888" s="161" t="s">
        <v>1752</v>
      </c>
      <c r="C888" s="161" t="s">
        <v>1749</v>
      </c>
      <c r="D888" s="162">
        <v>43846</v>
      </c>
      <c r="E888" s="161" t="s">
        <v>3157</v>
      </c>
      <c r="F888" s="161" t="s">
        <v>1777</v>
      </c>
      <c r="G888" s="161">
        <v>1</v>
      </c>
      <c r="H888" s="161">
        <v>13</v>
      </c>
      <c r="I888" s="161">
        <v>11.7</v>
      </c>
      <c r="J888" s="161">
        <v>82</v>
      </c>
      <c r="K888" s="161"/>
      <c r="L888" s="163">
        <v>-0.77</v>
      </c>
      <c r="M888" s="163">
        <v>-2.41</v>
      </c>
      <c r="N888" s="161">
        <v>0.76</v>
      </c>
      <c r="O888" s="164" t="s">
        <v>1760</v>
      </c>
    </row>
    <row r="889" spans="1:15" ht="43.2">
      <c r="A889" s="161" t="s">
        <v>3158</v>
      </c>
      <c r="B889" s="161" t="s">
        <v>1743</v>
      </c>
      <c r="C889" s="161" t="s">
        <v>1749</v>
      </c>
      <c r="D889" s="162">
        <v>43721</v>
      </c>
      <c r="E889" s="161" t="s">
        <v>3159</v>
      </c>
      <c r="F889" s="161" t="s">
        <v>1777</v>
      </c>
      <c r="G889" s="161">
        <v>7</v>
      </c>
      <c r="H889" s="161">
        <v>13</v>
      </c>
      <c r="I889" s="161">
        <v>12</v>
      </c>
      <c r="J889" s="161">
        <v>83</v>
      </c>
      <c r="K889" s="161"/>
      <c r="L889" s="163">
        <v>-0.62</v>
      </c>
      <c r="M889" s="163">
        <v>-2.4300000000000002</v>
      </c>
      <c r="N889" s="161">
        <v>1.05</v>
      </c>
      <c r="O889" s="164" t="s">
        <v>1757</v>
      </c>
    </row>
    <row r="890" spans="1:15" ht="43.2">
      <c r="A890" s="161" t="s">
        <v>3160</v>
      </c>
      <c r="B890" s="161" t="s">
        <v>1752</v>
      </c>
      <c r="C890" s="161" t="s">
        <v>1749</v>
      </c>
      <c r="D890" s="162">
        <v>43818</v>
      </c>
      <c r="E890" s="161" t="s">
        <v>3161</v>
      </c>
      <c r="F890" s="161" t="s">
        <v>1777</v>
      </c>
      <c r="G890" s="161">
        <v>4</v>
      </c>
      <c r="H890" s="161">
        <v>13</v>
      </c>
      <c r="I890" s="161">
        <v>12.4</v>
      </c>
      <c r="J890" s="161">
        <v>82</v>
      </c>
      <c r="K890" s="161"/>
      <c r="L890" s="163">
        <v>-0.38</v>
      </c>
      <c r="M890" s="163">
        <v>-2.59</v>
      </c>
      <c r="N890" s="161">
        <v>1.45</v>
      </c>
      <c r="O890" s="164" t="s">
        <v>1757</v>
      </c>
    </row>
    <row r="891" spans="1:15" ht="43.2">
      <c r="A891" s="161" t="s">
        <v>3162</v>
      </c>
      <c r="B891" s="161" t="s">
        <v>1752</v>
      </c>
      <c r="C891" s="161" t="s">
        <v>1749</v>
      </c>
      <c r="D891" s="162">
        <v>43731</v>
      </c>
      <c r="E891" s="161" t="s">
        <v>3074</v>
      </c>
      <c r="F891" s="161" t="s">
        <v>2190</v>
      </c>
      <c r="G891" s="161">
        <v>1</v>
      </c>
      <c r="H891" s="161">
        <v>6</v>
      </c>
      <c r="I891" s="161">
        <v>12.7</v>
      </c>
      <c r="J891" s="161">
        <v>83</v>
      </c>
      <c r="K891" s="161"/>
      <c r="L891" s="163">
        <v>-0.51</v>
      </c>
      <c r="M891" s="163">
        <v>-2.8</v>
      </c>
      <c r="N891" s="161">
        <v>1.5</v>
      </c>
      <c r="O891" s="164" t="s">
        <v>1757</v>
      </c>
    </row>
    <row r="892" spans="1:15" ht="43.2">
      <c r="A892" s="161" t="s">
        <v>3163</v>
      </c>
      <c r="B892" s="161" t="s">
        <v>1743</v>
      </c>
      <c r="C892" s="161" t="s">
        <v>1749</v>
      </c>
      <c r="D892" s="162">
        <v>43652</v>
      </c>
      <c r="E892" s="161" t="s">
        <v>3164</v>
      </c>
      <c r="F892" s="161" t="s">
        <v>2190</v>
      </c>
      <c r="G892" s="161">
        <v>4</v>
      </c>
      <c r="H892" s="161">
        <v>6</v>
      </c>
      <c r="I892" s="161">
        <v>12.4</v>
      </c>
      <c r="J892" s="161">
        <v>84</v>
      </c>
      <c r="K892" s="161"/>
      <c r="L892" s="163">
        <v>-0.62</v>
      </c>
      <c r="M892" s="163">
        <v>-2.54</v>
      </c>
      <c r="N892" s="161">
        <v>1.17</v>
      </c>
      <c r="O892" s="164" t="s">
        <v>1757</v>
      </c>
    </row>
    <row r="893" spans="1:15" ht="43.2">
      <c r="A893" s="161" t="s">
        <v>3165</v>
      </c>
      <c r="B893" s="161" t="s">
        <v>1743</v>
      </c>
      <c r="C893" s="161" t="s">
        <v>1786</v>
      </c>
      <c r="D893" s="162">
        <v>43483</v>
      </c>
      <c r="E893" s="161" t="s">
        <v>3166</v>
      </c>
      <c r="F893" s="161" t="s">
        <v>2190</v>
      </c>
      <c r="G893" s="161">
        <v>3</v>
      </c>
      <c r="H893" s="161">
        <v>2</v>
      </c>
      <c r="I893" s="161">
        <v>12.3</v>
      </c>
      <c r="J893" s="161">
        <v>83</v>
      </c>
      <c r="K893" s="161"/>
      <c r="L893" s="163">
        <v>-1.26</v>
      </c>
      <c r="M893" s="163">
        <v>-3.6</v>
      </c>
      <c r="N893" s="161">
        <v>1.32</v>
      </c>
      <c r="O893" s="164" t="s">
        <v>1757</v>
      </c>
    </row>
    <row r="894" spans="1:15" ht="43.2">
      <c r="A894" s="161" t="s">
        <v>3167</v>
      </c>
      <c r="B894" s="161" t="s">
        <v>1743</v>
      </c>
      <c r="C894" s="161" t="s">
        <v>1749</v>
      </c>
      <c r="D894" s="162">
        <v>43748</v>
      </c>
      <c r="E894" s="161" t="s">
        <v>2285</v>
      </c>
      <c r="F894" s="161" t="s">
        <v>2190</v>
      </c>
      <c r="G894" s="161">
        <v>5</v>
      </c>
      <c r="H894" s="161">
        <v>2</v>
      </c>
      <c r="I894" s="161">
        <v>12.6</v>
      </c>
      <c r="J894" s="161">
        <v>83</v>
      </c>
      <c r="K894" s="161"/>
      <c r="L894" s="163">
        <v>-0.13</v>
      </c>
      <c r="M894" s="163">
        <v>-2.27</v>
      </c>
      <c r="N894" s="161">
        <v>1.58</v>
      </c>
      <c r="O894" s="164" t="s">
        <v>1757</v>
      </c>
    </row>
    <row r="895" spans="1:15" ht="43.2">
      <c r="A895" s="161" t="s">
        <v>3168</v>
      </c>
      <c r="B895" s="161" t="s">
        <v>1743</v>
      </c>
      <c r="C895" s="161" t="s">
        <v>1744</v>
      </c>
      <c r="D895" s="162">
        <v>44231</v>
      </c>
      <c r="E895" s="161" t="s">
        <v>2777</v>
      </c>
      <c r="F895" s="161" t="s">
        <v>2190</v>
      </c>
      <c r="G895" s="161">
        <v>1</v>
      </c>
      <c r="H895" s="161">
        <v>2</v>
      </c>
      <c r="I895" s="161">
        <v>9.4</v>
      </c>
      <c r="J895" s="161">
        <v>68</v>
      </c>
      <c r="K895" s="161"/>
      <c r="L895" s="163">
        <v>-0.1</v>
      </c>
      <c r="M895" s="163">
        <v>-3.34</v>
      </c>
      <c r="N895" s="161">
        <v>2.0499999999999998</v>
      </c>
      <c r="O895" s="164" t="s">
        <v>2078</v>
      </c>
    </row>
    <row r="896" spans="1:15" ht="43.2">
      <c r="A896" s="161" t="s">
        <v>3169</v>
      </c>
      <c r="B896" s="161" t="s">
        <v>1752</v>
      </c>
      <c r="C896" s="161" t="s">
        <v>1744</v>
      </c>
      <c r="D896" s="162">
        <v>43971</v>
      </c>
      <c r="E896" s="161" t="s">
        <v>2287</v>
      </c>
      <c r="F896" s="161" t="s">
        <v>2190</v>
      </c>
      <c r="G896" s="161">
        <v>5</v>
      </c>
      <c r="H896" s="161">
        <v>2</v>
      </c>
      <c r="I896" s="161">
        <v>11.6</v>
      </c>
      <c r="J896" s="161">
        <v>74</v>
      </c>
      <c r="K896" s="161"/>
      <c r="L896" s="163">
        <v>-0.28999999999999998</v>
      </c>
      <c r="M896" s="163">
        <v>-4.12</v>
      </c>
      <c r="N896" s="161">
        <v>2.39</v>
      </c>
      <c r="O896" s="164" t="s">
        <v>2078</v>
      </c>
    </row>
    <row r="897" spans="1:15" ht="57.6">
      <c r="A897" s="161" t="s">
        <v>3170</v>
      </c>
      <c r="B897" s="161" t="s">
        <v>1743</v>
      </c>
      <c r="C897" s="161" t="s">
        <v>1744</v>
      </c>
      <c r="D897" s="162">
        <v>44007</v>
      </c>
      <c r="E897" s="161" t="s">
        <v>2569</v>
      </c>
      <c r="F897" s="161" t="s">
        <v>2190</v>
      </c>
      <c r="G897" s="161">
        <v>3</v>
      </c>
      <c r="H897" s="161">
        <v>1</v>
      </c>
      <c r="I897" s="161">
        <v>11</v>
      </c>
      <c r="J897" s="161">
        <v>73</v>
      </c>
      <c r="K897" s="161"/>
      <c r="L897" s="163">
        <v>-0.04</v>
      </c>
      <c r="M897" s="163">
        <v>-3.49</v>
      </c>
      <c r="N897" s="161">
        <v>2.25</v>
      </c>
      <c r="O897" s="164" t="s">
        <v>2078</v>
      </c>
    </row>
    <row r="898" spans="1:15" ht="43.2">
      <c r="A898" s="161" t="s">
        <v>3171</v>
      </c>
      <c r="B898" s="161" t="s">
        <v>1752</v>
      </c>
      <c r="C898" s="161" t="s">
        <v>1749</v>
      </c>
      <c r="D898" s="162">
        <v>43840</v>
      </c>
      <c r="E898" s="161" t="s">
        <v>3059</v>
      </c>
      <c r="F898" s="161" t="s">
        <v>2190</v>
      </c>
      <c r="G898" s="161">
        <v>6</v>
      </c>
      <c r="H898" s="161">
        <v>1</v>
      </c>
      <c r="I898" s="161">
        <v>11.4</v>
      </c>
      <c r="J898" s="161">
        <v>74.099999999999994</v>
      </c>
      <c r="K898" s="161"/>
      <c r="L898" s="163">
        <v>-1.01</v>
      </c>
      <c r="M898" s="163">
        <v>-5.08</v>
      </c>
      <c r="N898" s="161">
        <v>2.35</v>
      </c>
      <c r="O898" s="164" t="s">
        <v>2078</v>
      </c>
    </row>
    <row r="899" spans="1:15" ht="57.6">
      <c r="A899" s="161" t="s">
        <v>3172</v>
      </c>
      <c r="B899" s="161" t="s">
        <v>1743</v>
      </c>
      <c r="C899" s="161" t="s">
        <v>1749</v>
      </c>
      <c r="D899" s="162">
        <v>43845</v>
      </c>
      <c r="E899" s="161" t="s">
        <v>3062</v>
      </c>
      <c r="F899" s="161" t="s">
        <v>2190</v>
      </c>
      <c r="G899" s="161">
        <v>7</v>
      </c>
      <c r="H899" s="161">
        <v>1</v>
      </c>
      <c r="I899" s="161">
        <v>11.7</v>
      </c>
      <c r="J899" s="161">
        <v>73.900000000000006</v>
      </c>
      <c r="K899" s="161"/>
      <c r="L899" s="163">
        <v>-0.31</v>
      </c>
      <c r="M899" s="163">
        <v>-4.51</v>
      </c>
      <c r="N899" s="161">
        <v>2.83</v>
      </c>
      <c r="O899" s="164" t="s">
        <v>2078</v>
      </c>
    </row>
    <row r="900" spans="1:15" ht="43.2">
      <c r="A900" s="161" t="s">
        <v>3173</v>
      </c>
      <c r="B900" s="161" t="s">
        <v>1743</v>
      </c>
      <c r="C900" s="161" t="s">
        <v>1749</v>
      </c>
      <c r="D900" s="162">
        <v>43885</v>
      </c>
      <c r="E900" s="161" t="s">
        <v>3069</v>
      </c>
      <c r="F900" s="161" t="s">
        <v>2190</v>
      </c>
      <c r="G900" s="161">
        <v>7</v>
      </c>
      <c r="H900" s="161">
        <v>2</v>
      </c>
      <c r="I900" s="161">
        <v>11.5</v>
      </c>
      <c r="J900" s="161">
        <v>73</v>
      </c>
      <c r="K900" s="161"/>
      <c r="L900" s="163">
        <v>-0.27</v>
      </c>
      <c r="M900" s="163">
        <v>-4.54</v>
      </c>
      <c r="N900" s="161">
        <v>2.85</v>
      </c>
      <c r="O900" s="164" t="s">
        <v>2078</v>
      </c>
    </row>
    <row r="901" spans="1:15" ht="43.2">
      <c r="A901" s="161" t="s">
        <v>3174</v>
      </c>
      <c r="B901" s="161" t="s">
        <v>1743</v>
      </c>
      <c r="C901" s="161" t="s">
        <v>1749</v>
      </c>
      <c r="D901" s="162">
        <v>43908</v>
      </c>
      <c r="E901" s="161" t="s">
        <v>3072</v>
      </c>
      <c r="F901" s="161" t="s">
        <v>2190</v>
      </c>
      <c r="G901" s="161">
        <v>3</v>
      </c>
      <c r="H901" s="161">
        <v>5</v>
      </c>
      <c r="I901" s="161">
        <v>11.4</v>
      </c>
      <c r="J901" s="161">
        <v>73</v>
      </c>
      <c r="K901" s="161"/>
      <c r="L901" s="163">
        <v>-0.23</v>
      </c>
      <c r="M901" s="163">
        <v>-4.4000000000000004</v>
      </c>
      <c r="N901" s="161">
        <v>2.77</v>
      </c>
      <c r="O901" s="164" t="s">
        <v>2078</v>
      </c>
    </row>
    <row r="902" spans="1:15" ht="43.2">
      <c r="A902" s="161" t="s">
        <v>3175</v>
      </c>
      <c r="B902" s="161" t="s">
        <v>1752</v>
      </c>
      <c r="C902" s="161" t="s">
        <v>1749</v>
      </c>
      <c r="D902" s="162">
        <v>43917</v>
      </c>
      <c r="E902" s="161" t="s">
        <v>3076</v>
      </c>
      <c r="F902" s="161" t="s">
        <v>2190</v>
      </c>
      <c r="G902" s="161">
        <v>8</v>
      </c>
      <c r="H902" s="161">
        <v>3</v>
      </c>
      <c r="I902" s="161">
        <v>11.9</v>
      </c>
      <c r="J902" s="161">
        <v>74.099999999999994</v>
      </c>
      <c r="K902" s="161"/>
      <c r="L902" s="163">
        <v>-0.31</v>
      </c>
      <c r="M902" s="163">
        <v>-4.66</v>
      </c>
      <c r="N902" s="161">
        <v>2.83</v>
      </c>
      <c r="O902" s="164" t="s">
        <v>2078</v>
      </c>
    </row>
    <row r="903" spans="1:15" ht="43.2">
      <c r="A903" s="161" t="s">
        <v>3176</v>
      </c>
      <c r="B903" s="161" t="s">
        <v>1752</v>
      </c>
      <c r="C903" s="161" t="s">
        <v>1744</v>
      </c>
      <c r="D903" s="162">
        <v>43952</v>
      </c>
      <c r="E903" s="161" t="s">
        <v>2816</v>
      </c>
      <c r="F903" s="161" t="s">
        <v>2190</v>
      </c>
      <c r="G903" s="161">
        <v>3</v>
      </c>
      <c r="H903" s="161">
        <v>4</v>
      </c>
      <c r="I903" s="161">
        <v>11.7</v>
      </c>
      <c r="J903" s="161">
        <v>73.599999999999994</v>
      </c>
      <c r="K903" s="161"/>
      <c r="L903" s="163">
        <v>-0.3</v>
      </c>
      <c r="M903" s="163">
        <v>-4.5999999999999996</v>
      </c>
      <c r="N903" s="161">
        <v>2.77</v>
      </c>
      <c r="O903" s="164" t="s">
        <v>2078</v>
      </c>
    </row>
    <row r="904" spans="1:15" ht="43.2">
      <c r="A904" s="161" t="s">
        <v>3177</v>
      </c>
      <c r="B904" s="161" t="s">
        <v>1752</v>
      </c>
      <c r="C904" s="161" t="s">
        <v>1744</v>
      </c>
      <c r="D904" s="162">
        <v>43952</v>
      </c>
      <c r="E904" s="161" t="s">
        <v>3078</v>
      </c>
      <c r="F904" s="161" t="s">
        <v>2190</v>
      </c>
      <c r="G904" s="161">
        <v>2</v>
      </c>
      <c r="H904" s="161">
        <v>3</v>
      </c>
      <c r="I904" s="161">
        <v>11.4</v>
      </c>
      <c r="J904" s="161">
        <v>73.2</v>
      </c>
      <c r="K904" s="161"/>
      <c r="L904" s="163">
        <v>-0.52</v>
      </c>
      <c r="M904" s="163">
        <v>-4.74</v>
      </c>
      <c r="N904" s="161">
        <v>2.58</v>
      </c>
      <c r="O904" s="164" t="s">
        <v>2078</v>
      </c>
    </row>
    <row r="905" spans="1:15" ht="57.6">
      <c r="A905" s="161" t="s">
        <v>3178</v>
      </c>
      <c r="B905" s="161" t="s">
        <v>1752</v>
      </c>
      <c r="C905" s="161" t="s">
        <v>1744</v>
      </c>
      <c r="D905" s="162">
        <v>44027</v>
      </c>
      <c r="E905" s="161" t="s">
        <v>3080</v>
      </c>
      <c r="F905" s="161" t="s">
        <v>2190</v>
      </c>
      <c r="G905" s="161">
        <v>1</v>
      </c>
      <c r="H905" s="161">
        <v>3</v>
      </c>
      <c r="I905" s="161">
        <v>12</v>
      </c>
      <c r="J905" s="161">
        <v>73.2</v>
      </c>
      <c r="K905" s="161"/>
      <c r="L905" s="163">
        <v>0.3</v>
      </c>
      <c r="M905" s="163">
        <v>-4.22</v>
      </c>
      <c r="N905" s="161">
        <v>3.16</v>
      </c>
      <c r="O905" s="164" t="s">
        <v>2170</v>
      </c>
    </row>
    <row r="906" spans="1:15" ht="43.2">
      <c r="A906" s="161" t="s">
        <v>3179</v>
      </c>
      <c r="B906" s="161" t="s">
        <v>1752</v>
      </c>
      <c r="C906" s="161" t="s">
        <v>1744</v>
      </c>
      <c r="D906" s="162">
        <v>44035</v>
      </c>
      <c r="E906" s="161" t="s">
        <v>2119</v>
      </c>
      <c r="F906" s="161" t="s">
        <v>1781</v>
      </c>
      <c r="G906" s="161">
        <v>2</v>
      </c>
      <c r="H906" s="161">
        <v>2</v>
      </c>
      <c r="I906" s="161">
        <v>11.9</v>
      </c>
      <c r="J906" s="161">
        <v>73.099999999999994</v>
      </c>
      <c r="K906" s="161"/>
      <c r="L906" s="163">
        <v>0.26</v>
      </c>
      <c r="M906" s="163">
        <v>-4.1900000000000004</v>
      </c>
      <c r="N906" s="161">
        <v>3.09</v>
      </c>
      <c r="O906" s="164" t="s">
        <v>2170</v>
      </c>
    </row>
    <row r="907" spans="1:15" ht="43.2">
      <c r="A907" s="161" t="s">
        <v>3180</v>
      </c>
      <c r="B907" s="161" t="s">
        <v>1752</v>
      </c>
      <c r="C907" s="161" t="s">
        <v>1744</v>
      </c>
      <c r="D907" s="162">
        <v>44048</v>
      </c>
      <c r="E907" s="161" t="s">
        <v>2926</v>
      </c>
      <c r="F907" s="161" t="s">
        <v>1781</v>
      </c>
      <c r="G907" s="161"/>
      <c r="H907" s="161">
        <v>3</v>
      </c>
      <c r="I907" s="161">
        <v>11</v>
      </c>
      <c r="J907" s="161">
        <v>74.2</v>
      </c>
      <c r="K907" s="161"/>
      <c r="L907" s="163">
        <v>-0.37</v>
      </c>
      <c r="M907" s="163">
        <v>-3.71</v>
      </c>
      <c r="N907" s="161">
        <v>1.92</v>
      </c>
      <c r="O907" s="164" t="s">
        <v>1757</v>
      </c>
    </row>
    <row r="908" spans="1:15" ht="43.2">
      <c r="A908" s="161" t="s">
        <v>3181</v>
      </c>
      <c r="B908" s="161" t="s">
        <v>1752</v>
      </c>
      <c r="C908" s="161" t="s">
        <v>1744</v>
      </c>
      <c r="D908" s="162">
        <v>44068</v>
      </c>
      <c r="E908" s="161" t="s">
        <v>2824</v>
      </c>
      <c r="F908" s="161" t="s">
        <v>1781</v>
      </c>
      <c r="G908" s="161">
        <v>1</v>
      </c>
      <c r="H908" s="161">
        <v>3</v>
      </c>
      <c r="I908" s="161">
        <v>11.6</v>
      </c>
      <c r="J908" s="161">
        <v>72.900000000000006</v>
      </c>
      <c r="K908" s="161"/>
      <c r="L908" s="163">
        <v>0.21</v>
      </c>
      <c r="M908" s="163">
        <v>-4</v>
      </c>
      <c r="N908" s="161">
        <v>2.86</v>
      </c>
      <c r="O908" s="164" t="s">
        <v>2078</v>
      </c>
    </row>
    <row r="909" spans="1:15" ht="43.2">
      <c r="A909" s="161" t="s">
        <v>3182</v>
      </c>
      <c r="B909" s="161" t="s">
        <v>1743</v>
      </c>
      <c r="C909" s="161" t="s">
        <v>1744</v>
      </c>
      <c r="D909" s="162">
        <v>44104</v>
      </c>
      <c r="E909" s="161" t="s">
        <v>2822</v>
      </c>
      <c r="F909" s="161" t="s">
        <v>1781</v>
      </c>
      <c r="G909" s="161">
        <v>2</v>
      </c>
      <c r="H909" s="161">
        <v>12</v>
      </c>
      <c r="I909" s="161">
        <v>12.7</v>
      </c>
      <c r="J909" s="161">
        <v>73.400000000000006</v>
      </c>
      <c r="K909" s="161"/>
      <c r="L909" s="163">
        <v>1.59</v>
      </c>
      <c r="M909" s="163">
        <v>-2.74</v>
      </c>
      <c r="N909" s="161">
        <v>3.84</v>
      </c>
      <c r="O909" s="164" t="s">
        <v>2170</v>
      </c>
    </row>
    <row r="910" spans="1:15" ht="43.2">
      <c r="A910" s="161" t="s">
        <v>3183</v>
      </c>
      <c r="B910" s="161" t="s">
        <v>1743</v>
      </c>
      <c r="C910" s="161" t="s">
        <v>1744</v>
      </c>
      <c r="D910" s="162">
        <v>44111</v>
      </c>
      <c r="E910" s="161" t="s">
        <v>2320</v>
      </c>
      <c r="F910" s="161" t="s">
        <v>1781</v>
      </c>
      <c r="G910" s="161">
        <v>3</v>
      </c>
      <c r="H910" s="161">
        <v>11</v>
      </c>
      <c r="I910" s="161">
        <v>12</v>
      </c>
      <c r="J910" s="161">
        <v>73.2</v>
      </c>
      <c r="K910" s="161"/>
      <c r="L910" s="163">
        <v>1.18</v>
      </c>
      <c r="M910" s="163">
        <v>-2.74</v>
      </c>
      <c r="N910" s="161">
        <v>3.25</v>
      </c>
      <c r="O910" s="164" t="s">
        <v>2170</v>
      </c>
    </row>
    <row r="911" spans="1:15" ht="43.2">
      <c r="A911" s="161" t="s">
        <v>3184</v>
      </c>
      <c r="B911" s="161" t="s">
        <v>1743</v>
      </c>
      <c r="C911" s="161" t="s">
        <v>1744</v>
      </c>
      <c r="D911" s="162">
        <v>44131</v>
      </c>
      <c r="E911" s="161" t="s">
        <v>2596</v>
      </c>
      <c r="F911" s="161" t="s">
        <v>1781</v>
      </c>
      <c r="G911" s="161">
        <v>2</v>
      </c>
      <c r="H911" s="161">
        <v>13</v>
      </c>
      <c r="I911" s="161">
        <v>11.8</v>
      </c>
      <c r="J911" s="161">
        <v>73.7</v>
      </c>
      <c r="K911" s="161"/>
      <c r="L911" s="163">
        <v>1.1599999999999999</v>
      </c>
      <c r="M911" s="163">
        <v>-2.37</v>
      </c>
      <c r="N911" s="161">
        <v>2.96</v>
      </c>
      <c r="O911" s="164" t="s">
        <v>2078</v>
      </c>
    </row>
    <row r="912" spans="1:15" ht="43.2">
      <c r="A912" s="161" t="s">
        <v>3185</v>
      </c>
      <c r="B912" s="161" t="s">
        <v>1752</v>
      </c>
      <c r="C912" s="161" t="s">
        <v>1744</v>
      </c>
      <c r="D912" s="162">
        <v>44180</v>
      </c>
      <c r="E912" s="161" t="s">
        <v>3186</v>
      </c>
      <c r="F912" s="161" t="s">
        <v>1781</v>
      </c>
      <c r="G912" s="161">
        <v>3</v>
      </c>
      <c r="H912" s="161">
        <v>12</v>
      </c>
      <c r="I912" s="161">
        <v>11.2</v>
      </c>
      <c r="J912" s="161">
        <v>73.599999999999994</v>
      </c>
      <c r="K912" s="161"/>
      <c r="L912" s="163">
        <v>0.52</v>
      </c>
      <c r="M912" s="163">
        <v>-2.65</v>
      </c>
      <c r="N912" s="161">
        <v>2.2799999999999998</v>
      </c>
      <c r="O912" s="164" t="s">
        <v>2078</v>
      </c>
    </row>
    <row r="913" spans="1:15" ht="28.8">
      <c r="A913" s="161" t="s">
        <v>3187</v>
      </c>
      <c r="B913" s="161" t="s">
        <v>1752</v>
      </c>
      <c r="C913" s="161" t="s">
        <v>1744</v>
      </c>
      <c r="D913" s="162">
        <v>44197</v>
      </c>
      <c r="E913" s="161" t="s">
        <v>3188</v>
      </c>
      <c r="F913" s="161" t="s">
        <v>1784</v>
      </c>
      <c r="G913" s="161">
        <v>5</v>
      </c>
      <c r="H913" s="161">
        <v>6</v>
      </c>
      <c r="I913" s="161">
        <v>10.199999999999999</v>
      </c>
      <c r="J913" s="161">
        <v>71.3</v>
      </c>
      <c r="K913" s="161"/>
      <c r="L913" s="163">
        <v>-0.23</v>
      </c>
      <c r="M913" s="163">
        <v>-3.35</v>
      </c>
      <c r="N913" s="161">
        <v>1.86</v>
      </c>
      <c r="O913" s="164" t="s">
        <v>1757</v>
      </c>
    </row>
    <row r="914" spans="1:15" ht="28.8">
      <c r="A914" s="161" t="s">
        <v>3189</v>
      </c>
      <c r="B914" s="161" t="s">
        <v>1743</v>
      </c>
      <c r="C914" s="161" t="s">
        <v>1744</v>
      </c>
      <c r="D914" s="162">
        <v>44259</v>
      </c>
      <c r="E914" s="161" t="s">
        <v>2326</v>
      </c>
      <c r="F914" s="161" t="s">
        <v>1784</v>
      </c>
      <c r="G914" s="161">
        <v>7</v>
      </c>
      <c r="H914" s="161">
        <v>7</v>
      </c>
      <c r="I914" s="161">
        <v>10.199999999999999</v>
      </c>
      <c r="J914" s="161">
        <v>68.7</v>
      </c>
      <c r="K914" s="161"/>
      <c r="L914" s="163">
        <v>0.73</v>
      </c>
      <c r="M914" s="163">
        <v>-2.74</v>
      </c>
      <c r="N914" s="161">
        <v>2.69</v>
      </c>
      <c r="O914" s="164" t="s">
        <v>2078</v>
      </c>
    </row>
    <row r="915" spans="1:15" ht="28.8">
      <c r="A915" s="161" t="s">
        <v>3190</v>
      </c>
      <c r="B915" s="161" t="s">
        <v>1743</v>
      </c>
      <c r="C915" s="161" t="s">
        <v>1744</v>
      </c>
      <c r="D915" s="162">
        <v>44285</v>
      </c>
      <c r="E915" s="161" t="s">
        <v>1798</v>
      </c>
      <c r="F915" s="161" t="s">
        <v>1784</v>
      </c>
      <c r="G915" s="161">
        <v>4</v>
      </c>
      <c r="H915" s="161">
        <v>5</v>
      </c>
      <c r="I915" s="161">
        <v>9.5</v>
      </c>
      <c r="J915" s="161">
        <v>68</v>
      </c>
      <c r="K915" s="161"/>
      <c r="L915" s="163">
        <v>0.32</v>
      </c>
      <c r="M915" s="163">
        <v>-2.67</v>
      </c>
      <c r="N915" s="161">
        <v>2.16</v>
      </c>
      <c r="O915" s="164" t="s">
        <v>2078</v>
      </c>
    </row>
    <row r="916" spans="1:15" ht="28.8">
      <c r="A916" s="161" t="s">
        <v>3191</v>
      </c>
      <c r="B916" s="161" t="s">
        <v>1752</v>
      </c>
      <c r="C916" s="161" t="s">
        <v>1755</v>
      </c>
      <c r="D916" s="162">
        <v>44314</v>
      </c>
      <c r="E916" s="161" t="s">
        <v>2036</v>
      </c>
      <c r="F916" s="161" t="s">
        <v>1784</v>
      </c>
      <c r="G916" s="161">
        <v>2</v>
      </c>
      <c r="H916" s="161">
        <v>4</v>
      </c>
      <c r="I916" s="161">
        <v>9.1</v>
      </c>
      <c r="J916" s="161">
        <v>65.3</v>
      </c>
      <c r="K916" s="161"/>
      <c r="L916" s="163">
        <v>-0.5</v>
      </c>
      <c r="M916" s="163">
        <v>-4.34</v>
      </c>
      <c r="N916" s="161">
        <v>2.52</v>
      </c>
      <c r="O916" s="164" t="s">
        <v>2078</v>
      </c>
    </row>
    <row r="917" spans="1:15" ht="28.8">
      <c r="A917" s="161" t="s">
        <v>3192</v>
      </c>
      <c r="B917" s="161" t="s">
        <v>1743</v>
      </c>
      <c r="C917" s="161" t="s">
        <v>1755</v>
      </c>
      <c r="D917" s="162">
        <v>44319</v>
      </c>
      <c r="E917" s="161" t="s">
        <v>1802</v>
      </c>
      <c r="F917" s="161" t="s">
        <v>1784</v>
      </c>
      <c r="G917" s="161">
        <v>3</v>
      </c>
      <c r="H917" s="161">
        <v>7</v>
      </c>
      <c r="I917" s="161">
        <v>9.4</v>
      </c>
      <c r="J917" s="161">
        <v>64.2</v>
      </c>
      <c r="K917" s="161"/>
      <c r="L917" s="163">
        <v>0.46</v>
      </c>
      <c r="M917" s="163">
        <v>-3.69</v>
      </c>
      <c r="N917" s="161">
        <v>3.22</v>
      </c>
      <c r="O917" s="164" t="s">
        <v>2170</v>
      </c>
    </row>
    <row r="918" spans="1:15" ht="43.2">
      <c r="A918" s="161" t="s">
        <v>3193</v>
      </c>
      <c r="B918" s="161" t="s">
        <v>1743</v>
      </c>
      <c r="C918" s="161" t="s">
        <v>1755</v>
      </c>
      <c r="D918" s="162">
        <v>44322</v>
      </c>
      <c r="E918" s="161" t="s">
        <v>2957</v>
      </c>
      <c r="F918" s="161" t="s">
        <v>1807</v>
      </c>
      <c r="G918" s="161">
        <v>5</v>
      </c>
      <c r="H918" s="161">
        <v>2</v>
      </c>
      <c r="I918" s="161">
        <v>9.5</v>
      </c>
      <c r="J918" s="161">
        <v>64.3</v>
      </c>
      <c r="K918" s="161"/>
      <c r="L918" s="163">
        <v>0.56999999999999995</v>
      </c>
      <c r="M918" s="163">
        <v>-3.61</v>
      </c>
      <c r="N918" s="161">
        <v>3.3</v>
      </c>
      <c r="O918" s="164" t="s">
        <v>2170</v>
      </c>
    </row>
    <row r="919" spans="1:15" ht="43.2">
      <c r="A919" s="161" t="s">
        <v>3194</v>
      </c>
      <c r="B919" s="161" t="s">
        <v>1743</v>
      </c>
      <c r="C919" s="161" t="s">
        <v>1755</v>
      </c>
      <c r="D919" s="162">
        <v>44664</v>
      </c>
      <c r="E919" s="161" t="s">
        <v>2843</v>
      </c>
      <c r="F919" s="161" t="s">
        <v>1807</v>
      </c>
      <c r="G919" s="161">
        <v>4</v>
      </c>
      <c r="H919" s="161">
        <v>4</v>
      </c>
      <c r="I919" s="161">
        <v>2.6</v>
      </c>
      <c r="J919" s="161">
        <v>45</v>
      </c>
      <c r="K919" s="161"/>
      <c r="L919" s="163">
        <v>-1.47</v>
      </c>
      <c r="M919" s="163">
        <v>-2.23</v>
      </c>
      <c r="N919" s="161">
        <v>0.6</v>
      </c>
      <c r="O919" s="164" t="s">
        <v>1760</v>
      </c>
    </row>
    <row r="920" spans="1:15" ht="43.2">
      <c r="A920" s="161" t="s">
        <v>3195</v>
      </c>
      <c r="B920" s="161" t="s">
        <v>1743</v>
      </c>
      <c r="C920" s="161" t="s">
        <v>1786</v>
      </c>
      <c r="D920" s="162">
        <v>43240</v>
      </c>
      <c r="E920" s="161" t="s">
        <v>2948</v>
      </c>
      <c r="F920" s="161" t="s">
        <v>1807</v>
      </c>
      <c r="G920" s="161">
        <v>8</v>
      </c>
      <c r="H920" s="161">
        <v>2</v>
      </c>
      <c r="I920" s="161">
        <v>15</v>
      </c>
      <c r="J920" s="161">
        <v>91</v>
      </c>
      <c r="K920" s="161"/>
      <c r="L920" s="163">
        <v>-0.4</v>
      </c>
      <c r="M920" s="163">
        <v>-2.57</v>
      </c>
      <c r="N920" s="161">
        <v>1.65</v>
      </c>
      <c r="O920" s="164" t="s">
        <v>1757</v>
      </c>
    </row>
    <row r="921" spans="1:15" ht="43.2">
      <c r="A921" s="161" t="s">
        <v>3196</v>
      </c>
      <c r="B921" s="161" t="s">
        <v>1752</v>
      </c>
      <c r="C921" s="161" t="s">
        <v>1744</v>
      </c>
      <c r="D921" s="162">
        <v>44148</v>
      </c>
      <c r="E921" s="161" t="s">
        <v>2963</v>
      </c>
      <c r="F921" s="161" t="s">
        <v>1807</v>
      </c>
      <c r="G921" s="161">
        <v>3</v>
      </c>
      <c r="H921" s="161">
        <v>2</v>
      </c>
      <c r="I921" s="161">
        <v>8.5</v>
      </c>
      <c r="J921" s="161">
        <v>75</v>
      </c>
      <c r="K921" s="161"/>
      <c r="L921" s="163">
        <v>-2.0699999999999998</v>
      </c>
      <c r="M921" s="163">
        <v>-2.3199999999999998</v>
      </c>
      <c r="N921" s="161">
        <v>-1.37</v>
      </c>
      <c r="O921" s="164" t="s">
        <v>1760</v>
      </c>
    </row>
    <row r="922" spans="1:15" ht="57.6">
      <c r="A922" s="161" t="s">
        <v>3197</v>
      </c>
      <c r="B922" s="161" t="s">
        <v>1752</v>
      </c>
      <c r="C922" s="161" t="s">
        <v>1744</v>
      </c>
      <c r="D922" s="162">
        <v>44217</v>
      </c>
      <c r="E922" s="161" t="s">
        <v>2611</v>
      </c>
      <c r="F922" s="161" t="s">
        <v>1807</v>
      </c>
      <c r="G922" s="161">
        <v>1</v>
      </c>
      <c r="H922" s="161">
        <v>4</v>
      </c>
      <c r="I922" s="161">
        <v>8.1999999999999993</v>
      </c>
      <c r="J922" s="161">
        <v>72</v>
      </c>
      <c r="K922" s="161"/>
      <c r="L922" s="163">
        <v>-2</v>
      </c>
      <c r="M922" s="163">
        <v>-2.67</v>
      </c>
      <c r="N922" s="161">
        <v>-0.96</v>
      </c>
      <c r="O922" s="164" t="s">
        <v>1760</v>
      </c>
    </row>
    <row r="923" spans="1:15" ht="43.2">
      <c r="A923" s="161" t="s">
        <v>3198</v>
      </c>
      <c r="B923" s="161" t="s">
        <v>1752</v>
      </c>
      <c r="C923" s="161" t="s">
        <v>1786</v>
      </c>
      <c r="D923" s="162">
        <v>43383</v>
      </c>
      <c r="E923" s="161" t="s">
        <v>2951</v>
      </c>
      <c r="F923" s="161" t="s">
        <v>1807</v>
      </c>
      <c r="G923" s="161">
        <v>2</v>
      </c>
      <c r="H923" s="161">
        <v>4</v>
      </c>
      <c r="I923" s="161">
        <v>12.1</v>
      </c>
      <c r="J923" s="161">
        <v>90</v>
      </c>
      <c r="K923" s="161"/>
      <c r="L923" s="163">
        <v>-1.93</v>
      </c>
      <c r="M923" s="163">
        <v>-2.66</v>
      </c>
      <c r="N923" s="161">
        <v>-0.63</v>
      </c>
      <c r="O923" s="164" t="s">
        <v>1760</v>
      </c>
    </row>
    <row r="924" spans="1:15" ht="43.2">
      <c r="A924" s="161" t="s">
        <v>3199</v>
      </c>
      <c r="B924" s="161" t="s">
        <v>1752</v>
      </c>
      <c r="C924" s="161" t="s">
        <v>1744</v>
      </c>
      <c r="D924" s="162">
        <v>44028</v>
      </c>
      <c r="E924" s="161" t="s">
        <v>2968</v>
      </c>
      <c r="F924" s="161" t="s">
        <v>1807</v>
      </c>
      <c r="G924" s="161">
        <v>3</v>
      </c>
      <c r="H924" s="161">
        <v>1</v>
      </c>
      <c r="I924" s="161">
        <v>11.5</v>
      </c>
      <c r="J924" s="161">
        <v>78</v>
      </c>
      <c r="K924" s="161"/>
      <c r="L924" s="163">
        <v>-0.01</v>
      </c>
      <c r="M924" s="163">
        <v>-2.4300000000000002</v>
      </c>
      <c r="N924" s="161">
        <v>1.55</v>
      </c>
      <c r="O924" s="164" t="s">
        <v>1757</v>
      </c>
    </row>
    <row r="925" spans="1:15" ht="43.2">
      <c r="A925" s="161" t="s">
        <v>3200</v>
      </c>
      <c r="B925" s="161" t="s">
        <v>1752</v>
      </c>
      <c r="C925" s="161" t="s">
        <v>1749</v>
      </c>
      <c r="D925" s="162">
        <v>43686</v>
      </c>
      <c r="E925" s="161" t="s">
        <v>3201</v>
      </c>
      <c r="F925" s="161" t="s">
        <v>1807</v>
      </c>
      <c r="G925" s="161">
        <v>6</v>
      </c>
      <c r="H925" s="161">
        <v>4</v>
      </c>
      <c r="I925" s="161">
        <v>12</v>
      </c>
      <c r="J925" s="161">
        <v>84</v>
      </c>
      <c r="K925" s="161"/>
      <c r="L925" s="163">
        <v>-1.1399999999999999</v>
      </c>
      <c r="M925" s="163">
        <v>-2.75</v>
      </c>
      <c r="N925" s="161">
        <v>0.59</v>
      </c>
      <c r="O925" s="164" t="s">
        <v>1760</v>
      </c>
    </row>
    <row r="926" spans="1:15" ht="43.2">
      <c r="A926" s="161" t="s">
        <v>3202</v>
      </c>
      <c r="B926" s="161" t="s">
        <v>1743</v>
      </c>
      <c r="C926" s="161" t="s">
        <v>1786</v>
      </c>
      <c r="D926" s="162">
        <v>43512</v>
      </c>
      <c r="E926" s="161" t="s">
        <v>3203</v>
      </c>
      <c r="F926" s="161" t="s">
        <v>1746</v>
      </c>
      <c r="G926" s="161">
        <v>2</v>
      </c>
      <c r="H926" s="161">
        <v>4</v>
      </c>
      <c r="I926" s="161">
        <v>12</v>
      </c>
      <c r="J926" s="161">
        <v>83</v>
      </c>
      <c r="K926" s="161"/>
      <c r="L926" s="163">
        <v>-1.36</v>
      </c>
      <c r="M926" s="163">
        <v>-3.48</v>
      </c>
      <c r="N926" s="161">
        <v>1.05</v>
      </c>
      <c r="O926" s="164" t="s">
        <v>1757</v>
      </c>
    </row>
    <row r="927" spans="1:15" ht="72">
      <c r="A927" s="161" t="s">
        <v>3204</v>
      </c>
      <c r="B927" s="161" t="s">
        <v>1752</v>
      </c>
      <c r="C927" s="161" t="s">
        <v>1749</v>
      </c>
      <c r="D927" s="162">
        <v>43695</v>
      </c>
      <c r="E927" s="161" t="s">
        <v>2970</v>
      </c>
      <c r="F927" s="161" t="s">
        <v>1746</v>
      </c>
      <c r="G927" s="161">
        <v>5</v>
      </c>
      <c r="H927" s="161">
        <v>3</v>
      </c>
      <c r="I927" s="161">
        <v>11.9</v>
      </c>
      <c r="J927" s="161">
        <v>84</v>
      </c>
      <c r="K927" s="161"/>
      <c r="L927" s="163">
        <v>-1.19</v>
      </c>
      <c r="M927" s="163">
        <v>-2.71</v>
      </c>
      <c r="N927" s="161">
        <v>0.49</v>
      </c>
      <c r="O927" s="164" t="s">
        <v>1760</v>
      </c>
    </row>
    <row r="928" spans="1:15" ht="43.2">
      <c r="A928" s="161" t="s">
        <v>3205</v>
      </c>
      <c r="B928" s="161" t="s">
        <v>1743</v>
      </c>
      <c r="C928" s="161" t="s">
        <v>1744</v>
      </c>
      <c r="D928" s="162">
        <v>44111</v>
      </c>
      <c r="E928" s="161" t="s">
        <v>2376</v>
      </c>
      <c r="F928" s="161" t="s">
        <v>1746</v>
      </c>
      <c r="G928" s="161">
        <v>4</v>
      </c>
      <c r="H928" s="161">
        <v>1</v>
      </c>
      <c r="I928" s="161">
        <v>11</v>
      </c>
      <c r="J928" s="161">
        <v>73.7</v>
      </c>
      <c r="K928" s="161"/>
      <c r="L928" s="163">
        <v>0.5</v>
      </c>
      <c r="M928" s="163">
        <v>-2.57</v>
      </c>
      <c r="N928" s="161">
        <v>2.25</v>
      </c>
      <c r="O928" s="164" t="s">
        <v>2078</v>
      </c>
    </row>
    <row r="929" spans="1:15" ht="28.8">
      <c r="A929" s="161" t="s">
        <v>3206</v>
      </c>
      <c r="B929" s="161" t="s">
        <v>1752</v>
      </c>
      <c r="C929" s="161" t="s">
        <v>1744</v>
      </c>
      <c r="D929" s="162">
        <v>44179</v>
      </c>
      <c r="E929" s="161" t="s">
        <v>2388</v>
      </c>
      <c r="F929" s="161" t="s">
        <v>1746</v>
      </c>
      <c r="G929" s="161">
        <v>1</v>
      </c>
      <c r="H929" s="161">
        <v>2</v>
      </c>
      <c r="I929" s="161">
        <v>11</v>
      </c>
      <c r="J929" s="161">
        <v>74.2</v>
      </c>
      <c r="K929" s="161"/>
      <c r="L929" s="163">
        <v>0.35</v>
      </c>
      <c r="M929" s="163">
        <v>-2.4300000000000002</v>
      </c>
      <c r="N929" s="161">
        <v>1.92</v>
      </c>
      <c r="O929" s="164" t="s">
        <v>1757</v>
      </c>
    </row>
    <row r="930" spans="1:15" ht="28.8">
      <c r="A930" s="161" t="s">
        <v>3207</v>
      </c>
      <c r="B930" s="161" t="s">
        <v>1752</v>
      </c>
      <c r="C930" s="161" t="s">
        <v>1755</v>
      </c>
      <c r="D930" s="162">
        <v>44358</v>
      </c>
      <c r="E930" s="161" t="s">
        <v>2354</v>
      </c>
      <c r="F930" s="161" t="s">
        <v>1746</v>
      </c>
      <c r="G930" s="161">
        <v>1</v>
      </c>
      <c r="H930" s="161">
        <v>7</v>
      </c>
      <c r="I930" s="161">
        <v>8.5</v>
      </c>
      <c r="J930" s="161">
        <v>61</v>
      </c>
      <c r="K930" s="161"/>
      <c r="L930" s="163">
        <v>-0.79</v>
      </c>
      <c r="M930" s="163">
        <v>-5.56</v>
      </c>
      <c r="N930" s="161">
        <v>3.53</v>
      </c>
      <c r="O930" s="164" t="s">
        <v>2170</v>
      </c>
    </row>
    <row r="931" spans="1:15" ht="28.8">
      <c r="A931" s="161" t="s">
        <v>3208</v>
      </c>
      <c r="B931" s="161" t="s">
        <v>1752</v>
      </c>
      <c r="C931" s="161" t="s">
        <v>1786</v>
      </c>
      <c r="D931" s="162">
        <v>43417</v>
      </c>
      <c r="E931" s="161" t="s">
        <v>3209</v>
      </c>
      <c r="F931" s="161" t="s">
        <v>1746</v>
      </c>
      <c r="G931" s="161">
        <v>7</v>
      </c>
      <c r="H931" s="161">
        <v>1</v>
      </c>
      <c r="I931" s="161">
        <v>12.7</v>
      </c>
      <c r="J931" s="161">
        <v>92</v>
      </c>
      <c r="K931" s="161"/>
      <c r="L931" s="163">
        <v>-1.44</v>
      </c>
      <c r="M931" s="163">
        <v>-2.0099999999999998</v>
      </c>
      <c r="N931" s="161">
        <v>-0.48</v>
      </c>
      <c r="O931" s="164" t="s">
        <v>1760</v>
      </c>
    </row>
    <row r="932" spans="1:15" ht="43.2">
      <c r="A932" s="161" t="s">
        <v>3210</v>
      </c>
      <c r="B932" s="161" t="s">
        <v>1743</v>
      </c>
      <c r="C932" s="161" t="s">
        <v>1749</v>
      </c>
      <c r="D932" s="162">
        <v>43923</v>
      </c>
      <c r="E932" s="161" t="s">
        <v>2279</v>
      </c>
      <c r="F932" s="161" t="s">
        <v>1746</v>
      </c>
      <c r="G932" s="161">
        <v>3</v>
      </c>
      <c r="H932" s="161">
        <v>11</v>
      </c>
      <c r="I932" s="161">
        <v>10</v>
      </c>
      <c r="J932" s="161">
        <v>80</v>
      </c>
      <c r="K932" s="161"/>
      <c r="L932" s="163">
        <v>-1.17</v>
      </c>
      <c r="M932" s="163">
        <v>-2.0499999999999998</v>
      </c>
      <c r="N932" s="161">
        <v>-0.1</v>
      </c>
      <c r="O932" s="164" t="s">
        <v>1760</v>
      </c>
    </row>
    <row r="933" spans="1:15" ht="28.8">
      <c r="A933" s="161" t="s">
        <v>3211</v>
      </c>
      <c r="B933" s="161" t="s">
        <v>1752</v>
      </c>
      <c r="C933" s="161" t="s">
        <v>1755</v>
      </c>
      <c r="D933" s="162">
        <v>44533</v>
      </c>
      <c r="E933" s="161" t="s">
        <v>3212</v>
      </c>
      <c r="F933" s="161" t="s">
        <v>1746</v>
      </c>
      <c r="G933" s="161">
        <v>1</v>
      </c>
      <c r="H933" s="161">
        <v>10</v>
      </c>
      <c r="I933" s="161">
        <v>6</v>
      </c>
      <c r="J933" s="161">
        <v>59</v>
      </c>
      <c r="K933" s="161"/>
      <c r="L933" s="163">
        <v>-1.69</v>
      </c>
      <c r="M933" s="163">
        <v>-2.83</v>
      </c>
      <c r="N933" s="161">
        <v>0.59</v>
      </c>
      <c r="O933" s="164" t="s">
        <v>1760</v>
      </c>
    </row>
    <row r="934" spans="1:15" ht="43.2">
      <c r="A934" s="161" t="s">
        <v>3213</v>
      </c>
      <c r="B934" s="161" t="s">
        <v>1752</v>
      </c>
      <c r="C934" s="161" t="s">
        <v>1755</v>
      </c>
      <c r="D934" s="162">
        <v>44541</v>
      </c>
      <c r="E934" s="161" t="s">
        <v>2495</v>
      </c>
      <c r="F934" s="161" t="s">
        <v>1769</v>
      </c>
      <c r="G934" s="161">
        <v>6</v>
      </c>
      <c r="H934" s="161">
        <v>5</v>
      </c>
      <c r="I934" s="161">
        <v>6</v>
      </c>
      <c r="J934" s="161">
        <v>59</v>
      </c>
      <c r="K934" s="161"/>
      <c r="L934" s="163">
        <v>-1.52</v>
      </c>
      <c r="M934" s="163">
        <v>-2.59</v>
      </c>
      <c r="N934" s="161">
        <v>0.59</v>
      </c>
      <c r="O934" s="164" t="s">
        <v>1760</v>
      </c>
    </row>
    <row r="935" spans="1:15" ht="72">
      <c r="A935" s="161" t="s">
        <v>3214</v>
      </c>
      <c r="B935" s="161" t="s">
        <v>1752</v>
      </c>
      <c r="C935" s="161" t="s">
        <v>1755</v>
      </c>
      <c r="D935" s="162">
        <v>44425</v>
      </c>
      <c r="E935" s="161" t="s">
        <v>2656</v>
      </c>
      <c r="F935" s="161" t="s">
        <v>1769</v>
      </c>
      <c r="G935" s="161">
        <v>4</v>
      </c>
      <c r="H935" s="161">
        <v>1</v>
      </c>
      <c r="I935" s="161">
        <v>7</v>
      </c>
      <c r="J935" s="161">
        <v>64</v>
      </c>
      <c r="K935" s="161"/>
      <c r="L935" s="163">
        <v>-1.81</v>
      </c>
      <c r="M935" s="163">
        <v>-2.85</v>
      </c>
      <c r="N935" s="161">
        <v>-0.04</v>
      </c>
      <c r="O935" s="164" t="s">
        <v>1760</v>
      </c>
    </row>
    <row r="936" spans="1:15" ht="57.6">
      <c r="A936" s="161" t="s">
        <v>3215</v>
      </c>
      <c r="B936" s="161" t="s">
        <v>1752</v>
      </c>
      <c r="C936" s="161" t="s">
        <v>1744</v>
      </c>
      <c r="D936" s="162">
        <v>44176</v>
      </c>
      <c r="E936" s="161" t="s">
        <v>2636</v>
      </c>
      <c r="F936" s="161" t="s">
        <v>1769</v>
      </c>
      <c r="G936" s="161">
        <v>8</v>
      </c>
      <c r="H936" s="161">
        <v>1</v>
      </c>
      <c r="I936" s="161">
        <v>11.6</v>
      </c>
      <c r="J936" s="161">
        <v>74</v>
      </c>
      <c r="K936" s="161"/>
      <c r="L936" s="163">
        <v>0.81</v>
      </c>
      <c r="M936" s="163">
        <v>-2.2799999999999998</v>
      </c>
      <c r="N936" s="161">
        <v>2.39</v>
      </c>
      <c r="O936" s="164" t="s">
        <v>2078</v>
      </c>
    </row>
    <row r="937" spans="1:15" ht="43.2">
      <c r="A937" s="161" t="s">
        <v>3216</v>
      </c>
      <c r="B937" s="161" t="s">
        <v>1743</v>
      </c>
      <c r="C937" s="161" t="s">
        <v>1786</v>
      </c>
      <c r="D937" s="162">
        <v>43535</v>
      </c>
      <c r="E937" s="161" t="s">
        <v>2158</v>
      </c>
      <c r="F937" s="161" t="s">
        <v>1769</v>
      </c>
      <c r="G937" s="161">
        <v>1</v>
      </c>
      <c r="H937" s="161">
        <v>2</v>
      </c>
      <c r="I937" s="161">
        <v>12.3</v>
      </c>
      <c r="J937" s="161">
        <v>84</v>
      </c>
      <c r="K937" s="161"/>
      <c r="L937" s="163">
        <v>-1.0900000000000001</v>
      </c>
      <c r="M937" s="163">
        <v>-3.12</v>
      </c>
      <c r="N937" s="161">
        <v>1.0900000000000001</v>
      </c>
      <c r="O937" s="164" t="s">
        <v>1757</v>
      </c>
    </row>
    <row r="938" spans="1:15" ht="43.2">
      <c r="A938" s="161" t="s">
        <v>3217</v>
      </c>
      <c r="B938" s="161" t="s">
        <v>1752</v>
      </c>
      <c r="C938" s="161" t="s">
        <v>1755</v>
      </c>
      <c r="D938" s="162">
        <v>44352</v>
      </c>
      <c r="E938" s="161" t="s">
        <v>1924</v>
      </c>
      <c r="F938" s="161" t="s">
        <v>1769</v>
      </c>
      <c r="G938" s="161">
        <v>4</v>
      </c>
      <c r="H938" s="161">
        <v>8</v>
      </c>
      <c r="I938" s="161">
        <v>9.4</v>
      </c>
      <c r="J938" s="161">
        <v>66</v>
      </c>
      <c r="K938" s="161"/>
      <c r="L938" s="163">
        <v>7.0000000000000007E-2</v>
      </c>
      <c r="M938" s="163">
        <v>-3.5</v>
      </c>
      <c r="N938" s="161">
        <v>2.64</v>
      </c>
      <c r="O938" s="164" t="s">
        <v>2078</v>
      </c>
    </row>
    <row r="939" spans="1:15" ht="43.2">
      <c r="A939" s="161" t="s">
        <v>3218</v>
      </c>
      <c r="B939" s="161" t="s">
        <v>1743</v>
      </c>
      <c r="C939" s="161" t="s">
        <v>1749</v>
      </c>
      <c r="D939" s="162">
        <v>43944</v>
      </c>
      <c r="E939" s="161" t="s">
        <v>2870</v>
      </c>
      <c r="F939" s="161" t="s">
        <v>1769</v>
      </c>
      <c r="G939" s="161">
        <v>1</v>
      </c>
      <c r="H939" s="161">
        <v>10</v>
      </c>
      <c r="I939" s="161">
        <v>11.5</v>
      </c>
      <c r="J939" s="161">
        <v>73</v>
      </c>
      <c r="K939" s="161"/>
      <c r="L939" s="163">
        <v>0.01</v>
      </c>
      <c r="M939" s="163">
        <v>-4.16</v>
      </c>
      <c r="N939" s="161">
        <v>2.85</v>
      </c>
      <c r="O939" s="164" t="s">
        <v>2078</v>
      </c>
    </row>
    <row r="940" spans="1:15" ht="43.2">
      <c r="A940" s="161" t="s">
        <v>3219</v>
      </c>
      <c r="B940" s="161" t="s">
        <v>1743</v>
      </c>
      <c r="C940" s="161" t="s">
        <v>1744</v>
      </c>
      <c r="D940" s="162">
        <v>44117</v>
      </c>
      <c r="E940" s="161" t="s">
        <v>2219</v>
      </c>
      <c r="F940" s="161" t="s">
        <v>1769</v>
      </c>
      <c r="G940" s="161">
        <v>1</v>
      </c>
      <c r="H940" s="161">
        <v>11</v>
      </c>
      <c r="I940" s="161">
        <v>11.7</v>
      </c>
      <c r="J940" s="161">
        <v>73.2</v>
      </c>
      <c r="K940" s="161"/>
      <c r="L940" s="163">
        <v>1.02</v>
      </c>
      <c r="M940" s="163">
        <v>-2.69</v>
      </c>
      <c r="N940" s="161">
        <v>2.98</v>
      </c>
      <c r="O940" s="164" t="s">
        <v>2078</v>
      </c>
    </row>
    <row r="941" spans="1:15" ht="43.2">
      <c r="A941" s="161" t="s">
        <v>3220</v>
      </c>
      <c r="B941" s="161" t="s">
        <v>1743</v>
      </c>
      <c r="C941" s="161" t="s">
        <v>1744</v>
      </c>
      <c r="D941" s="162">
        <v>44117</v>
      </c>
      <c r="E941" s="161" t="s">
        <v>2408</v>
      </c>
      <c r="F941" s="161" t="s">
        <v>1769</v>
      </c>
      <c r="G941" s="161">
        <v>8</v>
      </c>
      <c r="H941" s="161">
        <v>1</v>
      </c>
      <c r="I941" s="161">
        <v>11.4</v>
      </c>
      <c r="J941" s="161">
        <v>73.400000000000006</v>
      </c>
      <c r="K941" s="161"/>
      <c r="L941" s="163">
        <v>0.81</v>
      </c>
      <c r="M941" s="163">
        <v>-2.62</v>
      </c>
      <c r="N941" s="161">
        <v>2.68</v>
      </c>
      <c r="O941" s="164" t="s">
        <v>2078</v>
      </c>
    </row>
    <row r="942" spans="1:15" ht="43.2">
      <c r="A942" s="161" t="s">
        <v>3221</v>
      </c>
      <c r="B942" s="161" t="s">
        <v>1743</v>
      </c>
      <c r="C942" s="161" t="s">
        <v>1744</v>
      </c>
      <c r="D942" s="162">
        <v>44145</v>
      </c>
      <c r="E942" s="161" t="s">
        <v>2999</v>
      </c>
      <c r="F942" s="161" t="s">
        <v>1769</v>
      </c>
      <c r="G942" s="161">
        <v>8</v>
      </c>
      <c r="H942" s="161">
        <v>5</v>
      </c>
      <c r="I942" s="161">
        <v>12</v>
      </c>
      <c r="J942" s="161">
        <v>73.599999999999994</v>
      </c>
      <c r="K942" s="161"/>
      <c r="L942" s="163">
        <v>1.36</v>
      </c>
      <c r="M942" s="163">
        <v>-2.2599999999999998</v>
      </c>
      <c r="N942" s="161">
        <v>3.16</v>
      </c>
      <c r="O942" s="164" t="s">
        <v>2170</v>
      </c>
    </row>
    <row r="943" spans="1:15" ht="43.2">
      <c r="A943" s="161" t="s">
        <v>3222</v>
      </c>
      <c r="B943" s="161" t="s">
        <v>1752</v>
      </c>
      <c r="C943" s="161" t="s">
        <v>1744</v>
      </c>
      <c r="D943" s="162">
        <v>44182</v>
      </c>
      <c r="E943" s="161" t="s">
        <v>2499</v>
      </c>
      <c r="F943" s="161" t="s">
        <v>1769</v>
      </c>
      <c r="G943" s="161">
        <v>6</v>
      </c>
      <c r="H943" s="161">
        <v>5</v>
      </c>
      <c r="I943" s="161">
        <v>11.1</v>
      </c>
      <c r="J943" s="161">
        <v>74.3</v>
      </c>
      <c r="K943" s="161"/>
      <c r="L943" s="163">
        <v>0.45</v>
      </c>
      <c r="M943" s="163">
        <v>-2.36</v>
      </c>
      <c r="N943" s="161">
        <v>2</v>
      </c>
      <c r="O943" s="164" t="s">
        <v>1757</v>
      </c>
    </row>
    <row r="944" spans="1:15" ht="43.2">
      <c r="A944" s="161" t="s">
        <v>3223</v>
      </c>
      <c r="B944" s="161" t="s">
        <v>1752</v>
      </c>
      <c r="C944" s="161" t="s">
        <v>1755</v>
      </c>
      <c r="D944" s="162">
        <v>44343</v>
      </c>
      <c r="E944" s="161" t="s">
        <v>2099</v>
      </c>
      <c r="F944" s="161" t="s">
        <v>1769</v>
      </c>
      <c r="G944" s="161">
        <v>9</v>
      </c>
      <c r="H944" s="161">
        <v>5</v>
      </c>
      <c r="I944" s="161">
        <v>9.3000000000000007</v>
      </c>
      <c r="J944" s="161">
        <v>63.4</v>
      </c>
      <c r="K944" s="161"/>
      <c r="L944" s="163">
        <v>-0.09</v>
      </c>
      <c r="M944" s="163">
        <v>-4.74</v>
      </c>
      <c r="N944" s="161">
        <v>3.51</v>
      </c>
      <c r="O944" s="164" t="s">
        <v>2170</v>
      </c>
    </row>
    <row r="945" spans="1:15" ht="43.2">
      <c r="A945" s="161" t="s">
        <v>3224</v>
      </c>
      <c r="B945" s="161" t="s">
        <v>1743</v>
      </c>
      <c r="C945" s="161" t="s">
        <v>1755</v>
      </c>
      <c r="D945" s="162">
        <v>44364</v>
      </c>
      <c r="E945" s="161" t="s">
        <v>3225</v>
      </c>
      <c r="F945" s="161" t="s">
        <v>1769</v>
      </c>
      <c r="G945" s="161">
        <v>4</v>
      </c>
      <c r="H945" s="161">
        <v>8</v>
      </c>
      <c r="I945" s="161">
        <v>8.6</v>
      </c>
      <c r="J945" s="161">
        <v>61.6</v>
      </c>
      <c r="K945" s="161"/>
      <c r="L945" s="163">
        <v>0.06</v>
      </c>
      <c r="M945" s="163">
        <v>-4.0999999999999996</v>
      </c>
      <c r="N945" s="161">
        <v>3.27</v>
      </c>
      <c r="O945" s="164" t="s">
        <v>2170</v>
      </c>
    </row>
    <row r="946" spans="1:15" ht="43.2">
      <c r="A946" s="161" t="s">
        <v>3226</v>
      </c>
      <c r="B946" s="161" t="s">
        <v>1743</v>
      </c>
      <c r="C946" s="161" t="s">
        <v>1755</v>
      </c>
      <c r="D946" s="162">
        <v>44443</v>
      </c>
      <c r="E946" s="161" t="s">
        <v>3143</v>
      </c>
      <c r="F946" s="161" t="s">
        <v>1774</v>
      </c>
      <c r="G946" s="161">
        <v>2</v>
      </c>
      <c r="H946" s="161">
        <v>5</v>
      </c>
      <c r="I946" s="161">
        <v>8</v>
      </c>
      <c r="J946" s="161">
        <v>61.5</v>
      </c>
      <c r="K946" s="161"/>
      <c r="L946" s="163">
        <v>0.17</v>
      </c>
      <c r="M946" s="163">
        <v>-2.86</v>
      </c>
      <c r="N946" s="161">
        <v>2.58</v>
      </c>
      <c r="O946" s="164" t="s">
        <v>2078</v>
      </c>
    </row>
    <row r="947" spans="1:15" ht="43.2">
      <c r="A947" s="161" t="s">
        <v>3227</v>
      </c>
      <c r="B947" s="161" t="s">
        <v>1752</v>
      </c>
      <c r="C947" s="161" t="s">
        <v>1755</v>
      </c>
      <c r="D947" s="162">
        <v>44678</v>
      </c>
      <c r="E947" s="161" t="s">
        <v>3040</v>
      </c>
      <c r="F947" s="161" t="s">
        <v>1774</v>
      </c>
      <c r="G947" s="161">
        <v>1</v>
      </c>
      <c r="H947" s="161">
        <v>8</v>
      </c>
      <c r="I947" s="161">
        <v>3</v>
      </c>
      <c r="J947" s="161">
        <v>49</v>
      </c>
      <c r="K947" s="161"/>
      <c r="L947" s="163">
        <v>-2.59</v>
      </c>
      <c r="M947" s="163">
        <v>-2.35</v>
      </c>
      <c r="N947" s="161">
        <v>-0.97</v>
      </c>
      <c r="O947" s="164" t="s">
        <v>1760</v>
      </c>
    </row>
    <row r="948" spans="1:15" ht="43.2">
      <c r="A948" s="161" t="s">
        <v>3228</v>
      </c>
      <c r="B948" s="161" t="s">
        <v>1752</v>
      </c>
      <c r="C948" s="161" t="s">
        <v>1755</v>
      </c>
      <c r="D948" s="162">
        <v>44677</v>
      </c>
      <c r="E948" s="161" t="s">
        <v>2262</v>
      </c>
      <c r="F948" s="161" t="s">
        <v>1774</v>
      </c>
      <c r="G948" s="161">
        <v>1</v>
      </c>
      <c r="H948" s="161">
        <v>7</v>
      </c>
      <c r="I948" s="161">
        <v>3</v>
      </c>
      <c r="J948" s="161">
        <v>49</v>
      </c>
      <c r="K948" s="161"/>
      <c r="L948" s="163">
        <v>-2.5099999999999998</v>
      </c>
      <c r="M948" s="163">
        <v>-2.27</v>
      </c>
      <c r="N948" s="161">
        <v>-0.97</v>
      </c>
      <c r="O948" s="164" t="s">
        <v>1760</v>
      </c>
    </row>
    <row r="949" spans="1:15" ht="43.2">
      <c r="A949" s="161" t="s">
        <v>3229</v>
      </c>
      <c r="B949" s="161" t="s">
        <v>1752</v>
      </c>
      <c r="C949" s="161" t="s">
        <v>1779</v>
      </c>
      <c r="D949" s="162">
        <v>43198</v>
      </c>
      <c r="E949" s="161" t="s">
        <v>3161</v>
      </c>
      <c r="F949" s="161" t="s">
        <v>1777</v>
      </c>
      <c r="G949" s="161">
        <v>4</v>
      </c>
      <c r="H949" s="161">
        <v>13</v>
      </c>
      <c r="I949" s="161">
        <v>13</v>
      </c>
      <c r="J949" s="161">
        <v>95</v>
      </c>
      <c r="K949" s="161"/>
      <c r="L949" s="163">
        <v>-1.82</v>
      </c>
      <c r="M949" s="163">
        <v>-2.16</v>
      </c>
      <c r="N949" s="161">
        <v>-0.84</v>
      </c>
      <c r="O949" s="164" t="s">
        <v>1760</v>
      </c>
    </row>
    <row r="950" spans="1:15" ht="57.6">
      <c r="A950" s="161" t="s">
        <v>3230</v>
      </c>
      <c r="B950" s="161" t="s">
        <v>1752</v>
      </c>
      <c r="C950" s="161" t="s">
        <v>1744</v>
      </c>
      <c r="D950" s="162">
        <v>44270</v>
      </c>
      <c r="E950" s="161" t="s">
        <v>3147</v>
      </c>
      <c r="F950" s="161" t="s">
        <v>1777</v>
      </c>
      <c r="G950" s="161">
        <v>2</v>
      </c>
      <c r="H950" s="161">
        <v>15</v>
      </c>
      <c r="I950" s="161">
        <v>10</v>
      </c>
      <c r="J950" s="161">
        <v>71.5</v>
      </c>
      <c r="K950" s="161"/>
      <c r="L950" s="163">
        <v>0.15</v>
      </c>
      <c r="M950" s="163">
        <v>-2.17</v>
      </c>
      <c r="N950" s="161">
        <v>1.57</v>
      </c>
      <c r="O950" s="164" t="s">
        <v>1757</v>
      </c>
    </row>
    <row r="951" spans="1:15" ht="43.2">
      <c r="A951" s="161" t="s">
        <v>3231</v>
      </c>
      <c r="B951" s="161" t="s">
        <v>1752</v>
      </c>
      <c r="C951" s="161" t="s">
        <v>1755</v>
      </c>
      <c r="D951" s="162">
        <v>44676</v>
      </c>
      <c r="E951" s="161" t="s">
        <v>2509</v>
      </c>
      <c r="F951" s="161" t="s">
        <v>1777</v>
      </c>
      <c r="G951" s="161">
        <v>2</v>
      </c>
      <c r="H951" s="161">
        <v>10</v>
      </c>
      <c r="I951" s="161">
        <v>3</v>
      </c>
      <c r="J951" s="161">
        <v>49</v>
      </c>
      <c r="K951" s="161"/>
      <c r="L951" s="163">
        <v>-2.4300000000000002</v>
      </c>
      <c r="M951" s="163">
        <v>-2.2000000000000002</v>
      </c>
      <c r="N951" s="161">
        <v>-0.97</v>
      </c>
      <c r="O951" s="164" t="s">
        <v>1760</v>
      </c>
    </row>
    <row r="952" spans="1:15" ht="43.2">
      <c r="A952" s="161" t="s">
        <v>3232</v>
      </c>
      <c r="B952" s="161" t="s">
        <v>1752</v>
      </c>
      <c r="C952" s="161" t="s">
        <v>1755</v>
      </c>
      <c r="D952" s="162">
        <v>44553</v>
      </c>
      <c r="E952" s="161" t="s">
        <v>3157</v>
      </c>
      <c r="F952" s="161" t="s">
        <v>1777</v>
      </c>
      <c r="G952" s="161">
        <v>1</v>
      </c>
      <c r="H952" s="161">
        <v>13</v>
      </c>
      <c r="I952" s="161">
        <v>6</v>
      </c>
      <c r="J952" s="161">
        <v>59</v>
      </c>
      <c r="K952" s="161"/>
      <c r="L952" s="163">
        <v>-1.23</v>
      </c>
      <c r="M952" s="163">
        <v>-2.1800000000000002</v>
      </c>
      <c r="N952" s="161">
        <v>0.59</v>
      </c>
      <c r="O952" s="164" t="s">
        <v>1760</v>
      </c>
    </row>
    <row r="953" spans="1:15" ht="43.2">
      <c r="A953" s="161" t="s">
        <v>3233</v>
      </c>
      <c r="B953" s="161" t="s">
        <v>1752</v>
      </c>
      <c r="C953" s="161" t="s">
        <v>1786</v>
      </c>
      <c r="D953" s="162">
        <v>43298</v>
      </c>
      <c r="E953" s="161" t="s">
        <v>2898</v>
      </c>
      <c r="F953" s="161" t="s">
        <v>1777</v>
      </c>
      <c r="G953" s="161">
        <v>5</v>
      </c>
      <c r="H953" s="161">
        <v>1</v>
      </c>
      <c r="I953" s="161">
        <v>9.3000000000000007</v>
      </c>
      <c r="J953" s="161">
        <v>87</v>
      </c>
      <c r="K953" s="161"/>
      <c r="L953" s="163">
        <v>-4.16</v>
      </c>
      <c r="M953" s="163">
        <v>-3.75</v>
      </c>
      <c r="N953" s="161">
        <v>-3.26</v>
      </c>
      <c r="O953" s="164" t="s">
        <v>1790</v>
      </c>
    </row>
    <row r="954" spans="1:15" ht="43.2">
      <c r="A954" s="161" t="s">
        <v>3234</v>
      </c>
      <c r="B954" s="161" t="s">
        <v>1752</v>
      </c>
      <c r="C954" s="161" t="s">
        <v>1786</v>
      </c>
      <c r="D954" s="162">
        <v>43364</v>
      </c>
      <c r="E954" s="161" t="s">
        <v>2513</v>
      </c>
      <c r="F954" s="161" t="s">
        <v>1777</v>
      </c>
      <c r="G954" s="161">
        <v>3</v>
      </c>
      <c r="H954" s="161">
        <v>10</v>
      </c>
      <c r="I954" s="161">
        <v>9.8000000000000007</v>
      </c>
      <c r="J954" s="161">
        <v>79</v>
      </c>
      <c r="K954" s="161">
        <v>12</v>
      </c>
      <c r="L954" s="163">
        <v>-3.65</v>
      </c>
      <c r="M954" s="163">
        <v>-5.5</v>
      </c>
      <c r="N954" s="161">
        <v>-0.56000000000000005</v>
      </c>
      <c r="O954" s="164" t="s">
        <v>1760</v>
      </c>
    </row>
    <row r="955" spans="1:15" ht="57.6">
      <c r="A955" s="161" t="s">
        <v>3235</v>
      </c>
      <c r="B955" s="161" t="s">
        <v>1743</v>
      </c>
      <c r="C955" s="161" t="s">
        <v>1779</v>
      </c>
      <c r="D955" s="162">
        <v>43180</v>
      </c>
      <c r="E955" s="161" t="s">
        <v>3153</v>
      </c>
      <c r="F955" s="161" t="s">
        <v>1777</v>
      </c>
      <c r="G955" s="161">
        <v>4</v>
      </c>
      <c r="H955" s="161">
        <v>2</v>
      </c>
      <c r="I955" s="161">
        <v>12.2</v>
      </c>
      <c r="J955" s="161">
        <v>93.5</v>
      </c>
      <c r="K955" s="161">
        <v>15.9</v>
      </c>
      <c r="L955" s="163">
        <v>-2.13</v>
      </c>
      <c r="M955" s="163">
        <v>-2.2200000000000002</v>
      </c>
      <c r="N955" s="161">
        <v>-1.17</v>
      </c>
      <c r="O955" s="164" t="s">
        <v>1760</v>
      </c>
    </row>
    <row r="956" spans="1:15" ht="43.2">
      <c r="A956" s="161" t="s">
        <v>3236</v>
      </c>
      <c r="B956" s="161" t="s">
        <v>1743</v>
      </c>
      <c r="C956" s="161" t="s">
        <v>1749</v>
      </c>
      <c r="D956" s="162">
        <v>43645</v>
      </c>
      <c r="E956" s="161" t="s">
        <v>2019</v>
      </c>
      <c r="F956" s="161" t="s">
        <v>1777</v>
      </c>
      <c r="G956" s="161">
        <v>1</v>
      </c>
      <c r="H956" s="161">
        <v>15</v>
      </c>
      <c r="I956" s="161">
        <v>8.6999999999999993</v>
      </c>
      <c r="J956" s="161">
        <v>82.3</v>
      </c>
      <c r="K956" s="161"/>
      <c r="L956" s="163">
        <v>-3.53</v>
      </c>
      <c r="M956" s="163">
        <v>-2.95</v>
      </c>
      <c r="N956" s="161">
        <v>-2.46</v>
      </c>
      <c r="O956" s="164" t="s">
        <v>1747</v>
      </c>
    </row>
    <row r="957" spans="1:15" ht="43.2">
      <c r="A957" s="161" t="s">
        <v>3237</v>
      </c>
      <c r="B957" s="161" t="s">
        <v>1752</v>
      </c>
      <c r="C957" s="161" t="s">
        <v>1744</v>
      </c>
      <c r="D957" s="162">
        <v>43986</v>
      </c>
      <c r="E957" s="161" t="s">
        <v>2905</v>
      </c>
      <c r="F957" s="161" t="s">
        <v>1777</v>
      </c>
      <c r="G957" s="161">
        <v>1</v>
      </c>
      <c r="H957" s="161">
        <v>15</v>
      </c>
      <c r="I957" s="161">
        <v>12.9</v>
      </c>
      <c r="J957" s="161">
        <v>79.7</v>
      </c>
      <c r="K957" s="161">
        <v>14.7</v>
      </c>
      <c r="L957" s="163">
        <v>0.75</v>
      </c>
      <c r="M957" s="163">
        <v>-2.29</v>
      </c>
      <c r="N957" s="161">
        <v>2.5</v>
      </c>
      <c r="O957" s="164" t="s">
        <v>2078</v>
      </c>
    </row>
    <row r="958" spans="1:15" ht="43.2">
      <c r="A958" s="161" t="s">
        <v>3238</v>
      </c>
      <c r="B958" s="161" t="s">
        <v>1743</v>
      </c>
      <c r="C958" s="161" t="s">
        <v>1779</v>
      </c>
      <c r="D958" s="162">
        <v>43191</v>
      </c>
      <c r="E958" s="161" t="s">
        <v>3074</v>
      </c>
      <c r="F958" s="161" t="s">
        <v>2190</v>
      </c>
      <c r="G958" s="161">
        <v>1</v>
      </c>
      <c r="H958" s="161">
        <v>6</v>
      </c>
      <c r="I958" s="161">
        <v>8.8000000000000007</v>
      </c>
      <c r="J958" s="161">
        <v>86.3</v>
      </c>
      <c r="K958" s="161">
        <v>12.5</v>
      </c>
      <c r="L958" s="163">
        <v>-4.46</v>
      </c>
      <c r="M958" s="163">
        <v>-4.01</v>
      </c>
      <c r="N958" s="161">
        <v>-3.2</v>
      </c>
      <c r="O958" s="164" t="s">
        <v>1790</v>
      </c>
    </row>
    <row r="959" spans="1:15" ht="43.2">
      <c r="A959" s="161" t="s">
        <v>3239</v>
      </c>
      <c r="B959" s="161" t="s">
        <v>1743</v>
      </c>
      <c r="C959" s="161" t="s">
        <v>1749</v>
      </c>
      <c r="D959" s="162">
        <v>43871</v>
      </c>
      <c r="E959" s="161" t="s">
        <v>3164</v>
      </c>
      <c r="F959" s="161" t="s">
        <v>2190</v>
      </c>
      <c r="G959" s="161">
        <v>4</v>
      </c>
      <c r="H959" s="161">
        <v>6</v>
      </c>
      <c r="I959" s="161">
        <v>11.5</v>
      </c>
      <c r="J959" s="161">
        <v>74</v>
      </c>
      <c r="K959" s="161"/>
      <c r="L959" s="163">
        <v>0.82</v>
      </c>
      <c r="M959" s="163">
        <v>-2.29</v>
      </c>
      <c r="N959" s="161">
        <v>2.4900000000000002</v>
      </c>
      <c r="O959" s="164" t="s">
        <v>2078</v>
      </c>
    </row>
    <row r="960" spans="1:15" ht="43.2">
      <c r="A960" s="161" t="s">
        <v>3240</v>
      </c>
      <c r="B960" s="161" t="s">
        <v>1743</v>
      </c>
      <c r="C960" s="161" t="s">
        <v>1755</v>
      </c>
      <c r="D960" s="162">
        <v>44329</v>
      </c>
      <c r="E960" s="161" t="s">
        <v>3166</v>
      </c>
      <c r="F960" s="161" t="s">
        <v>2190</v>
      </c>
      <c r="G960" s="161">
        <v>3</v>
      </c>
      <c r="H960" s="161">
        <v>2</v>
      </c>
      <c r="I960" s="161">
        <v>9.6999999999999993</v>
      </c>
      <c r="J960" s="161">
        <v>67</v>
      </c>
      <c r="K960" s="161"/>
      <c r="L960" s="163">
        <v>0.78</v>
      </c>
      <c r="M960" s="163">
        <v>-2.4700000000000002</v>
      </c>
      <c r="N960" s="161">
        <v>2.65</v>
      </c>
      <c r="O960" s="164" t="s">
        <v>2078</v>
      </c>
    </row>
    <row r="961" spans="1:15" ht="43.2">
      <c r="A961" s="161" t="s">
        <v>3241</v>
      </c>
      <c r="B961" s="161" t="s">
        <v>1752</v>
      </c>
      <c r="C961" s="161" t="s">
        <v>1744</v>
      </c>
      <c r="D961" s="162">
        <v>44218</v>
      </c>
      <c r="E961" s="161" t="s">
        <v>2285</v>
      </c>
      <c r="F961" s="161" t="s">
        <v>2190</v>
      </c>
      <c r="G961" s="161">
        <v>5</v>
      </c>
      <c r="H961" s="161">
        <v>2</v>
      </c>
      <c r="I961" s="161">
        <v>9.4</v>
      </c>
      <c r="J961" s="161">
        <v>68</v>
      </c>
      <c r="K961" s="161"/>
      <c r="L961" s="163">
        <v>-0.85</v>
      </c>
      <c r="M961" s="163">
        <v>-4.42</v>
      </c>
      <c r="N961" s="161">
        <v>1.96</v>
      </c>
      <c r="O961" s="164" t="s">
        <v>1757</v>
      </c>
    </row>
    <row r="962" spans="1:15" ht="43.2">
      <c r="A962" s="161" t="s">
        <v>3242</v>
      </c>
      <c r="B962" s="161" t="s">
        <v>1752</v>
      </c>
      <c r="C962" s="161" t="s">
        <v>1755</v>
      </c>
      <c r="D962" s="162">
        <v>44326</v>
      </c>
      <c r="E962" s="161" t="s">
        <v>2287</v>
      </c>
      <c r="F962" s="161" t="s">
        <v>2190</v>
      </c>
      <c r="G962" s="161">
        <v>5</v>
      </c>
      <c r="H962" s="161">
        <v>2</v>
      </c>
      <c r="I962" s="161">
        <v>9.6</v>
      </c>
      <c r="J962" s="161">
        <v>68</v>
      </c>
      <c r="K962" s="161"/>
      <c r="L962" s="163">
        <v>7.0000000000000007E-2</v>
      </c>
      <c r="M962" s="163">
        <v>-3.04</v>
      </c>
      <c r="N962" s="161">
        <v>2.2000000000000002</v>
      </c>
      <c r="O962" s="164" t="s">
        <v>2078</v>
      </c>
    </row>
    <row r="963" spans="1:15" ht="43.2">
      <c r="A963" s="161" t="s">
        <v>3243</v>
      </c>
      <c r="B963" s="161" t="s">
        <v>1752</v>
      </c>
      <c r="C963" s="161" t="s">
        <v>1749</v>
      </c>
      <c r="D963" s="162">
        <v>43832</v>
      </c>
      <c r="E963" s="161" t="s">
        <v>3069</v>
      </c>
      <c r="F963" s="161" t="s">
        <v>2190</v>
      </c>
      <c r="G963" s="161">
        <v>7</v>
      </c>
      <c r="H963" s="161">
        <v>2</v>
      </c>
      <c r="I963" s="161">
        <v>11.9</v>
      </c>
      <c r="J963" s="161">
        <v>73</v>
      </c>
      <c r="K963" s="161"/>
      <c r="L963" s="163">
        <v>-0.68</v>
      </c>
      <c r="M963" s="163">
        <v>-5.46</v>
      </c>
      <c r="N963" s="161">
        <v>3.12</v>
      </c>
      <c r="O963" s="164" t="s">
        <v>2170</v>
      </c>
    </row>
    <row r="964" spans="1:15" ht="43.2">
      <c r="A964" s="161" t="s">
        <v>3244</v>
      </c>
      <c r="B964" s="161" t="s">
        <v>1743</v>
      </c>
      <c r="C964" s="161" t="s">
        <v>1749</v>
      </c>
      <c r="D964" s="162">
        <v>43896</v>
      </c>
      <c r="E964" s="161" t="s">
        <v>3076</v>
      </c>
      <c r="F964" s="161" t="s">
        <v>2190</v>
      </c>
      <c r="G964" s="161">
        <v>8</v>
      </c>
      <c r="H964" s="161">
        <v>3</v>
      </c>
      <c r="I964" s="161">
        <v>11.7</v>
      </c>
      <c r="J964" s="161">
        <v>73.599999999999994</v>
      </c>
      <c r="K964" s="161"/>
      <c r="L964" s="163">
        <v>-0.08</v>
      </c>
      <c r="M964" s="163">
        <v>-4.29</v>
      </c>
      <c r="N964" s="161">
        <v>2.9</v>
      </c>
      <c r="O964" s="164" t="s">
        <v>2078</v>
      </c>
    </row>
    <row r="965" spans="1:15" ht="43.2">
      <c r="A965" s="161" t="s">
        <v>3245</v>
      </c>
      <c r="B965" s="161" t="s">
        <v>1743</v>
      </c>
      <c r="C965" s="161" t="s">
        <v>1749</v>
      </c>
      <c r="D965" s="162">
        <v>43939</v>
      </c>
      <c r="E965" s="161" t="s">
        <v>2816</v>
      </c>
      <c r="F965" s="161" t="s">
        <v>2190</v>
      </c>
      <c r="G965" s="161">
        <v>3</v>
      </c>
      <c r="H965" s="161">
        <v>4</v>
      </c>
      <c r="I965" s="161">
        <v>12</v>
      </c>
      <c r="J965" s="161">
        <v>73.900000000000006</v>
      </c>
      <c r="K965" s="161"/>
      <c r="L965" s="163">
        <v>0.33</v>
      </c>
      <c r="M965" s="163">
        <v>-3.92</v>
      </c>
      <c r="N965" s="161">
        <v>3.09</v>
      </c>
      <c r="O965" s="164" t="s">
        <v>2170</v>
      </c>
    </row>
    <row r="966" spans="1:15" ht="43.2">
      <c r="A966" s="161" t="s">
        <v>3246</v>
      </c>
      <c r="B966" s="161" t="s">
        <v>1752</v>
      </c>
      <c r="C966" s="161" t="s">
        <v>1744</v>
      </c>
      <c r="D966" s="162">
        <v>43966</v>
      </c>
      <c r="E966" s="161" t="s">
        <v>2822</v>
      </c>
      <c r="F966" s="161" t="s">
        <v>1781</v>
      </c>
      <c r="G966" s="161">
        <v>2</v>
      </c>
      <c r="H966" s="161">
        <v>12</v>
      </c>
      <c r="I966" s="161">
        <v>11.9</v>
      </c>
      <c r="J966" s="161">
        <v>73.099999999999994</v>
      </c>
      <c r="K966" s="161"/>
      <c r="L966" s="163">
        <v>-0.08</v>
      </c>
      <c r="M966" s="163">
        <v>-4.68</v>
      </c>
      <c r="N966" s="161">
        <v>3.09</v>
      </c>
      <c r="O966" s="164" t="s">
        <v>2170</v>
      </c>
    </row>
    <row r="967" spans="1:15" ht="43.2">
      <c r="A967" s="161" t="s">
        <v>3247</v>
      </c>
      <c r="B967" s="161" t="s">
        <v>1752</v>
      </c>
      <c r="C967" s="161" t="s">
        <v>1744</v>
      </c>
      <c r="D967" s="162">
        <v>44015</v>
      </c>
      <c r="E967" s="161" t="s">
        <v>2824</v>
      </c>
      <c r="F967" s="161" t="s">
        <v>1781</v>
      </c>
      <c r="G967" s="161">
        <v>1</v>
      </c>
      <c r="H967" s="161">
        <v>3</v>
      </c>
      <c r="I967" s="161">
        <v>12</v>
      </c>
      <c r="J967" s="161">
        <v>72.900000000000006</v>
      </c>
      <c r="K967" s="161"/>
      <c r="L967" s="163">
        <v>0.23</v>
      </c>
      <c r="M967" s="163">
        <v>-4.41</v>
      </c>
      <c r="N967" s="161">
        <v>3.25</v>
      </c>
      <c r="O967" s="164" t="s">
        <v>2170</v>
      </c>
    </row>
    <row r="968" spans="1:15" ht="43.2">
      <c r="A968" s="161" t="s">
        <v>3248</v>
      </c>
      <c r="B968" s="161" t="s">
        <v>1752</v>
      </c>
      <c r="C968" s="161" t="s">
        <v>1744</v>
      </c>
      <c r="D968" s="162">
        <v>44025</v>
      </c>
      <c r="E968" s="161" t="s">
        <v>2596</v>
      </c>
      <c r="F968" s="161" t="s">
        <v>1781</v>
      </c>
      <c r="G968" s="161">
        <v>2</v>
      </c>
      <c r="H968" s="161">
        <v>13</v>
      </c>
      <c r="I968" s="161">
        <v>11.4</v>
      </c>
      <c r="J968" s="161">
        <v>73.400000000000006</v>
      </c>
      <c r="K968" s="161"/>
      <c r="L968" s="163">
        <v>-0.17</v>
      </c>
      <c r="M968" s="163">
        <v>-4.17</v>
      </c>
      <c r="N968" s="161">
        <v>2.5299999999999998</v>
      </c>
      <c r="O968" s="164" t="s">
        <v>2078</v>
      </c>
    </row>
    <row r="969" spans="1:15" ht="43.2">
      <c r="A969" s="161" t="s">
        <v>3249</v>
      </c>
      <c r="B969" s="161" t="s">
        <v>1743</v>
      </c>
      <c r="C969" s="161" t="s">
        <v>1744</v>
      </c>
      <c r="D969" s="162">
        <v>44096</v>
      </c>
      <c r="E969" s="161" t="s">
        <v>2119</v>
      </c>
      <c r="F969" s="161" t="s">
        <v>1781</v>
      </c>
      <c r="G969" s="161">
        <v>2</v>
      </c>
      <c r="H969" s="161">
        <v>2</v>
      </c>
      <c r="I969" s="161">
        <v>11.5</v>
      </c>
      <c r="J969" s="161">
        <v>73.7</v>
      </c>
      <c r="K969" s="161"/>
      <c r="L969" s="163">
        <v>0.77</v>
      </c>
      <c r="M969" s="163">
        <v>-2.72</v>
      </c>
      <c r="N969" s="161">
        <v>2.7</v>
      </c>
      <c r="O969" s="164" t="s">
        <v>2078</v>
      </c>
    </row>
    <row r="970" spans="1:15" ht="43.2">
      <c r="A970" s="161" t="s">
        <v>3250</v>
      </c>
      <c r="B970" s="161" t="s">
        <v>1743</v>
      </c>
      <c r="C970" s="161" t="s">
        <v>1744</v>
      </c>
      <c r="D970" s="162">
        <v>44275</v>
      </c>
      <c r="E970" s="161" t="s">
        <v>2320</v>
      </c>
      <c r="F970" s="161" t="s">
        <v>1781</v>
      </c>
      <c r="G970" s="161">
        <v>3</v>
      </c>
      <c r="H970" s="161">
        <v>11</v>
      </c>
      <c r="I970" s="161">
        <v>9.9</v>
      </c>
      <c r="J970" s="161">
        <v>68.5</v>
      </c>
      <c r="K970" s="161"/>
      <c r="L970" s="163">
        <v>0.59</v>
      </c>
      <c r="M970" s="163">
        <v>-2.61</v>
      </c>
      <c r="N970" s="161">
        <v>2.44</v>
      </c>
      <c r="O970" s="164" t="s">
        <v>2078</v>
      </c>
    </row>
    <row r="971" spans="1:15" ht="28.8">
      <c r="A971" s="161" t="s">
        <v>3251</v>
      </c>
      <c r="B971" s="161" t="s">
        <v>1743</v>
      </c>
      <c r="C971" s="161" t="s">
        <v>1744</v>
      </c>
      <c r="D971" s="162">
        <v>44295</v>
      </c>
      <c r="E971" s="161" t="s">
        <v>2658</v>
      </c>
      <c r="F971" s="161" t="s">
        <v>1784</v>
      </c>
      <c r="G971" s="161">
        <v>2</v>
      </c>
      <c r="H971" s="161">
        <v>7</v>
      </c>
      <c r="I971" s="161">
        <v>9</v>
      </c>
      <c r="J971" s="161">
        <v>65</v>
      </c>
      <c r="K971" s="161"/>
      <c r="L971" s="163">
        <v>-0.05</v>
      </c>
      <c r="M971" s="163">
        <v>-3.69</v>
      </c>
      <c r="N971" s="161">
        <v>2.5099999999999998</v>
      </c>
      <c r="O971" s="164" t="s">
        <v>2078</v>
      </c>
    </row>
    <row r="972" spans="1:15" ht="43.2">
      <c r="A972" s="161" t="s">
        <v>3252</v>
      </c>
      <c r="B972" s="161" t="s">
        <v>1743</v>
      </c>
      <c r="C972" s="161" t="s">
        <v>1744</v>
      </c>
      <c r="D972" s="162">
        <v>44302</v>
      </c>
      <c r="E972" s="161" t="s">
        <v>2937</v>
      </c>
      <c r="F972" s="161" t="s">
        <v>1784</v>
      </c>
      <c r="G972" s="161">
        <v>3</v>
      </c>
      <c r="H972" s="161">
        <v>2</v>
      </c>
      <c r="I972" s="161">
        <v>9.5</v>
      </c>
      <c r="J972" s="161">
        <v>65.7</v>
      </c>
      <c r="K972" s="161"/>
      <c r="L972" s="163">
        <v>0.43</v>
      </c>
      <c r="M972" s="163">
        <v>-3.33</v>
      </c>
      <c r="N972" s="161">
        <v>2.83</v>
      </c>
      <c r="O972" s="164" t="s">
        <v>2078</v>
      </c>
    </row>
    <row r="973" spans="1:15" ht="43.2">
      <c r="A973" s="161" t="s">
        <v>3253</v>
      </c>
      <c r="B973" s="161" t="s">
        <v>1743</v>
      </c>
      <c r="C973" s="161" t="s">
        <v>1744</v>
      </c>
      <c r="D973" s="162">
        <v>44303</v>
      </c>
      <c r="E973" s="161" t="s">
        <v>3254</v>
      </c>
      <c r="F973" s="161" t="s">
        <v>1784</v>
      </c>
      <c r="G973" s="161">
        <v>3</v>
      </c>
      <c r="H973" s="161">
        <v>8</v>
      </c>
      <c r="I973" s="161">
        <v>9</v>
      </c>
      <c r="J973" s="161">
        <v>65.5</v>
      </c>
      <c r="K973" s="161"/>
      <c r="L973" s="163">
        <v>0</v>
      </c>
      <c r="M973" s="163">
        <v>-3.4</v>
      </c>
      <c r="N973" s="161">
        <v>2.35</v>
      </c>
      <c r="O973" s="164" t="s">
        <v>2078</v>
      </c>
    </row>
    <row r="974" spans="1:15" ht="28.8">
      <c r="A974" s="161" t="s">
        <v>3255</v>
      </c>
      <c r="B974" s="161" t="s">
        <v>1743</v>
      </c>
      <c r="C974" s="161" t="s">
        <v>1755</v>
      </c>
      <c r="D974" s="162">
        <v>44315</v>
      </c>
      <c r="E974" s="161" t="s">
        <v>3188</v>
      </c>
      <c r="F974" s="161" t="s">
        <v>1784</v>
      </c>
      <c r="G974" s="161">
        <v>5</v>
      </c>
      <c r="H974" s="161">
        <v>6</v>
      </c>
      <c r="I974" s="161">
        <v>9</v>
      </c>
      <c r="J974" s="161">
        <v>65.5</v>
      </c>
      <c r="K974" s="161"/>
      <c r="L974" s="163">
        <v>0.08</v>
      </c>
      <c r="M974" s="163">
        <v>-3.24</v>
      </c>
      <c r="N974" s="161">
        <v>2.35</v>
      </c>
      <c r="O974" s="164" t="s">
        <v>2078</v>
      </c>
    </row>
    <row r="975" spans="1:15" ht="28.8">
      <c r="A975" s="161" t="s">
        <v>3256</v>
      </c>
      <c r="B975" s="161" t="s">
        <v>1743</v>
      </c>
      <c r="C975" s="161" t="s">
        <v>1755</v>
      </c>
      <c r="D975" s="162">
        <v>44319</v>
      </c>
      <c r="E975" s="161" t="s">
        <v>1798</v>
      </c>
      <c r="F975" s="161" t="s">
        <v>1784</v>
      </c>
      <c r="G975" s="161">
        <v>4</v>
      </c>
      <c r="H975" s="161">
        <v>5</v>
      </c>
      <c r="I975" s="161">
        <v>9</v>
      </c>
      <c r="J975" s="161">
        <v>63.4</v>
      </c>
      <c r="K975" s="161"/>
      <c r="L975" s="163">
        <v>0.11</v>
      </c>
      <c r="M975" s="163">
        <v>-4</v>
      </c>
      <c r="N975" s="161">
        <v>3.05</v>
      </c>
      <c r="O975" s="164" t="s">
        <v>2170</v>
      </c>
    </row>
    <row r="976" spans="1:15" ht="28.8">
      <c r="A976" s="161" t="s">
        <v>3257</v>
      </c>
      <c r="B976" s="161" t="s">
        <v>1743</v>
      </c>
      <c r="C976" s="161" t="s">
        <v>1755</v>
      </c>
      <c r="D976" s="162">
        <v>44373</v>
      </c>
      <c r="E976" s="161" t="s">
        <v>1802</v>
      </c>
      <c r="F976" s="161" t="s">
        <v>1784</v>
      </c>
      <c r="G976" s="161">
        <v>3</v>
      </c>
      <c r="H976" s="161">
        <v>7</v>
      </c>
      <c r="I976" s="161">
        <v>8.1999999999999993</v>
      </c>
      <c r="J976" s="161">
        <v>61.5</v>
      </c>
      <c r="K976" s="161"/>
      <c r="L976" s="163">
        <v>-0.26</v>
      </c>
      <c r="M976" s="163">
        <v>-4.01</v>
      </c>
      <c r="N976" s="161">
        <v>2.82</v>
      </c>
      <c r="O976" s="164" t="s">
        <v>2078</v>
      </c>
    </row>
    <row r="977" spans="1:15" ht="28.8">
      <c r="A977" s="161" t="s">
        <v>3258</v>
      </c>
      <c r="B977" s="161" t="s">
        <v>1752</v>
      </c>
      <c r="C977" s="161" t="s">
        <v>1755</v>
      </c>
      <c r="D977" s="162">
        <v>44673</v>
      </c>
      <c r="E977" s="161" t="s">
        <v>2036</v>
      </c>
      <c r="F977" s="161" t="s">
        <v>1784</v>
      </c>
      <c r="G977" s="161">
        <v>2</v>
      </c>
      <c r="H977" s="161">
        <v>4</v>
      </c>
      <c r="I977" s="161">
        <v>2.2000000000000002</v>
      </c>
      <c r="J977" s="161">
        <v>48</v>
      </c>
      <c r="K977" s="161"/>
      <c r="L977" s="163">
        <v>-4.0599999999999996</v>
      </c>
      <c r="M977" s="163">
        <v>-2.5099999999999998</v>
      </c>
      <c r="N977" s="161">
        <v>-3.86</v>
      </c>
      <c r="O977" s="164" t="s">
        <v>1790</v>
      </c>
    </row>
    <row r="978" spans="1:15" ht="43.2">
      <c r="A978" s="161" t="s">
        <v>3259</v>
      </c>
      <c r="B978" s="161" t="s">
        <v>1743</v>
      </c>
      <c r="C978" s="161" t="s">
        <v>1779</v>
      </c>
      <c r="D978" s="162">
        <v>42857</v>
      </c>
      <c r="E978" s="161" t="s">
        <v>2951</v>
      </c>
      <c r="F978" s="161" t="s">
        <v>1807</v>
      </c>
      <c r="G978" s="161">
        <v>2</v>
      </c>
      <c r="H978" s="161">
        <v>4</v>
      </c>
      <c r="I978" s="161">
        <v>14.2</v>
      </c>
      <c r="J978" s="161">
        <v>95</v>
      </c>
      <c r="K978" s="161"/>
      <c r="L978" s="163">
        <v>-1.71</v>
      </c>
      <c r="M978" s="163">
        <v>-2.97</v>
      </c>
      <c r="N978" s="161">
        <v>0.24</v>
      </c>
      <c r="O978" s="164" t="s">
        <v>1760</v>
      </c>
    </row>
    <row r="979" spans="1:15" ht="57.6">
      <c r="A979" s="161" t="s">
        <v>3260</v>
      </c>
      <c r="B979" s="161" t="s">
        <v>1752</v>
      </c>
      <c r="C979" s="161" t="s">
        <v>1744</v>
      </c>
      <c r="D979" s="162">
        <v>43957</v>
      </c>
      <c r="E979" s="161" t="s">
        <v>2611</v>
      </c>
      <c r="F979" s="161" t="s">
        <v>1807</v>
      </c>
      <c r="G979" s="161">
        <v>1</v>
      </c>
      <c r="H979" s="161">
        <v>4</v>
      </c>
      <c r="I979" s="161">
        <v>10</v>
      </c>
      <c r="J979" s="161">
        <v>79</v>
      </c>
      <c r="K979" s="161"/>
      <c r="L979" s="163">
        <v>-1.59</v>
      </c>
      <c r="M979" s="163">
        <v>-2.68</v>
      </c>
      <c r="N979" s="161">
        <v>-0.32</v>
      </c>
      <c r="O979" s="164" t="s">
        <v>1760</v>
      </c>
    </row>
    <row r="980" spans="1:15" ht="43.2">
      <c r="A980" s="161" t="s">
        <v>3261</v>
      </c>
      <c r="B980" s="161" t="s">
        <v>1752</v>
      </c>
      <c r="C980" s="161" t="s">
        <v>1749</v>
      </c>
      <c r="D980" s="162">
        <v>43717</v>
      </c>
      <c r="E980" s="161" t="s">
        <v>3262</v>
      </c>
      <c r="F980" s="161" t="s">
        <v>1807</v>
      </c>
      <c r="G980" s="161">
        <v>7</v>
      </c>
      <c r="H980" s="161">
        <v>1</v>
      </c>
      <c r="I980" s="161">
        <v>10</v>
      </c>
      <c r="J980" s="161">
        <v>85</v>
      </c>
      <c r="K980" s="161">
        <v>15</v>
      </c>
      <c r="L980" s="163">
        <v>-3.54</v>
      </c>
      <c r="M980" s="163">
        <v>-3.87</v>
      </c>
      <c r="N980" s="161">
        <v>-1.95</v>
      </c>
      <c r="O980" s="164" t="s">
        <v>1760</v>
      </c>
    </row>
    <row r="981" spans="1:15" ht="43.2">
      <c r="A981" s="161" t="s">
        <v>3263</v>
      </c>
      <c r="B981" s="161" t="s">
        <v>1743</v>
      </c>
      <c r="C981" s="161" t="s">
        <v>1786</v>
      </c>
      <c r="D981" s="162">
        <v>43293</v>
      </c>
      <c r="E981" s="161" t="s">
        <v>2948</v>
      </c>
      <c r="F981" s="161" t="s">
        <v>1807</v>
      </c>
      <c r="G981" s="161">
        <v>8</v>
      </c>
      <c r="H981" s="161">
        <v>2</v>
      </c>
      <c r="I981" s="161">
        <v>12.4</v>
      </c>
      <c r="J981" s="161">
        <v>91</v>
      </c>
      <c r="K981" s="161">
        <v>16</v>
      </c>
      <c r="L981" s="163">
        <v>-2.6</v>
      </c>
      <c r="M981" s="163">
        <v>-3.63</v>
      </c>
      <c r="N981" s="161">
        <v>-0.44</v>
      </c>
      <c r="O981" s="164" t="s">
        <v>1760</v>
      </c>
    </row>
    <row r="982" spans="1:15" ht="43.2">
      <c r="A982" s="161" t="s">
        <v>3264</v>
      </c>
      <c r="B982" s="161" t="s">
        <v>1752</v>
      </c>
      <c r="C982" s="161" t="s">
        <v>1749</v>
      </c>
      <c r="D982" s="162">
        <v>43647</v>
      </c>
      <c r="E982" s="161" t="s">
        <v>2345</v>
      </c>
      <c r="F982" s="161" t="s">
        <v>1807</v>
      </c>
      <c r="G982" s="161">
        <v>1</v>
      </c>
      <c r="H982" s="161">
        <v>3</v>
      </c>
      <c r="I982" s="161">
        <v>10.5</v>
      </c>
      <c r="J982" s="161">
        <v>93</v>
      </c>
      <c r="K982" s="161">
        <v>16</v>
      </c>
      <c r="L982" s="163">
        <v>-3.32</v>
      </c>
      <c r="M982" s="163">
        <v>-2.12</v>
      </c>
      <c r="N982" s="161">
        <v>-3.34</v>
      </c>
      <c r="O982" s="164" t="s">
        <v>1790</v>
      </c>
    </row>
    <row r="983" spans="1:15" ht="43.2">
      <c r="A983" s="161" t="s">
        <v>3265</v>
      </c>
      <c r="B983" s="161" t="s">
        <v>1743</v>
      </c>
      <c r="C983" s="161" t="s">
        <v>1744</v>
      </c>
      <c r="D983" s="162">
        <v>44312</v>
      </c>
      <c r="E983" s="161" t="s">
        <v>2843</v>
      </c>
      <c r="F983" s="161" t="s">
        <v>1807</v>
      </c>
      <c r="G983" s="161">
        <v>4</v>
      </c>
      <c r="H983" s="161">
        <v>4</v>
      </c>
      <c r="I983" s="161">
        <v>7.3</v>
      </c>
      <c r="J983" s="161">
        <v>76</v>
      </c>
      <c r="K983" s="161">
        <v>12.5</v>
      </c>
      <c r="L983" s="163">
        <v>-3.68</v>
      </c>
      <c r="M983" s="163">
        <v>-3.05</v>
      </c>
      <c r="N983" s="161">
        <v>-2.87</v>
      </c>
      <c r="O983" s="164" t="s">
        <v>1747</v>
      </c>
    </row>
    <row r="984" spans="1:15" ht="43.2">
      <c r="A984" s="161" t="s">
        <v>3266</v>
      </c>
      <c r="B984" s="161" t="s">
        <v>1752</v>
      </c>
      <c r="C984" s="161" t="s">
        <v>1744</v>
      </c>
      <c r="D984" s="162">
        <v>44112</v>
      </c>
      <c r="E984" s="161" t="s">
        <v>3267</v>
      </c>
      <c r="F984" s="161" t="s">
        <v>1746</v>
      </c>
      <c r="G984" s="161">
        <v>8</v>
      </c>
      <c r="H984" s="161">
        <v>3</v>
      </c>
      <c r="I984" s="161">
        <v>9.5</v>
      </c>
      <c r="J984" s="161">
        <v>83</v>
      </c>
      <c r="K984" s="161">
        <v>13</v>
      </c>
      <c r="L984" s="163">
        <v>-2.88</v>
      </c>
      <c r="M984" s="163">
        <v>-2.84</v>
      </c>
      <c r="N984" s="161">
        <v>-1.87</v>
      </c>
      <c r="O984" s="164" t="s">
        <v>1760</v>
      </c>
    </row>
    <row r="985" spans="1:15" ht="28.8">
      <c r="A985" s="161" t="s">
        <v>3268</v>
      </c>
      <c r="B985" s="161" t="s">
        <v>1752</v>
      </c>
      <c r="C985" s="161" t="s">
        <v>1786</v>
      </c>
      <c r="D985" s="162">
        <v>43334</v>
      </c>
      <c r="E985" s="161" t="s">
        <v>3209</v>
      </c>
      <c r="F985" s="161" t="s">
        <v>1746</v>
      </c>
      <c r="G985" s="161">
        <v>7</v>
      </c>
      <c r="H985" s="161">
        <v>1</v>
      </c>
      <c r="I985" s="161">
        <v>12</v>
      </c>
      <c r="J985" s="161">
        <v>94</v>
      </c>
      <c r="K985" s="161">
        <v>15</v>
      </c>
      <c r="L985" s="163">
        <v>-2.96</v>
      </c>
      <c r="M985" s="163">
        <v>-3</v>
      </c>
      <c r="N985" s="161">
        <v>-1.8</v>
      </c>
      <c r="O985" s="164" t="s">
        <v>1760</v>
      </c>
    </row>
    <row r="986" spans="1:15" ht="43.2">
      <c r="A986" s="161" t="s">
        <v>3269</v>
      </c>
      <c r="B986" s="161" t="s">
        <v>1743</v>
      </c>
      <c r="C986" s="161" t="s">
        <v>1744</v>
      </c>
      <c r="D986" s="162">
        <v>43956</v>
      </c>
      <c r="E986" s="161" t="s">
        <v>3203</v>
      </c>
      <c r="F986" s="161" t="s">
        <v>1746</v>
      </c>
      <c r="G986" s="161">
        <v>2</v>
      </c>
      <c r="H986" s="161">
        <v>4</v>
      </c>
      <c r="I986" s="161">
        <v>11</v>
      </c>
      <c r="J986" s="161">
        <v>83</v>
      </c>
      <c r="K986" s="161">
        <v>15</v>
      </c>
      <c r="L986" s="163">
        <v>-1.74</v>
      </c>
      <c r="M986" s="163">
        <v>-3.01</v>
      </c>
      <c r="N986" s="161">
        <v>0.1</v>
      </c>
      <c r="O986" s="164" t="s">
        <v>1760</v>
      </c>
    </row>
    <row r="987" spans="1:15" ht="43.2">
      <c r="A987" s="161" t="s">
        <v>3270</v>
      </c>
      <c r="B987" s="161" t="s">
        <v>1743</v>
      </c>
      <c r="C987" s="161" t="s">
        <v>1744</v>
      </c>
      <c r="D987" s="162">
        <v>44104</v>
      </c>
      <c r="E987" s="161" t="s">
        <v>2376</v>
      </c>
      <c r="F987" s="161" t="s">
        <v>1746</v>
      </c>
      <c r="G987" s="161">
        <v>4</v>
      </c>
      <c r="H987" s="161">
        <v>1</v>
      </c>
      <c r="I987" s="161">
        <v>8.5</v>
      </c>
      <c r="J987" s="161">
        <v>76.5</v>
      </c>
      <c r="K987" s="161">
        <v>12.5</v>
      </c>
      <c r="L987" s="163">
        <v>-3.39</v>
      </c>
      <c r="M987" s="163">
        <v>-4.0599999999999996</v>
      </c>
      <c r="N987" s="161">
        <v>-1.33</v>
      </c>
      <c r="O987" s="164" t="s">
        <v>1760</v>
      </c>
    </row>
    <row r="988" spans="1:15" ht="72">
      <c r="A988" s="161" t="s">
        <v>3271</v>
      </c>
      <c r="B988" s="161" t="s">
        <v>1743</v>
      </c>
      <c r="C988" s="161" t="s">
        <v>1755</v>
      </c>
      <c r="D988" s="162">
        <v>44624</v>
      </c>
      <c r="E988" s="161" t="s">
        <v>2970</v>
      </c>
      <c r="F988" s="161" t="s">
        <v>1746</v>
      </c>
      <c r="G988" s="161">
        <v>5</v>
      </c>
      <c r="H988" s="161">
        <v>3</v>
      </c>
      <c r="I988" s="161">
        <v>5.7</v>
      </c>
      <c r="J988" s="161">
        <v>64</v>
      </c>
      <c r="K988" s="161">
        <v>14</v>
      </c>
      <c r="L988" s="163">
        <v>-3.96</v>
      </c>
      <c r="M988" s="163">
        <v>-4.32</v>
      </c>
      <c r="N988" s="161">
        <v>-2.09</v>
      </c>
      <c r="O988" s="164" t="s">
        <v>1747</v>
      </c>
    </row>
    <row r="989" spans="1:15" ht="43.2">
      <c r="A989" s="161" t="s">
        <v>3272</v>
      </c>
      <c r="B989" s="161" t="s">
        <v>1752</v>
      </c>
      <c r="C989" s="161" t="s">
        <v>1744</v>
      </c>
      <c r="D989" s="162">
        <v>44169</v>
      </c>
      <c r="E989" s="161" t="s">
        <v>2279</v>
      </c>
      <c r="F989" s="161" t="s">
        <v>1746</v>
      </c>
      <c r="G989" s="161">
        <v>3</v>
      </c>
      <c r="H989" s="161">
        <v>11</v>
      </c>
      <c r="I989" s="161">
        <v>8.3000000000000007</v>
      </c>
      <c r="J989" s="161">
        <v>78</v>
      </c>
      <c r="K989" s="161">
        <v>14</v>
      </c>
      <c r="L989" s="163">
        <v>-3.74</v>
      </c>
      <c r="M989" s="163">
        <v>-3.77</v>
      </c>
      <c r="N989" s="161">
        <v>-2.58</v>
      </c>
      <c r="O989" s="164" t="s">
        <v>1747</v>
      </c>
    </row>
    <row r="990" spans="1:15" ht="43.2">
      <c r="A990" s="161" t="s">
        <v>3273</v>
      </c>
      <c r="B990" s="161" t="s">
        <v>1752</v>
      </c>
      <c r="C990" s="161" t="s">
        <v>1749</v>
      </c>
      <c r="D990" s="162">
        <v>43790</v>
      </c>
      <c r="E990" s="161" t="s">
        <v>3274</v>
      </c>
      <c r="F990" s="161" t="s">
        <v>1769</v>
      </c>
      <c r="G990" s="161">
        <v>3</v>
      </c>
      <c r="H990" s="161">
        <v>1</v>
      </c>
      <c r="I990" s="161">
        <v>9.9</v>
      </c>
      <c r="J990" s="161">
        <v>88</v>
      </c>
      <c r="K990" s="161">
        <v>13</v>
      </c>
      <c r="L990" s="163">
        <v>-3.44</v>
      </c>
      <c r="M990" s="163">
        <v>-2.81</v>
      </c>
      <c r="N990" s="161">
        <v>-2.92</v>
      </c>
      <c r="O990" s="164" t="s">
        <v>1747</v>
      </c>
    </row>
    <row r="991" spans="1:15" ht="43.2">
      <c r="A991" s="161" t="s">
        <v>3275</v>
      </c>
      <c r="B991" s="161" t="s">
        <v>1752</v>
      </c>
      <c r="C991" s="161" t="s">
        <v>1755</v>
      </c>
      <c r="D991" s="162">
        <v>44651</v>
      </c>
      <c r="E991" s="161" t="s">
        <v>2158</v>
      </c>
      <c r="F991" s="161" t="s">
        <v>1769</v>
      </c>
      <c r="G991" s="161">
        <v>1</v>
      </c>
      <c r="H991" s="161">
        <v>2</v>
      </c>
      <c r="I991" s="161">
        <v>6.5</v>
      </c>
      <c r="J991" s="161">
        <v>66</v>
      </c>
      <c r="K991" s="161"/>
      <c r="L991" s="163">
        <v>-3.54</v>
      </c>
      <c r="M991" s="163">
        <v>-4.1399999999999997</v>
      </c>
      <c r="N991" s="161">
        <v>-1.79</v>
      </c>
      <c r="O991" s="164" t="s">
        <v>1760</v>
      </c>
    </row>
    <row r="992" spans="1:15" ht="43.2">
      <c r="A992" s="161" t="s">
        <v>3276</v>
      </c>
      <c r="B992" s="161" t="s">
        <v>1752</v>
      </c>
      <c r="C992" s="161" t="s">
        <v>1744</v>
      </c>
      <c r="D992" s="162">
        <v>44286</v>
      </c>
      <c r="E992" s="161" t="s">
        <v>2099</v>
      </c>
      <c r="F992" s="161" t="s">
        <v>1769</v>
      </c>
      <c r="G992" s="161">
        <v>9</v>
      </c>
      <c r="H992" s="161">
        <v>5</v>
      </c>
      <c r="I992" s="161">
        <v>9.6999999999999993</v>
      </c>
      <c r="J992" s="161">
        <v>81.5</v>
      </c>
      <c r="K992" s="161"/>
      <c r="L992" s="163">
        <v>-1.99</v>
      </c>
      <c r="M992" s="163">
        <v>-2.09</v>
      </c>
      <c r="N992" s="161">
        <v>-1.24</v>
      </c>
      <c r="O992" s="164" t="s">
        <v>1760</v>
      </c>
    </row>
    <row r="993" spans="1:15" ht="43.2">
      <c r="A993" s="161" t="s">
        <v>3277</v>
      </c>
      <c r="B993" s="161" t="s">
        <v>1752</v>
      </c>
      <c r="C993" s="161" t="s">
        <v>1744</v>
      </c>
      <c r="D993" s="162">
        <v>44004</v>
      </c>
      <c r="E993" s="161" t="s">
        <v>2742</v>
      </c>
      <c r="F993" s="161" t="s">
        <v>1769</v>
      </c>
      <c r="G993" s="161">
        <v>4</v>
      </c>
      <c r="H993" s="161">
        <v>1</v>
      </c>
      <c r="I993" s="161">
        <v>10.1</v>
      </c>
      <c r="J993" s="161">
        <v>86.4</v>
      </c>
      <c r="K993" s="161"/>
      <c r="L993" s="163">
        <v>-2.7</v>
      </c>
      <c r="M993" s="163">
        <v>-2.2400000000000002</v>
      </c>
      <c r="N993" s="161">
        <v>-2.21</v>
      </c>
      <c r="O993" s="164" t="s">
        <v>1747</v>
      </c>
    </row>
    <row r="994" spans="1:15" ht="43.2">
      <c r="A994" s="161" t="s">
        <v>3278</v>
      </c>
      <c r="B994" s="161" t="s">
        <v>1752</v>
      </c>
      <c r="C994" s="161" t="s">
        <v>1744</v>
      </c>
      <c r="D994" s="162">
        <v>44051</v>
      </c>
      <c r="E994" s="161" t="s">
        <v>1924</v>
      </c>
      <c r="F994" s="161" t="s">
        <v>1769</v>
      </c>
      <c r="G994" s="161">
        <v>4</v>
      </c>
      <c r="H994" s="161">
        <v>8</v>
      </c>
      <c r="I994" s="161">
        <v>10.6</v>
      </c>
      <c r="J994" s="161">
        <v>85.7</v>
      </c>
      <c r="K994" s="161"/>
      <c r="L994" s="163">
        <v>-2.14</v>
      </c>
      <c r="M994" s="163">
        <v>-2.1800000000000002</v>
      </c>
      <c r="N994" s="161">
        <v>-1.39</v>
      </c>
      <c r="O994" s="164" t="s">
        <v>1760</v>
      </c>
    </row>
    <row r="995" spans="1:15" ht="43.2">
      <c r="A995" s="161" t="s">
        <v>3279</v>
      </c>
      <c r="B995" s="161" t="s">
        <v>1752</v>
      </c>
      <c r="C995" s="161" t="s">
        <v>1755</v>
      </c>
      <c r="D995" s="162">
        <v>44614</v>
      </c>
      <c r="E995" s="161" t="s">
        <v>2999</v>
      </c>
      <c r="F995" s="161" t="s">
        <v>1769</v>
      </c>
      <c r="G995" s="161">
        <v>8</v>
      </c>
      <c r="H995" s="161">
        <v>5</v>
      </c>
      <c r="I995" s="161">
        <v>7.5</v>
      </c>
      <c r="J995" s="161">
        <v>72</v>
      </c>
      <c r="K995" s="161"/>
      <c r="L995" s="163">
        <v>-2.54</v>
      </c>
      <c r="M995" s="163">
        <v>-2.13</v>
      </c>
      <c r="N995" s="161">
        <v>-2.09</v>
      </c>
      <c r="O995" s="164" t="s">
        <v>1747</v>
      </c>
    </row>
    <row r="996" spans="1:15" ht="43.2">
      <c r="A996" s="161" t="s">
        <v>3280</v>
      </c>
      <c r="B996" s="161" t="s">
        <v>1743</v>
      </c>
      <c r="C996" s="161" t="s">
        <v>1755</v>
      </c>
      <c r="D996" s="162">
        <v>44433</v>
      </c>
      <c r="E996" s="161" t="s">
        <v>2219</v>
      </c>
      <c r="F996" s="161" t="s">
        <v>1769</v>
      </c>
      <c r="G996" s="161">
        <v>1</v>
      </c>
      <c r="H996" s="161">
        <v>11</v>
      </c>
      <c r="I996" s="161">
        <v>8.4</v>
      </c>
      <c r="J996" s="161">
        <v>72.5</v>
      </c>
      <c r="K996" s="161"/>
      <c r="L996" s="163">
        <v>-1.85</v>
      </c>
      <c r="M996" s="163">
        <v>-3.17</v>
      </c>
      <c r="N996" s="161">
        <v>-0.35</v>
      </c>
      <c r="O996" s="164" t="s">
        <v>1760</v>
      </c>
    </row>
    <row r="997" spans="1:15" ht="43.2">
      <c r="A997" s="161" t="s">
        <v>3281</v>
      </c>
      <c r="B997" s="161" t="s">
        <v>1743</v>
      </c>
      <c r="C997" s="161" t="s">
        <v>1744</v>
      </c>
      <c r="D997" s="162">
        <v>44277</v>
      </c>
      <c r="E997" s="161" t="s">
        <v>2499</v>
      </c>
      <c r="F997" s="161" t="s">
        <v>1769</v>
      </c>
      <c r="G997" s="161">
        <v>6</v>
      </c>
      <c r="H997" s="161">
        <v>5</v>
      </c>
      <c r="I997" s="161">
        <v>8.15</v>
      </c>
      <c r="J997" s="161">
        <v>77</v>
      </c>
      <c r="K997" s="161">
        <v>13</v>
      </c>
      <c r="L997" s="163">
        <v>-2.96</v>
      </c>
      <c r="M997" s="163">
        <v>-2.77</v>
      </c>
      <c r="N997" s="161">
        <v>-1.94</v>
      </c>
      <c r="O997" s="164" t="s">
        <v>1760</v>
      </c>
    </row>
    <row r="998" spans="1:15" ht="43.2">
      <c r="A998" s="161" t="s">
        <v>3282</v>
      </c>
      <c r="B998" s="161" t="s">
        <v>1743</v>
      </c>
      <c r="C998" s="161" t="s">
        <v>1744</v>
      </c>
      <c r="D998" s="162">
        <v>44265</v>
      </c>
      <c r="E998" s="161" t="s">
        <v>2408</v>
      </c>
      <c r="F998" s="161" t="s">
        <v>1769</v>
      </c>
      <c r="G998" s="161">
        <v>8</v>
      </c>
      <c r="H998" s="161">
        <v>1</v>
      </c>
      <c r="I998" s="161">
        <v>8.25</v>
      </c>
      <c r="J998" s="161">
        <v>80</v>
      </c>
      <c r="K998" s="161"/>
      <c r="L998" s="163">
        <v>-2.91</v>
      </c>
      <c r="M998" s="163">
        <v>-2.16</v>
      </c>
      <c r="N998" s="161">
        <v>-2.34</v>
      </c>
      <c r="O998" s="164" t="s">
        <v>1747</v>
      </c>
    </row>
    <row r="999" spans="1:15" ht="72">
      <c r="A999" s="161" t="s">
        <v>3283</v>
      </c>
      <c r="B999" s="161" t="s">
        <v>1752</v>
      </c>
      <c r="C999" s="161" t="s">
        <v>1786</v>
      </c>
      <c r="D999" s="162">
        <v>43231</v>
      </c>
      <c r="E999" s="161" t="s">
        <v>2656</v>
      </c>
      <c r="F999" s="161" t="s">
        <v>1769</v>
      </c>
      <c r="G999" s="161">
        <v>4</v>
      </c>
      <c r="H999" s="161">
        <v>1</v>
      </c>
      <c r="I999" s="161">
        <v>13.2</v>
      </c>
      <c r="J999" s="161">
        <v>97.7</v>
      </c>
      <c r="K999" s="161"/>
      <c r="L999" s="163">
        <v>-2.4300000000000002</v>
      </c>
      <c r="M999" s="163">
        <v>-2.54</v>
      </c>
      <c r="N999" s="161">
        <v>-1.38</v>
      </c>
      <c r="O999" s="164" t="s">
        <v>1760</v>
      </c>
    </row>
    <row r="1000" spans="1:15" ht="57.6">
      <c r="A1000" s="161" t="s">
        <v>3284</v>
      </c>
      <c r="B1000" s="161" t="s">
        <v>1743</v>
      </c>
      <c r="C1000" s="161" t="s">
        <v>1786</v>
      </c>
      <c r="D1000" s="162">
        <v>43378</v>
      </c>
      <c r="E1000" s="161" t="s">
        <v>2636</v>
      </c>
      <c r="F1000" s="161" t="s">
        <v>1769</v>
      </c>
      <c r="G1000" s="161">
        <v>8</v>
      </c>
      <c r="H1000" s="161">
        <v>1</v>
      </c>
      <c r="I1000" s="161">
        <v>11.1</v>
      </c>
      <c r="J1000" s="161">
        <v>93.5</v>
      </c>
      <c r="K1000" s="161"/>
      <c r="L1000" s="163">
        <v>-3.25</v>
      </c>
      <c r="M1000" s="163">
        <v>-2.81</v>
      </c>
      <c r="N1000" s="161">
        <v>-2.2799999999999998</v>
      </c>
      <c r="O1000" s="164" t="s">
        <v>1747</v>
      </c>
    </row>
    <row r="1001" spans="1:15" ht="43.2">
      <c r="A1001" s="161" t="s">
        <v>3285</v>
      </c>
      <c r="B1001" s="161" t="s">
        <v>1743</v>
      </c>
      <c r="C1001" s="161" t="s">
        <v>1786</v>
      </c>
      <c r="D1001" s="162">
        <v>43466</v>
      </c>
      <c r="E1001" s="161" t="s">
        <v>2495</v>
      </c>
      <c r="F1001" s="161" t="s">
        <v>1769</v>
      </c>
      <c r="G1001" s="161">
        <v>6</v>
      </c>
      <c r="H1001" s="161">
        <v>5</v>
      </c>
      <c r="I1001" s="161">
        <v>11.8</v>
      </c>
      <c r="J1001" s="161">
        <v>91.2</v>
      </c>
      <c r="K1001" s="161"/>
      <c r="L1001" s="163">
        <v>-2.58</v>
      </c>
      <c r="M1001" s="163">
        <v>-3.03</v>
      </c>
      <c r="N1001" s="161">
        <v>-1.06</v>
      </c>
      <c r="O1001" s="164" t="s">
        <v>1760</v>
      </c>
    </row>
    <row r="1002" spans="1:15" ht="43.2">
      <c r="A1002" s="161" t="s">
        <v>3286</v>
      </c>
      <c r="B1002" s="161" t="s">
        <v>1752</v>
      </c>
      <c r="C1002" s="161" t="s">
        <v>1786</v>
      </c>
      <c r="D1002" s="162">
        <v>43519</v>
      </c>
      <c r="E1002" s="161" t="s">
        <v>3143</v>
      </c>
      <c r="F1002" s="161" t="s">
        <v>1774</v>
      </c>
      <c r="G1002" s="161">
        <v>2</v>
      </c>
      <c r="H1002" s="161">
        <v>5</v>
      </c>
      <c r="I1002" s="161">
        <v>12.5</v>
      </c>
      <c r="J1002" s="161">
        <v>92.7</v>
      </c>
      <c r="K1002" s="161"/>
      <c r="L1002" s="163">
        <v>-2.2400000000000002</v>
      </c>
      <c r="M1002" s="163">
        <v>-2.7</v>
      </c>
      <c r="N1002" s="161">
        <v>-0.99</v>
      </c>
      <c r="O1002" s="164" t="s">
        <v>1760</v>
      </c>
    </row>
    <row r="1003" spans="1:15" ht="43.2">
      <c r="A1003" s="161" t="s">
        <v>3287</v>
      </c>
      <c r="B1003" s="161" t="s">
        <v>1752</v>
      </c>
      <c r="C1003" s="161" t="s">
        <v>1749</v>
      </c>
      <c r="D1003" s="162">
        <v>43759</v>
      </c>
      <c r="E1003" s="161" t="s">
        <v>3040</v>
      </c>
      <c r="F1003" s="161" t="s">
        <v>1774</v>
      </c>
      <c r="G1003" s="161">
        <v>1</v>
      </c>
      <c r="H1003" s="161">
        <v>8</v>
      </c>
      <c r="I1003" s="161">
        <v>11.7</v>
      </c>
      <c r="J1003" s="161">
        <v>89.5</v>
      </c>
      <c r="K1003" s="161"/>
      <c r="L1003" s="163">
        <v>-2.1800000000000002</v>
      </c>
      <c r="M1003" s="163">
        <v>-2.56</v>
      </c>
      <c r="N1003" s="161">
        <v>-1.1000000000000001</v>
      </c>
      <c r="O1003" s="164" t="s">
        <v>1760</v>
      </c>
    </row>
    <row r="1004" spans="1:15" ht="43.2">
      <c r="A1004" s="161" t="s">
        <v>3288</v>
      </c>
      <c r="B1004" s="161" t="s">
        <v>1752</v>
      </c>
      <c r="C1004" s="161" t="s">
        <v>1744</v>
      </c>
      <c r="D1004" s="162">
        <v>43971</v>
      </c>
      <c r="E1004" s="161" t="s">
        <v>2262</v>
      </c>
      <c r="F1004" s="161" t="s">
        <v>1774</v>
      </c>
      <c r="G1004" s="161">
        <v>1</v>
      </c>
      <c r="H1004" s="161">
        <v>7</v>
      </c>
      <c r="I1004" s="161">
        <v>10.8</v>
      </c>
      <c r="J1004" s="161">
        <v>87.1</v>
      </c>
      <c r="K1004" s="161"/>
      <c r="L1004" s="163">
        <v>-2.2400000000000002</v>
      </c>
      <c r="M1004" s="163">
        <v>-2.2200000000000002</v>
      </c>
      <c r="N1004" s="161">
        <v>-1.53</v>
      </c>
      <c r="O1004" s="164" t="s">
        <v>1760</v>
      </c>
    </row>
    <row r="1005" spans="1:15" ht="57.6">
      <c r="A1005" s="161" t="s">
        <v>3289</v>
      </c>
      <c r="B1005" s="161" t="s">
        <v>1752</v>
      </c>
      <c r="C1005" s="161" t="s">
        <v>1744</v>
      </c>
      <c r="D1005" s="162">
        <v>43979</v>
      </c>
      <c r="E1005" s="161" t="s">
        <v>3147</v>
      </c>
      <c r="F1005" s="161" t="s">
        <v>1777</v>
      </c>
      <c r="G1005" s="161">
        <v>2</v>
      </c>
      <c r="H1005" s="161">
        <v>15</v>
      </c>
      <c r="I1005" s="161">
        <v>10.4</v>
      </c>
      <c r="J1005" s="161">
        <v>87.5</v>
      </c>
      <c r="K1005" s="161"/>
      <c r="L1005" s="163">
        <v>-2.5299999999999998</v>
      </c>
      <c r="M1005" s="163">
        <v>-2.0699999999999998</v>
      </c>
      <c r="N1005" s="161">
        <v>-2.13</v>
      </c>
      <c r="O1005" s="164" t="s">
        <v>1747</v>
      </c>
    </row>
    <row r="1006" spans="1:15" ht="43.2">
      <c r="A1006" s="161" t="s">
        <v>3290</v>
      </c>
      <c r="B1006" s="161" t="s">
        <v>1743</v>
      </c>
      <c r="C1006" s="161" t="s">
        <v>1744</v>
      </c>
      <c r="D1006" s="162">
        <v>44145</v>
      </c>
      <c r="E1006" s="161" t="s">
        <v>3161</v>
      </c>
      <c r="F1006" s="161" t="s">
        <v>1777</v>
      </c>
      <c r="G1006" s="161">
        <v>4</v>
      </c>
      <c r="H1006" s="161">
        <v>13</v>
      </c>
      <c r="I1006" s="161">
        <v>10.199999999999999</v>
      </c>
      <c r="J1006" s="161">
        <v>80.5</v>
      </c>
      <c r="K1006" s="161"/>
      <c r="L1006" s="163">
        <v>-1.67</v>
      </c>
      <c r="M1006" s="163">
        <v>-2.68</v>
      </c>
      <c r="N1006" s="161">
        <v>-0.15</v>
      </c>
      <c r="O1006" s="164" t="s">
        <v>1760</v>
      </c>
    </row>
    <row r="1007" spans="1:15" ht="43.2">
      <c r="A1007" s="161" t="s">
        <v>3291</v>
      </c>
      <c r="B1007" s="161" t="s">
        <v>1752</v>
      </c>
      <c r="C1007" s="161" t="s">
        <v>1744</v>
      </c>
      <c r="D1007" s="162">
        <v>44154</v>
      </c>
      <c r="E1007" s="161" t="s">
        <v>2509</v>
      </c>
      <c r="F1007" s="161" t="s">
        <v>1777</v>
      </c>
      <c r="G1007" s="161">
        <v>2</v>
      </c>
      <c r="H1007" s="161">
        <v>10</v>
      </c>
      <c r="I1007" s="161">
        <v>9.4</v>
      </c>
      <c r="J1007" s="161">
        <v>81.5</v>
      </c>
      <c r="K1007" s="161"/>
      <c r="L1007" s="163">
        <v>-2.82</v>
      </c>
      <c r="M1007" s="163">
        <v>-2.82</v>
      </c>
      <c r="N1007" s="161">
        <v>-1.81</v>
      </c>
      <c r="O1007" s="164" t="s">
        <v>1760</v>
      </c>
    </row>
    <row r="1008" spans="1:15" ht="43.2">
      <c r="A1008" s="161" t="s">
        <v>3292</v>
      </c>
      <c r="B1008" s="161" t="s">
        <v>1743</v>
      </c>
      <c r="C1008" s="161" t="s">
        <v>1749</v>
      </c>
      <c r="D1008" s="162">
        <v>43593</v>
      </c>
      <c r="E1008" s="161" t="s">
        <v>3157</v>
      </c>
      <c r="F1008" s="161" t="s">
        <v>1777</v>
      </c>
      <c r="G1008" s="161">
        <v>1</v>
      </c>
      <c r="H1008" s="161">
        <v>13</v>
      </c>
      <c r="I1008" s="161">
        <v>12.5</v>
      </c>
      <c r="J1008" s="161">
        <v>91.1</v>
      </c>
      <c r="K1008" s="161">
        <v>16</v>
      </c>
      <c r="L1008" s="163">
        <v>-1.8</v>
      </c>
      <c r="M1008" s="163">
        <v>-2.57</v>
      </c>
      <c r="N1008" s="161">
        <v>-0.37</v>
      </c>
      <c r="O1008" s="164" t="s">
        <v>1760</v>
      </c>
    </row>
    <row r="1009" spans="1:15" ht="43.2">
      <c r="A1009" s="161" t="s">
        <v>3293</v>
      </c>
      <c r="B1009" s="161" t="s">
        <v>1752</v>
      </c>
      <c r="C1009" s="161" t="s">
        <v>1744</v>
      </c>
      <c r="D1009" s="162">
        <v>44252</v>
      </c>
      <c r="E1009" s="161" t="s">
        <v>2898</v>
      </c>
      <c r="F1009" s="161" t="s">
        <v>1777</v>
      </c>
      <c r="G1009" s="161">
        <v>5</v>
      </c>
      <c r="H1009" s="161">
        <v>1</v>
      </c>
      <c r="I1009" s="161">
        <v>8.1999999999999993</v>
      </c>
      <c r="J1009" s="161">
        <v>78.599999999999994</v>
      </c>
      <c r="K1009" s="161">
        <v>13.5</v>
      </c>
      <c r="L1009" s="163">
        <v>-3.55</v>
      </c>
      <c r="M1009" s="163">
        <v>-3.28</v>
      </c>
      <c r="N1009" s="161">
        <v>-2.72</v>
      </c>
      <c r="O1009" s="164" t="s">
        <v>1747</v>
      </c>
    </row>
    <row r="1010" spans="1:15" ht="43.2">
      <c r="A1010" s="161" t="s">
        <v>3294</v>
      </c>
      <c r="B1010" s="161" t="s">
        <v>1743</v>
      </c>
      <c r="C1010" s="161" t="s">
        <v>1744</v>
      </c>
      <c r="D1010" s="162">
        <v>44272</v>
      </c>
      <c r="E1010" s="161" t="s">
        <v>2513</v>
      </c>
      <c r="F1010" s="161" t="s">
        <v>1777</v>
      </c>
      <c r="G1010" s="161">
        <v>3</v>
      </c>
      <c r="H1010" s="161">
        <v>10</v>
      </c>
      <c r="I1010" s="161">
        <v>8</v>
      </c>
      <c r="J1010" s="161">
        <v>75</v>
      </c>
      <c r="K1010" s="161">
        <v>13</v>
      </c>
      <c r="L1010" s="163">
        <v>-3.15</v>
      </c>
      <c r="M1010" s="163">
        <v>-3.66</v>
      </c>
      <c r="N1010" s="161">
        <v>-1.53</v>
      </c>
      <c r="O1010" s="164" t="s">
        <v>1760</v>
      </c>
    </row>
    <row r="1011" spans="1:15" ht="57.6">
      <c r="A1011" s="161" t="s">
        <v>3295</v>
      </c>
      <c r="B1011" s="161" t="s">
        <v>1752</v>
      </c>
      <c r="C1011" s="161" t="s">
        <v>1755</v>
      </c>
      <c r="D1011" s="162">
        <v>44494</v>
      </c>
      <c r="E1011" s="161" t="s">
        <v>3153</v>
      </c>
      <c r="F1011" s="161" t="s">
        <v>1777</v>
      </c>
      <c r="G1011" s="161">
        <v>4</v>
      </c>
      <c r="H1011" s="161">
        <v>2</v>
      </c>
      <c r="I1011" s="161">
        <v>8.6</v>
      </c>
      <c r="J1011" s="161">
        <v>74</v>
      </c>
      <c r="K1011" s="161">
        <v>16</v>
      </c>
      <c r="L1011" s="163">
        <v>-2.04</v>
      </c>
      <c r="M1011" s="163">
        <v>-2.84</v>
      </c>
      <c r="N1011" s="161">
        <v>-0.95</v>
      </c>
      <c r="O1011" s="164" t="s">
        <v>1760</v>
      </c>
    </row>
    <row r="1012" spans="1:15" ht="43.2">
      <c r="A1012" s="161" t="s">
        <v>3296</v>
      </c>
      <c r="B1012" s="161" t="s">
        <v>1752</v>
      </c>
      <c r="C1012" s="161" t="s">
        <v>1786</v>
      </c>
      <c r="D1012" s="162">
        <v>43487</v>
      </c>
      <c r="E1012" s="161" t="s">
        <v>2019</v>
      </c>
      <c r="F1012" s="161" t="s">
        <v>1777</v>
      </c>
      <c r="G1012" s="161">
        <v>1</v>
      </c>
      <c r="H1012" s="161">
        <v>15</v>
      </c>
      <c r="I1012" s="161">
        <v>14</v>
      </c>
      <c r="J1012" s="161">
        <v>95</v>
      </c>
      <c r="K1012" s="161">
        <v>15</v>
      </c>
      <c r="L1012" s="163">
        <v>-1.4</v>
      </c>
      <c r="M1012" s="163">
        <v>-2.25</v>
      </c>
      <c r="N1012" s="161">
        <v>-0.05</v>
      </c>
      <c r="O1012" s="164" t="s">
        <v>1760</v>
      </c>
    </row>
    <row r="1013" spans="1:15" ht="43.2">
      <c r="A1013" s="161" t="s">
        <v>3297</v>
      </c>
      <c r="B1013" s="161" t="s">
        <v>1752</v>
      </c>
      <c r="C1013" s="161" t="s">
        <v>1749</v>
      </c>
      <c r="D1013" s="162">
        <v>43848</v>
      </c>
      <c r="E1013" s="161" t="s">
        <v>2905</v>
      </c>
      <c r="F1013" s="161" t="s">
        <v>1777</v>
      </c>
      <c r="G1013" s="161">
        <v>1</v>
      </c>
      <c r="H1013" s="161">
        <v>15</v>
      </c>
      <c r="I1013" s="161">
        <v>10</v>
      </c>
      <c r="J1013" s="161">
        <v>86.6</v>
      </c>
      <c r="K1013" s="161">
        <v>14</v>
      </c>
      <c r="L1013" s="163">
        <v>-3.23</v>
      </c>
      <c r="M1013" s="163">
        <v>-2.94</v>
      </c>
      <c r="N1013" s="161">
        <v>-2.4</v>
      </c>
      <c r="O1013" s="164" t="s">
        <v>1747</v>
      </c>
    </row>
    <row r="1014" spans="1:15" ht="43.2">
      <c r="A1014" s="161" t="s">
        <v>3298</v>
      </c>
      <c r="B1014" s="161" t="s">
        <v>1743</v>
      </c>
      <c r="C1014" s="161" t="s">
        <v>1786</v>
      </c>
      <c r="D1014" s="162">
        <v>43229</v>
      </c>
      <c r="E1014" s="161" t="s">
        <v>3076</v>
      </c>
      <c r="F1014" s="161" t="s">
        <v>2190</v>
      </c>
      <c r="G1014" s="161">
        <v>8</v>
      </c>
      <c r="H1014" s="161">
        <v>3</v>
      </c>
      <c r="I1014" s="161">
        <v>13.65</v>
      </c>
      <c r="J1014" s="161">
        <v>95.7</v>
      </c>
      <c r="K1014" s="161">
        <v>15.5</v>
      </c>
      <c r="L1014" s="163">
        <v>-1.99</v>
      </c>
      <c r="M1014" s="163">
        <v>-2.8</v>
      </c>
      <c r="N1014" s="161">
        <v>-0.34</v>
      </c>
      <c r="O1014" s="164" t="s">
        <v>1760</v>
      </c>
    </row>
    <row r="1015" spans="1:15" ht="43.2">
      <c r="A1015" s="161" t="s">
        <v>3299</v>
      </c>
      <c r="B1015" s="161" t="s">
        <v>1752</v>
      </c>
      <c r="C1015" s="161" t="s">
        <v>1786</v>
      </c>
      <c r="D1015" s="162">
        <v>43333</v>
      </c>
      <c r="E1015" s="161" t="s">
        <v>3166</v>
      </c>
      <c r="F1015" s="161" t="s">
        <v>2190</v>
      </c>
      <c r="G1015" s="161">
        <v>3</v>
      </c>
      <c r="H1015" s="161">
        <v>2</v>
      </c>
      <c r="I1015" s="161">
        <v>12.45</v>
      </c>
      <c r="J1015" s="161">
        <v>94.2</v>
      </c>
      <c r="K1015" s="161">
        <v>15.3</v>
      </c>
      <c r="L1015" s="163">
        <v>-2.69</v>
      </c>
      <c r="M1015" s="163">
        <v>-2.99</v>
      </c>
      <c r="N1015" s="161">
        <v>-1.37</v>
      </c>
      <c r="O1015" s="164" t="s">
        <v>1760</v>
      </c>
    </row>
    <row r="1016" spans="1:15" ht="43.2">
      <c r="A1016" s="161" t="s">
        <v>3300</v>
      </c>
      <c r="B1016" s="161" t="s">
        <v>1752</v>
      </c>
      <c r="C1016" s="161" t="s">
        <v>1744</v>
      </c>
      <c r="D1016" s="162">
        <v>44101</v>
      </c>
      <c r="E1016" s="161" t="s">
        <v>3164</v>
      </c>
      <c r="F1016" s="161" t="s">
        <v>2190</v>
      </c>
      <c r="G1016" s="161">
        <v>4</v>
      </c>
      <c r="H1016" s="161">
        <v>6</v>
      </c>
      <c r="I1016" s="161">
        <v>9.15</v>
      </c>
      <c r="J1016" s="161">
        <v>84.5</v>
      </c>
      <c r="K1016" s="161">
        <v>13</v>
      </c>
      <c r="L1016" s="163">
        <v>-3.21</v>
      </c>
      <c r="M1016" s="163">
        <v>-2.23</v>
      </c>
      <c r="N1016" s="161">
        <v>-2.97</v>
      </c>
      <c r="O1016" s="164" t="s">
        <v>1747</v>
      </c>
    </row>
    <row r="1017" spans="1:15" ht="43.2">
      <c r="A1017" s="161" t="s">
        <v>3301</v>
      </c>
      <c r="B1017" s="161" t="s">
        <v>1743</v>
      </c>
      <c r="C1017" s="161" t="s">
        <v>1744</v>
      </c>
      <c r="D1017" s="162">
        <v>44130</v>
      </c>
      <c r="E1017" s="161" t="s">
        <v>3074</v>
      </c>
      <c r="F1017" s="161" t="s">
        <v>2190</v>
      </c>
      <c r="G1017" s="161">
        <v>1</v>
      </c>
      <c r="H1017" s="161">
        <v>6</v>
      </c>
      <c r="I1017" s="161">
        <v>8.9</v>
      </c>
      <c r="J1017" s="161">
        <v>82.8</v>
      </c>
      <c r="K1017" s="161">
        <v>14</v>
      </c>
      <c r="L1017" s="163">
        <v>-2.9</v>
      </c>
      <c r="M1017" s="163">
        <v>-2.09</v>
      </c>
      <c r="N1017" s="161">
        <v>-2.3199999999999998</v>
      </c>
      <c r="O1017" s="164" t="s">
        <v>1747</v>
      </c>
    </row>
    <row r="1018" spans="1:15" ht="43.2">
      <c r="A1018" s="161" t="s">
        <v>3302</v>
      </c>
      <c r="B1018" s="161" t="s">
        <v>1752</v>
      </c>
      <c r="C1018" s="161" t="s">
        <v>1744</v>
      </c>
      <c r="D1018" s="162">
        <v>44119</v>
      </c>
      <c r="E1018" s="161" t="s">
        <v>2816</v>
      </c>
      <c r="F1018" s="161" t="s">
        <v>2190</v>
      </c>
      <c r="G1018" s="161">
        <v>3</v>
      </c>
      <c r="H1018" s="161">
        <v>4</v>
      </c>
      <c r="I1018" s="161">
        <v>9.9</v>
      </c>
      <c r="J1018" s="161">
        <v>79</v>
      </c>
      <c r="K1018" s="161">
        <v>15</v>
      </c>
      <c r="L1018" s="163">
        <v>-2.48</v>
      </c>
      <c r="M1018" s="163">
        <v>-3.74</v>
      </c>
      <c r="N1018" s="161">
        <v>-0.59</v>
      </c>
      <c r="O1018" s="164" t="s">
        <v>1760</v>
      </c>
    </row>
    <row r="1019" spans="1:15" ht="43.2">
      <c r="A1019" s="161" t="s">
        <v>3303</v>
      </c>
      <c r="B1019" s="161" t="s">
        <v>1752</v>
      </c>
      <c r="C1019" s="161" t="s">
        <v>1749</v>
      </c>
      <c r="D1019" s="162">
        <v>43888</v>
      </c>
      <c r="E1019" s="161" t="s">
        <v>2287</v>
      </c>
      <c r="F1019" s="161" t="s">
        <v>2190</v>
      </c>
      <c r="G1019" s="161">
        <v>5</v>
      </c>
      <c r="H1019" s="161">
        <v>2</v>
      </c>
      <c r="I1019" s="161">
        <v>10.4</v>
      </c>
      <c r="J1019" s="161">
        <v>86.7</v>
      </c>
      <c r="K1019" s="161">
        <v>13.5</v>
      </c>
      <c r="L1019" s="163">
        <v>-2.79</v>
      </c>
      <c r="M1019" s="163">
        <v>-2.7</v>
      </c>
      <c r="N1019" s="161">
        <v>-1.91</v>
      </c>
      <c r="O1019" s="164" t="s">
        <v>1760</v>
      </c>
    </row>
    <row r="1020" spans="1:15" ht="43.2">
      <c r="A1020" s="161" t="s">
        <v>3304</v>
      </c>
      <c r="B1020" s="161" t="s">
        <v>1743</v>
      </c>
      <c r="C1020" s="161" t="s">
        <v>1749</v>
      </c>
      <c r="D1020" s="162">
        <v>43821</v>
      </c>
      <c r="E1020" s="161" t="s">
        <v>3069</v>
      </c>
      <c r="F1020" s="161" t="s">
        <v>2190</v>
      </c>
      <c r="G1020" s="161">
        <v>7</v>
      </c>
      <c r="H1020" s="161">
        <v>2</v>
      </c>
      <c r="I1020" s="161">
        <v>9.0500000000000007</v>
      </c>
      <c r="J1020" s="161">
        <v>83.9</v>
      </c>
      <c r="K1020" s="161">
        <v>14.2</v>
      </c>
      <c r="L1020" s="163">
        <v>-3.75</v>
      </c>
      <c r="M1020" s="163">
        <v>-3.4</v>
      </c>
      <c r="N1020" s="161">
        <v>-2.41</v>
      </c>
      <c r="O1020" s="164" t="s">
        <v>1747</v>
      </c>
    </row>
    <row r="1021" spans="1:15" ht="43.2">
      <c r="A1021" s="161" t="s">
        <v>3305</v>
      </c>
      <c r="B1021" s="161" t="s">
        <v>1743</v>
      </c>
      <c r="C1021" s="161" t="s">
        <v>1749</v>
      </c>
      <c r="D1021" s="162">
        <v>43646</v>
      </c>
      <c r="E1021" s="161" t="s">
        <v>3306</v>
      </c>
      <c r="F1021" s="161" t="s">
        <v>1781</v>
      </c>
      <c r="G1021" s="161">
        <v>4</v>
      </c>
      <c r="H1021" s="161">
        <v>1</v>
      </c>
      <c r="I1021" s="161">
        <v>13.25</v>
      </c>
      <c r="J1021" s="161">
        <v>90.5</v>
      </c>
      <c r="K1021" s="161">
        <v>16</v>
      </c>
      <c r="L1021" s="163">
        <v>-1.21</v>
      </c>
      <c r="M1021" s="163">
        <v>-2.5099999999999998</v>
      </c>
      <c r="N1021" s="161">
        <v>0.41</v>
      </c>
      <c r="O1021" s="164" t="s">
        <v>1760</v>
      </c>
    </row>
    <row r="1022" spans="1:15" ht="43.2">
      <c r="A1022" s="161" t="s">
        <v>3307</v>
      </c>
      <c r="B1022" s="161" t="s">
        <v>1743</v>
      </c>
      <c r="C1022" s="161" t="s">
        <v>2055</v>
      </c>
      <c r="D1022" s="162">
        <v>44889</v>
      </c>
      <c r="E1022" s="161" t="s">
        <v>2119</v>
      </c>
      <c r="F1022" s="161" t="s">
        <v>1781</v>
      </c>
      <c r="G1022" s="161">
        <v>2</v>
      </c>
      <c r="H1022" s="161">
        <v>2</v>
      </c>
      <c r="I1022" s="161">
        <v>5</v>
      </c>
      <c r="J1022" s="161">
        <v>57</v>
      </c>
      <c r="K1022" s="161">
        <v>14</v>
      </c>
      <c r="L1022" s="163">
        <v>-2.27</v>
      </c>
      <c r="M1022" s="163">
        <v>-2.67</v>
      </c>
      <c r="N1022" s="161">
        <v>-0.18</v>
      </c>
      <c r="O1022" s="164" t="s">
        <v>1760</v>
      </c>
    </row>
    <row r="1023" spans="1:15" ht="43.2">
      <c r="A1023" s="161" t="s">
        <v>3308</v>
      </c>
      <c r="B1023" s="161" t="s">
        <v>1752</v>
      </c>
      <c r="C1023" s="161" t="s">
        <v>1755</v>
      </c>
      <c r="D1023" s="162">
        <v>44522</v>
      </c>
      <c r="E1023" s="161" t="s">
        <v>3309</v>
      </c>
      <c r="F1023" s="161" t="s">
        <v>1781</v>
      </c>
      <c r="G1023" s="161"/>
      <c r="H1023" s="161">
        <v>3</v>
      </c>
      <c r="I1023" s="161">
        <v>7.74</v>
      </c>
      <c r="J1023" s="161">
        <v>70.900000000000006</v>
      </c>
      <c r="K1023" s="161">
        <v>13.5</v>
      </c>
      <c r="L1023" s="163">
        <v>-2.85</v>
      </c>
      <c r="M1023" s="163">
        <v>-3.76</v>
      </c>
      <c r="N1023" s="161">
        <v>-1.34</v>
      </c>
      <c r="O1023" s="164" t="s">
        <v>1760</v>
      </c>
    </row>
    <row r="1024" spans="1:15" ht="43.2">
      <c r="A1024" s="161" t="s">
        <v>3310</v>
      </c>
      <c r="B1024" s="161" t="s">
        <v>1743</v>
      </c>
      <c r="C1024" s="161" t="s">
        <v>1755</v>
      </c>
      <c r="D1024" s="162">
        <v>44502</v>
      </c>
      <c r="E1024" s="161" t="s">
        <v>2824</v>
      </c>
      <c r="F1024" s="161" t="s">
        <v>1781</v>
      </c>
      <c r="G1024" s="161">
        <v>1</v>
      </c>
      <c r="H1024" s="161">
        <v>3</v>
      </c>
      <c r="I1024" s="161">
        <v>7.62</v>
      </c>
      <c r="J1024" s="161">
        <v>72.8</v>
      </c>
      <c r="K1024" s="161">
        <v>13.5</v>
      </c>
      <c r="L1024" s="163">
        <v>-2.33</v>
      </c>
      <c r="M1024" s="163">
        <v>-2.46</v>
      </c>
      <c r="N1024" s="161">
        <v>-1.54</v>
      </c>
      <c r="O1024" s="164" t="s">
        <v>1760</v>
      </c>
    </row>
    <row r="1025" spans="1:15" ht="43.2">
      <c r="A1025" s="161" t="s">
        <v>3311</v>
      </c>
      <c r="B1025" s="161" t="s">
        <v>1743</v>
      </c>
      <c r="C1025" s="161" t="s">
        <v>1744</v>
      </c>
      <c r="D1025" s="162">
        <v>43992</v>
      </c>
      <c r="E1025" s="161" t="s">
        <v>3312</v>
      </c>
      <c r="F1025" s="161" t="s">
        <v>1781</v>
      </c>
      <c r="G1025" s="161"/>
      <c r="H1025" s="161">
        <v>3</v>
      </c>
      <c r="I1025" s="161">
        <v>10.95</v>
      </c>
      <c r="J1025" s="161">
        <v>83</v>
      </c>
      <c r="K1025" s="161">
        <v>16</v>
      </c>
      <c r="L1025" s="163">
        <v>-1.66</v>
      </c>
      <c r="M1025" s="163">
        <v>-2.85</v>
      </c>
      <c r="N1025" s="161">
        <v>0.05</v>
      </c>
      <c r="O1025" s="164" t="s">
        <v>1760</v>
      </c>
    </row>
    <row r="1026" spans="1:15" ht="43.2">
      <c r="A1026" s="161" t="s">
        <v>3313</v>
      </c>
      <c r="B1026" s="161" t="s">
        <v>1743</v>
      </c>
      <c r="C1026" s="161" t="s">
        <v>1744</v>
      </c>
      <c r="D1026" s="162">
        <v>43992</v>
      </c>
      <c r="E1026" s="161" t="s">
        <v>2822</v>
      </c>
      <c r="F1026" s="161" t="s">
        <v>1781</v>
      </c>
      <c r="G1026" s="161">
        <v>2</v>
      </c>
      <c r="H1026" s="161">
        <v>12</v>
      </c>
      <c r="I1026" s="161">
        <v>10</v>
      </c>
      <c r="J1026" s="161">
        <v>81.2</v>
      </c>
      <c r="K1026" s="161">
        <v>14</v>
      </c>
      <c r="L1026" s="163">
        <v>-2.4300000000000002</v>
      </c>
      <c r="M1026" s="163">
        <v>-3.33</v>
      </c>
      <c r="N1026" s="161">
        <v>-0.54</v>
      </c>
      <c r="O1026" s="164" t="s">
        <v>1760</v>
      </c>
    </row>
    <row r="1027" spans="1:15" ht="43.2">
      <c r="A1027" s="161" t="s">
        <v>3314</v>
      </c>
      <c r="B1027" s="161" t="s">
        <v>1752</v>
      </c>
      <c r="C1027" s="161" t="s">
        <v>1749</v>
      </c>
      <c r="D1027" s="162">
        <v>43841</v>
      </c>
      <c r="E1027" s="161" t="s">
        <v>2320</v>
      </c>
      <c r="F1027" s="161" t="s">
        <v>1781</v>
      </c>
      <c r="G1027" s="161">
        <v>3</v>
      </c>
      <c r="H1027" s="161">
        <v>11</v>
      </c>
      <c r="I1027" s="161">
        <v>10.8</v>
      </c>
      <c r="J1027" s="161">
        <v>88.2</v>
      </c>
      <c r="K1027" s="161">
        <v>14.5</v>
      </c>
      <c r="L1027" s="163">
        <v>-2.62</v>
      </c>
      <c r="M1027" s="163">
        <v>-2.54</v>
      </c>
      <c r="N1027" s="161">
        <v>-1.82</v>
      </c>
      <c r="O1027" s="164" t="s">
        <v>1760</v>
      </c>
    </row>
    <row r="1028" spans="1:15" ht="43.2">
      <c r="A1028" s="161" t="s">
        <v>3315</v>
      </c>
      <c r="B1028" s="161" t="s">
        <v>1752</v>
      </c>
      <c r="C1028" s="161" t="s">
        <v>1749</v>
      </c>
      <c r="D1028" s="162">
        <v>43703</v>
      </c>
      <c r="E1028" s="161" t="s">
        <v>2310</v>
      </c>
      <c r="F1028" s="161" t="s">
        <v>1781</v>
      </c>
      <c r="G1028" s="161">
        <v>1</v>
      </c>
      <c r="H1028" s="161">
        <v>11</v>
      </c>
      <c r="I1028" s="161">
        <v>10.9</v>
      </c>
      <c r="J1028" s="161">
        <v>90.5</v>
      </c>
      <c r="K1028" s="161">
        <v>13.5</v>
      </c>
      <c r="L1028" s="163">
        <v>-2.9</v>
      </c>
      <c r="M1028" s="163">
        <v>-2.5299999999999998</v>
      </c>
      <c r="N1028" s="161">
        <v>-2.27</v>
      </c>
      <c r="O1028" s="164" t="s">
        <v>1747</v>
      </c>
    </row>
    <row r="1029" spans="1:15" ht="43.2">
      <c r="A1029" s="161" t="s">
        <v>3316</v>
      </c>
      <c r="B1029" s="161" t="s">
        <v>1752</v>
      </c>
      <c r="C1029" s="161" t="s">
        <v>1749</v>
      </c>
      <c r="D1029" s="162">
        <v>43659</v>
      </c>
      <c r="E1029" s="161" t="s">
        <v>2313</v>
      </c>
      <c r="F1029" s="161" t="s">
        <v>1781</v>
      </c>
      <c r="G1029" s="161">
        <v>2</v>
      </c>
      <c r="H1029" s="161">
        <v>11</v>
      </c>
      <c r="I1029" s="161">
        <v>11.95</v>
      </c>
      <c r="J1029" s="161">
        <v>92.1</v>
      </c>
      <c r="K1029" s="161">
        <v>15</v>
      </c>
      <c r="L1029" s="163">
        <v>-2.2599999999999998</v>
      </c>
      <c r="M1029" s="163">
        <v>-2.31</v>
      </c>
      <c r="N1029" s="161">
        <v>-1.43</v>
      </c>
      <c r="O1029" s="164" t="s">
        <v>1760</v>
      </c>
    </row>
    <row r="1030" spans="1:15" ht="43.2">
      <c r="A1030" s="161" t="s">
        <v>3317</v>
      </c>
      <c r="B1030" s="161" t="s">
        <v>1752</v>
      </c>
      <c r="C1030" s="161" t="s">
        <v>1786</v>
      </c>
      <c r="D1030" s="162">
        <v>43364</v>
      </c>
      <c r="E1030" s="161" t="s">
        <v>3318</v>
      </c>
      <c r="F1030" s="161" t="s">
        <v>1781</v>
      </c>
      <c r="G1030" s="161">
        <v>0</v>
      </c>
      <c r="H1030" s="161">
        <v>3</v>
      </c>
      <c r="I1030" s="161">
        <v>11.45</v>
      </c>
      <c r="J1030" s="161">
        <v>87.6</v>
      </c>
      <c r="K1030" s="161">
        <v>15</v>
      </c>
      <c r="L1030" s="163">
        <v>-3.26</v>
      </c>
      <c r="M1030" s="163">
        <v>-4.37</v>
      </c>
      <c r="N1030" s="161">
        <v>-0.91</v>
      </c>
      <c r="O1030" s="164" t="s">
        <v>1760</v>
      </c>
    </row>
    <row r="1031" spans="1:15" ht="43.2">
      <c r="A1031" s="161" t="s">
        <v>3319</v>
      </c>
      <c r="B1031" s="161" t="s">
        <v>1752</v>
      </c>
      <c r="C1031" s="161" t="s">
        <v>1786</v>
      </c>
      <c r="D1031" s="162">
        <v>43298</v>
      </c>
      <c r="E1031" s="161" t="s">
        <v>3320</v>
      </c>
      <c r="F1031" s="161" t="s">
        <v>1781</v>
      </c>
      <c r="G1031" s="161">
        <v>0</v>
      </c>
      <c r="H1031" s="161">
        <v>3</v>
      </c>
      <c r="I1031" s="161">
        <v>10.8</v>
      </c>
      <c r="J1031" s="161">
        <v>90</v>
      </c>
      <c r="K1031" s="161">
        <v>14.4</v>
      </c>
      <c r="L1031" s="163">
        <v>-3.77</v>
      </c>
      <c r="M1031" s="163">
        <v>-4.0199999999999996</v>
      </c>
      <c r="N1031" s="161">
        <v>-2.27</v>
      </c>
      <c r="O1031" s="164" t="s">
        <v>1747</v>
      </c>
    </row>
    <row r="1032" spans="1:15" ht="28.8">
      <c r="A1032" s="161" t="s">
        <v>3321</v>
      </c>
      <c r="B1032" s="161" t="s">
        <v>1743</v>
      </c>
      <c r="C1032" s="161" t="s">
        <v>1755</v>
      </c>
      <c r="D1032" s="162">
        <v>44541</v>
      </c>
      <c r="E1032" s="161" t="s">
        <v>3322</v>
      </c>
      <c r="F1032" s="161" t="s">
        <v>1784</v>
      </c>
      <c r="G1032" s="161">
        <v>4</v>
      </c>
      <c r="H1032" s="161">
        <v>1</v>
      </c>
      <c r="I1032" s="161">
        <v>8</v>
      </c>
      <c r="J1032" s="161">
        <v>70</v>
      </c>
      <c r="K1032" s="161">
        <v>15</v>
      </c>
      <c r="L1032" s="163">
        <v>-1.68</v>
      </c>
      <c r="M1032" s="163">
        <v>-3.04</v>
      </c>
      <c r="N1032" s="161">
        <v>-0.22</v>
      </c>
      <c r="O1032" s="164" t="s">
        <v>1760</v>
      </c>
    </row>
    <row r="1033" spans="1:15" ht="28.8">
      <c r="A1033" s="161" t="s">
        <v>3323</v>
      </c>
      <c r="B1033" s="161" t="s">
        <v>1752</v>
      </c>
      <c r="C1033" s="161" t="s">
        <v>1755</v>
      </c>
      <c r="D1033" s="162">
        <v>44364</v>
      </c>
      <c r="E1033" s="161" t="s">
        <v>2658</v>
      </c>
      <c r="F1033" s="161" t="s">
        <v>1784</v>
      </c>
      <c r="G1033" s="161">
        <v>2</v>
      </c>
      <c r="H1033" s="161">
        <v>7</v>
      </c>
      <c r="I1033" s="161">
        <v>8</v>
      </c>
      <c r="J1033" s="161">
        <v>78</v>
      </c>
      <c r="K1033" s="161">
        <v>14</v>
      </c>
      <c r="L1033" s="163">
        <v>-3.33</v>
      </c>
      <c r="M1033" s="163">
        <v>-2.66</v>
      </c>
      <c r="N1033" s="161">
        <v>-2.9</v>
      </c>
      <c r="O1033" s="164" t="s">
        <v>1747</v>
      </c>
    </row>
    <row r="1034" spans="1:15" ht="28.8">
      <c r="A1034" s="161" t="s">
        <v>3324</v>
      </c>
      <c r="B1034" s="161" t="s">
        <v>1752</v>
      </c>
      <c r="C1034" s="161" t="s">
        <v>1749</v>
      </c>
      <c r="D1034" s="162">
        <v>43909</v>
      </c>
      <c r="E1034" s="161" t="s">
        <v>3188</v>
      </c>
      <c r="F1034" s="161" t="s">
        <v>1784</v>
      </c>
      <c r="G1034" s="161">
        <v>5</v>
      </c>
      <c r="H1034" s="161">
        <v>6</v>
      </c>
      <c r="I1034" s="161">
        <v>10.6</v>
      </c>
      <c r="J1034" s="161">
        <v>87.5</v>
      </c>
      <c r="K1034" s="161">
        <v>15.5</v>
      </c>
      <c r="L1034" s="163">
        <v>-2.57</v>
      </c>
      <c r="M1034" s="163">
        <v>-2.39</v>
      </c>
      <c r="N1034" s="161">
        <v>-1.88</v>
      </c>
      <c r="O1034" s="164" t="s">
        <v>1760</v>
      </c>
    </row>
    <row r="1035" spans="1:15" ht="43.2">
      <c r="A1035" s="161" t="s">
        <v>3325</v>
      </c>
      <c r="B1035" s="161" t="s">
        <v>1743</v>
      </c>
      <c r="C1035" s="161" t="s">
        <v>1744</v>
      </c>
      <c r="D1035" s="162">
        <v>44068</v>
      </c>
      <c r="E1035" s="161" t="s">
        <v>3326</v>
      </c>
      <c r="F1035" s="161" t="s">
        <v>1784</v>
      </c>
      <c r="G1035" s="161">
        <v>1</v>
      </c>
      <c r="H1035" s="161">
        <v>2</v>
      </c>
      <c r="I1035" s="161">
        <v>11</v>
      </c>
      <c r="J1035" s="161">
        <v>83.5</v>
      </c>
      <c r="K1035" s="161"/>
      <c r="L1035" s="163">
        <v>-1.33</v>
      </c>
      <c r="M1035" s="163">
        <v>-2.2799999999999998</v>
      </c>
      <c r="N1035" s="161">
        <v>-0.03</v>
      </c>
      <c r="O1035" s="164" t="s">
        <v>1760</v>
      </c>
    </row>
    <row r="1036" spans="1:15" ht="28.8">
      <c r="A1036" s="161" t="s">
        <v>3327</v>
      </c>
      <c r="B1036" s="161" t="s">
        <v>1752</v>
      </c>
      <c r="C1036" s="161" t="s">
        <v>1749</v>
      </c>
      <c r="D1036" s="162">
        <v>43694</v>
      </c>
      <c r="E1036" s="161" t="s">
        <v>2326</v>
      </c>
      <c r="F1036" s="161" t="s">
        <v>1784</v>
      </c>
      <c r="G1036" s="161">
        <v>7</v>
      </c>
      <c r="H1036" s="161">
        <v>7</v>
      </c>
      <c r="I1036" s="161">
        <v>14.3</v>
      </c>
      <c r="J1036" s="161">
        <v>92.5</v>
      </c>
      <c r="K1036" s="161">
        <v>16.5</v>
      </c>
      <c r="L1036" s="163">
        <v>-0.71</v>
      </c>
      <c r="M1036" s="163">
        <v>-2.06</v>
      </c>
      <c r="N1036" s="161">
        <v>0.74</v>
      </c>
      <c r="O1036" s="164" t="s">
        <v>1760</v>
      </c>
    </row>
    <row r="1037" spans="1:15" ht="28.8">
      <c r="A1037" s="161" t="s">
        <v>3328</v>
      </c>
      <c r="B1037" s="161" t="s">
        <v>1743</v>
      </c>
      <c r="C1037" s="161" t="s">
        <v>1755</v>
      </c>
      <c r="D1037" s="162">
        <v>44443</v>
      </c>
      <c r="E1037" s="161" t="s">
        <v>1798</v>
      </c>
      <c r="F1037" s="161" t="s">
        <v>1784</v>
      </c>
      <c r="G1037" s="161">
        <v>4</v>
      </c>
      <c r="H1037" s="161">
        <v>5</v>
      </c>
      <c r="I1037" s="161">
        <v>7.9</v>
      </c>
      <c r="J1037" s="161">
        <v>75</v>
      </c>
      <c r="K1037" s="161"/>
      <c r="L1037" s="163">
        <v>-2.38</v>
      </c>
      <c r="M1037" s="163">
        <v>-2.3199999999999998</v>
      </c>
      <c r="N1037" s="161">
        <v>-1.68</v>
      </c>
      <c r="O1037" s="164" t="s">
        <v>1760</v>
      </c>
    </row>
    <row r="1038" spans="1:15" ht="28.8">
      <c r="A1038" s="161" t="s">
        <v>3329</v>
      </c>
      <c r="B1038" s="161" t="s">
        <v>1752</v>
      </c>
      <c r="C1038" s="161" t="s">
        <v>1744</v>
      </c>
      <c r="D1038" s="162">
        <v>44296</v>
      </c>
      <c r="E1038" s="161" t="s">
        <v>3330</v>
      </c>
      <c r="F1038" s="161" t="s">
        <v>1784</v>
      </c>
      <c r="G1038" s="161">
        <v>3</v>
      </c>
      <c r="H1038" s="161">
        <v>1</v>
      </c>
      <c r="I1038" s="161">
        <v>9.1999999999999993</v>
      </c>
      <c r="J1038" s="161">
        <v>70.099999999999994</v>
      </c>
      <c r="K1038" s="161"/>
      <c r="L1038" s="163">
        <v>-2.44</v>
      </c>
      <c r="M1038" s="163">
        <v>-5.8</v>
      </c>
      <c r="N1038" s="161">
        <v>1.02</v>
      </c>
      <c r="O1038" s="164" t="s">
        <v>1757</v>
      </c>
    </row>
    <row r="1039" spans="1:15" ht="28.8">
      <c r="A1039" s="161" t="s">
        <v>3331</v>
      </c>
      <c r="B1039" s="161" t="s">
        <v>1752</v>
      </c>
      <c r="C1039" s="161" t="s">
        <v>1755</v>
      </c>
      <c r="D1039" s="162">
        <v>44370</v>
      </c>
      <c r="E1039" s="161" t="s">
        <v>3332</v>
      </c>
      <c r="F1039" s="161" t="s">
        <v>1784</v>
      </c>
      <c r="G1039" s="161">
        <v>5</v>
      </c>
      <c r="H1039" s="161">
        <v>1</v>
      </c>
      <c r="I1039" s="161">
        <v>9</v>
      </c>
      <c r="J1039" s="161">
        <v>78.3</v>
      </c>
      <c r="K1039" s="161">
        <v>13.5</v>
      </c>
      <c r="L1039" s="163">
        <v>-2.2999999999999998</v>
      </c>
      <c r="M1039" s="163">
        <v>-2.54</v>
      </c>
      <c r="N1039" s="161">
        <v>-1.46</v>
      </c>
      <c r="O1039" s="164" t="s">
        <v>1760</v>
      </c>
    </row>
    <row r="1040" spans="1:15" ht="28.8">
      <c r="A1040" s="161" t="s">
        <v>3333</v>
      </c>
      <c r="B1040" s="161" t="s">
        <v>1752</v>
      </c>
      <c r="C1040" s="161" t="s">
        <v>1744</v>
      </c>
      <c r="D1040" s="162">
        <v>44144</v>
      </c>
      <c r="E1040" s="161" t="s">
        <v>2036</v>
      </c>
      <c r="F1040" s="161" t="s">
        <v>1784</v>
      </c>
      <c r="G1040" s="161">
        <v>2</v>
      </c>
      <c r="H1040" s="161">
        <v>4</v>
      </c>
      <c r="I1040" s="161">
        <v>8.9</v>
      </c>
      <c r="J1040" s="161">
        <v>78.400000000000006</v>
      </c>
      <c r="K1040" s="161">
        <v>13.5</v>
      </c>
      <c r="L1040" s="163">
        <v>-3.31</v>
      </c>
      <c r="M1040" s="163">
        <v>-3.82</v>
      </c>
      <c r="N1040" s="161">
        <v>-1.78</v>
      </c>
      <c r="O1040" s="164" t="s">
        <v>1760</v>
      </c>
    </row>
    <row r="1041" spans="1:15" ht="28.8">
      <c r="A1041" s="161" t="s">
        <v>3334</v>
      </c>
      <c r="B1041" s="161" t="s">
        <v>1743</v>
      </c>
      <c r="C1041" s="161" t="s">
        <v>1749</v>
      </c>
      <c r="D1041" s="162">
        <v>43799</v>
      </c>
      <c r="E1041" s="161" t="s">
        <v>3335</v>
      </c>
      <c r="F1041" s="161" t="s">
        <v>1784</v>
      </c>
      <c r="G1041" s="161">
        <v>4</v>
      </c>
      <c r="H1041" s="161">
        <v>1</v>
      </c>
      <c r="I1041" s="161">
        <v>11.5</v>
      </c>
      <c r="J1041" s="161">
        <v>86.5</v>
      </c>
      <c r="K1041" s="161">
        <v>15.5</v>
      </c>
      <c r="L1041" s="163">
        <v>-1.91</v>
      </c>
      <c r="M1041" s="163">
        <v>-2.88</v>
      </c>
      <c r="N1041" s="161">
        <v>-0.26</v>
      </c>
      <c r="O1041" s="164" t="s">
        <v>1760</v>
      </c>
    </row>
    <row r="1042" spans="1:15" ht="43.2">
      <c r="A1042" s="161" t="s">
        <v>3336</v>
      </c>
      <c r="B1042" s="161" t="s">
        <v>1752</v>
      </c>
      <c r="C1042" s="161" t="s">
        <v>2055</v>
      </c>
      <c r="D1042" s="162">
        <v>45043</v>
      </c>
      <c r="E1042" s="161" t="s">
        <v>2345</v>
      </c>
      <c r="F1042" s="161" t="s">
        <v>1807</v>
      </c>
      <c r="G1042" s="161">
        <v>1</v>
      </c>
      <c r="H1042" s="161">
        <v>3</v>
      </c>
      <c r="I1042" s="161">
        <v>2.9</v>
      </c>
      <c r="J1042" s="161">
        <v>49</v>
      </c>
      <c r="K1042" s="161"/>
      <c r="L1042" s="163">
        <v>-2.82</v>
      </c>
      <c r="M1042" s="163">
        <v>-2.35</v>
      </c>
      <c r="N1042" s="161">
        <v>-1.37</v>
      </c>
      <c r="O1042" s="164" t="s">
        <v>1760</v>
      </c>
    </row>
    <row r="1043" spans="1:15" ht="57.6">
      <c r="A1043" s="161" t="s">
        <v>3337</v>
      </c>
      <c r="B1043" s="161" t="s">
        <v>1743</v>
      </c>
      <c r="C1043" s="161" t="s">
        <v>1749</v>
      </c>
      <c r="D1043" s="162">
        <v>43664</v>
      </c>
      <c r="E1043" s="161" t="s">
        <v>3338</v>
      </c>
      <c r="F1043" s="161" t="s">
        <v>1807</v>
      </c>
      <c r="G1043" s="161">
        <v>7</v>
      </c>
      <c r="H1043" s="161">
        <v>1</v>
      </c>
      <c r="I1043" s="161">
        <v>9.1</v>
      </c>
      <c r="J1043" s="161">
        <v>81.3</v>
      </c>
      <c r="K1043" s="161">
        <v>13.2</v>
      </c>
      <c r="L1043" s="163">
        <v>-3.24</v>
      </c>
      <c r="M1043" s="163">
        <v>-3.31</v>
      </c>
      <c r="N1043" s="161">
        <v>-1.67</v>
      </c>
      <c r="O1043" s="164" t="s">
        <v>1760</v>
      </c>
    </row>
    <row r="1044" spans="1:15" ht="43.2">
      <c r="A1044" s="161" t="s">
        <v>3339</v>
      </c>
      <c r="B1044" s="161" t="s">
        <v>1752</v>
      </c>
      <c r="C1044" s="161" t="s">
        <v>1749</v>
      </c>
      <c r="D1044" s="162">
        <v>43669</v>
      </c>
      <c r="E1044" s="161" t="s">
        <v>3262</v>
      </c>
      <c r="F1044" s="161" t="s">
        <v>1807</v>
      </c>
      <c r="G1044" s="161">
        <v>7</v>
      </c>
      <c r="H1044" s="161">
        <v>1</v>
      </c>
      <c r="I1044" s="161">
        <v>10.199999999999999</v>
      </c>
      <c r="J1044" s="161">
        <v>86.4</v>
      </c>
      <c r="K1044" s="161">
        <v>15.5</v>
      </c>
      <c r="L1044" s="163">
        <v>-2.64</v>
      </c>
      <c r="M1044" s="163">
        <v>-2.4700000000000002</v>
      </c>
      <c r="N1044" s="161">
        <v>-1.89</v>
      </c>
      <c r="O1044" s="164" t="s">
        <v>1760</v>
      </c>
    </row>
    <row r="1045" spans="1:15" ht="43.2">
      <c r="A1045" s="161" t="s">
        <v>3340</v>
      </c>
      <c r="B1045" s="161" t="s">
        <v>1752</v>
      </c>
      <c r="C1045" s="161" t="s">
        <v>1749</v>
      </c>
      <c r="D1045" s="162">
        <v>43892</v>
      </c>
      <c r="E1045" s="161" t="s">
        <v>2843</v>
      </c>
      <c r="F1045" s="161" t="s">
        <v>1807</v>
      </c>
      <c r="G1045" s="161">
        <v>4</v>
      </c>
      <c r="H1045" s="161">
        <v>4</v>
      </c>
      <c r="I1045" s="161">
        <v>10.4</v>
      </c>
      <c r="J1045" s="161">
        <v>81</v>
      </c>
      <c r="K1045" s="161"/>
      <c r="L1045" s="163">
        <v>-1.67</v>
      </c>
      <c r="M1045" s="163">
        <v>-2.52</v>
      </c>
      <c r="N1045" s="161">
        <v>-0.43</v>
      </c>
      <c r="O1045" s="164" t="s">
        <v>1760</v>
      </c>
    </row>
    <row r="1046" spans="1:15" ht="57.6">
      <c r="A1046" s="161" t="s">
        <v>3341</v>
      </c>
      <c r="B1046" s="161" t="s">
        <v>1743</v>
      </c>
      <c r="C1046" s="161" t="s">
        <v>1749</v>
      </c>
      <c r="D1046" s="162">
        <v>43721</v>
      </c>
      <c r="E1046" s="161" t="s">
        <v>2611</v>
      </c>
      <c r="F1046" s="161" t="s">
        <v>1807</v>
      </c>
      <c r="G1046" s="161">
        <v>1</v>
      </c>
      <c r="H1046" s="161">
        <v>4</v>
      </c>
      <c r="I1046" s="161">
        <v>12</v>
      </c>
      <c r="J1046" s="161">
        <v>83</v>
      </c>
      <c r="K1046" s="161"/>
      <c r="L1046" s="163">
        <v>-0.74</v>
      </c>
      <c r="M1046" s="163">
        <v>-2.6</v>
      </c>
      <c r="N1046" s="161">
        <v>1.05</v>
      </c>
      <c r="O1046" s="164" t="s">
        <v>1757</v>
      </c>
    </row>
    <row r="1047" spans="1:15" ht="43.2">
      <c r="A1047" s="161" t="s">
        <v>3342</v>
      </c>
      <c r="B1047" s="161" t="s">
        <v>1752</v>
      </c>
      <c r="C1047" s="161" t="s">
        <v>1749</v>
      </c>
      <c r="D1047" s="162">
        <v>43818</v>
      </c>
      <c r="E1047" s="161" t="s">
        <v>2951</v>
      </c>
      <c r="F1047" s="161" t="s">
        <v>1807</v>
      </c>
      <c r="G1047" s="161">
        <v>2</v>
      </c>
      <c r="H1047" s="161">
        <v>4</v>
      </c>
      <c r="I1047" s="161">
        <v>12.4</v>
      </c>
      <c r="J1047" s="161">
        <v>82</v>
      </c>
      <c r="K1047" s="161"/>
      <c r="L1047" s="163">
        <v>-0.5</v>
      </c>
      <c r="M1047" s="163">
        <v>-2.77</v>
      </c>
      <c r="N1047" s="161">
        <v>1.45</v>
      </c>
      <c r="O1047" s="164" t="s">
        <v>1757</v>
      </c>
    </row>
    <row r="1048" spans="1:15" ht="43.2">
      <c r="A1048" s="161" t="s">
        <v>3343</v>
      </c>
      <c r="B1048" s="161" t="s">
        <v>1752</v>
      </c>
      <c r="C1048" s="161" t="s">
        <v>1749</v>
      </c>
      <c r="D1048" s="162">
        <v>43731</v>
      </c>
      <c r="E1048" s="161" t="s">
        <v>2948</v>
      </c>
      <c r="F1048" s="161" t="s">
        <v>1807</v>
      </c>
      <c r="G1048" s="161">
        <v>8</v>
      </c>
      <c r="H1048" s="161">
        <v>2</v>
      </c>
      <c r="I1048" s="161">
        <v>12.7</v>
      </c>
      <c r="J1048" s="161">
        <v>83</v>
      </c>
      <c r="K1048" s="161"/>
      <c r="L1048" s="163">
        <v>-0.62</v>
      </c>
      <c r="M1048" s="163">
        <v>-2.96</v>
      </c>
      <c r="N1048" s="161">
        <v>1.5</v>
      </c>
      <c r="O1048" s="164" t="s">
        <v>1757</v>
      </c>
    </row>
    <row r="1049" spans="1:15" ht="72">
      <c r="A1049" s="161" t="s">
        <v>3344</v>
      </c>
      <c r="B1049" s="161" t="s">
        <v>1743</v>
      </c>
      <c r="C1049" s="161" t="s">
        <v>1749</v>
      </c>
      <c r="D1049" s="162">
        <v>43652</v>
      </c>
      <c r="E1049" s="161" t="s">
        <v>2977</v>
      </c>
      <c r="F1049" s="161" t="s">
        <v>1746</v>
      </c>
      <c r="G1049" s="161">
        <v>2</v>
      </c>
      <c r="H1049" s="161">
        <v>1</v>
      </c>
      <c r="I1049" s="161">
        <v>12.4</v>
      </c>
      <c r="J1049" s="161">
        <v>84</v>
      </c>
      <c r="K1049" s="161"/>
      <c r="L1049" s="163">
        <v>-0.73</v>
      </c>
      <c r="M1049" s="163">
        <v>-2.69</v>
      </c>
      <c r="N1049" s="161">
        <v>1.17</v>
      </c>
      <c r="O1049" s="164" t="s">
        <v>1757</v>
      </c>
    </row>
    <row r="1050" spans="1:15" ht="43.2">
      <c r="A1050" s="161" t="s">
        <v>3345</v>
      </c>
      <c r="B1050" s="161" t="s">
        <v>1743</v>
      </c>
      <c r="C1050" s="161" t="s">
        <v>1744</v>
      </c>
      <c r="D1050" s="162">
        <v>44231</v>
      </c>
      <c r="E1050" s="161" t="s">
        <v>3267</v>
      </c>
      <c r="F1050" s="161" t="s">
        <v>1746</v>
      </c>
      <c r="G1050" s="161">
        <v>8</v>
      </c>
      <c r="H1050" s="161">
        <v>3</v>
      </c>
      <c r="I1050" s="161">
        <v>9.4</v>
      </c>
      <c r="J1050" s="161">
        <v>68</v>
      </c>
      <c r="K1050" s="161"/>
      <c r="L1050" s="163">
        <v>-0.28000000000000003</v>
      </c>
      <c r="M1050" s="163">
        <v>-3.67</v>
      </c>
      <c r="N1050" s="161">
        <v>2.0499999999999998</v>
      </c>
      <c r="O1050" s="164" t="s">
        <v>2078</v>
      </c>
    </row>
    <row r="1051" spans="1:15" ht="43.2">
      <c r="A1051" s="161" t="s">
        <v>3346</v>
      </c>
      <c r="B1051" s="161" t="s">
        <v>1752</v>
      </c>
      <c r="C1051" s="161" t="s">
        <v>1744</v>
      </c>
      <c r="D1051" s="162">
        <v>43971</v>
      </c>
      <c r="E1051" s="161" t="s">
        <v>3203</v>
      </c>
      <c r="F1051" s="161" t="s">
        <v>1746</v>
      </c>
      <c r="G1051" s="161">
        <v>2</v>
      </c>
      <c r="H1051" s="161">
        <v>4</v>
      </c>
      <c r="I1051" s="161">
        <v>11.6</v>
      </c>
      <c r="J1051" s="161">
        <v>74</v>
      </c>
      <c r="K1051" s="161"/>
      <c r="L1051" s="163">
        <v>-0.43</v>
      </c>
      <c r="M1051" s="163">
        <v>-4.32</v>
      </c>
      <c r="N1051" s="161">
        <v>2.39</v>
      </c>
      <c r="O1051" s="164" t="s">
        <v>2078</v>
      </c>
    </row>
    <row r="1052" spans="1:15" ht="43.2">
      <c r="A1052" s="161" t="s">
        <v>3347</v>
      </c>
      <c r="B1052" s="161" t="s">
        <v>1743</v>
      </c>
      <c r="C1052" s="161" t="s">
        <v>1744</v>
      </c>
      <c r="D1052" s="162">
        <v>44007</v>
      </c>
      <c r="E1052" s="161" t="s">
        <v>2376</v>
      </c>
      <c r="F1052" s="161" t="s">
        <v>1746</v>
      </c>
      <c r="G1052" s="161">
        <v>4</v>
      </c>
      <c r="H1052" s="161">
        <v>1</v>
      </c>
      <c r="I1052" s="161">
        <v>11</v>
      </c>
      <c r="J1052" s="161">
        <v>73</v>
      </c>
      <c r="K1052" s="161"/>
      <c r="L1052" s="163">
        <v>-0.19</v>
      </c>
      <c r="M1052" s="163">
        <v>-3.72</v>
      </c>
      <c r="N1052" s="161">
        <v>2.25</v>
      </c>
      <c r="O1052" s="164" t="s">
        <v>2078</v>
      </c>
    </row>
    <row r="1053" spans="1:15" ht="72">
      <c r="A1053" s="161" t="s">
        <v>3348</v>
      </c>
      <c r="B1053" s="161" t="s">
        <v>1752</v>
      </c>
      <c r="C1053" s="161" t="s">
        <v>1749</v>
      </c>
      <c r="D1053" s="162">
        <v>43840</v>
      </c>
      <c r="E1053" s="161" t="s">
        <v>2970</v>
      </c>
      <c r="F1053" s="161" t="s">
        <v>1746</v>
      </c>
      <c r="G1053" s="161">
        <v>5</v>
      </c>
      <c r="H1053" s="161">
        <v>3</v>
      </c>
      <c r="I1053" s="161">
        <v>11.4</v>
      </c>
      <c r="J1053" s="161">
        <v>74.099999999999994</v>
      </c>
      <c r="K1053" s="161"/>
      <c r="L1053" s="163">
        <v>-1.1299999999999999</v>
      </c>
      <c r="M1053" s="163">
        <v>-5.23</v>
      </c>
      <c r="N1053" s="161">
        <v>2.35</v>
      </c>
      <c r="O1053" s="164" t="s">
        <v>2078</v>
      </c>
    </row>
    <row r="1054" spans="1:15" ht="28.8">
      <c r="A1054" s="161" t="s">
        <v>3349</v>
      </c>
      <c r="B1054" s="161" t="s">
        <v>1743</v>
      </c>
      <c r="C1054" s="161" t="s">
        <v>1749</v>
      </c>
      <c r="D1054" s="162">
        <v>43845</v>
      </c>
      <c r="E1054" s="161" t="s">
        <v>2354</v>
      </c>
      <c r="F1054" s="161" t="s">
        <v>1746</v>
      </c>
      <c r="G1054" s="161">
        <v>1</v>
      </c>
      <c r="H1054" s="161">
        <v>7</v>
      </c>
      <c r="I1054" s="161">
        <v>11.7</v>
      </c>
      <c r="J1054" s="161">
        <v>73.900000000000006</v>
      </c>
      <c r="K1054" s="161"/>
      <c r="L1054" s="163">
        <v>-0.44</v>
      </c>
      <c r="M1054" s="163">
        <v>-4.68</v>
      </c>
      <c r="N1054" s="161">
        <v>2.83</v>
      </c>
      <c r="O1054" s="164" t="s">
        <v>2078</v>
      </c>
    </row>
    <row r="1055" spans="1:15" ht="43.2">
      <c r="A1055" s="161" t="s">
        <v>3350</v>
      </c>
      <c r="B1055" s="161" t="s">
        <v>1743</v>
      </c>
      <c r="C1055" s="161" t="s">
        <v>1749</v>
      </c>
      <c r="D1055" s="162">
        <v>43885</v>
      </c>
      <c r="E1055" s="161" t="s">
        <v>3274</v>
      </c>
      <c r="F1055" s="161" t="s">
        <v>1769</v>
      </c>
      <c r="G1055" s="161">
        <v>3</v>
      </c>
      <c r="H1055" s="161">
        <v>1</v>
      </c>
      <c r="I1055" s="161">
        <v>11.5</v>
      </c>
      <c r="J1055" s="161">
        <v>73</v>
      </c>
      <c r="K1055" s="161"/>
      <c r="L1055" s="163">
        <v>-0.4</v>
      </c>
      <c r="M1055" s="163">
        <v>-4.72</v>
      </c>
      <c r="N1055" s="161">
        <v>2.85</v>
      </c>
      <c r="O1055" s="164" t="s">
        <v>2078</v>
      </c>
    </row>
    <row r="1056" spans="1:15" ht="43.2">
      <c r="A1056" s="161" t="s">
        <v>3351</v>
      </c>
      <c r="B1056" s="161" t="s">
        <v>1743</v>
      </c>
      <c r="C1056" s="161" t="s">
        <v>1749</v>
      </c>
      <c r="D1056" s="162">
        <v>43908</v>
      </c>
      <c r="E1056" s="161" t="s">
        <v>1924</v>
      </c>
      <c r="F1056" s="161" t="s">
        <v>1769</v>
      </c>
      <c r="G1056" s="161">
        <v>4</v>
      </c>
      <c r="H1056" s="161">
        <v>8</v>
      </c>
      <c r="I1056" s="161">
        <v>11.4</v>
      </c>
      <c r="J1056" s="161">
        <v>73</v>
      </c>
      <c r="K1056" s="161"/>
      <c r="L1056" s="163">
        <v>-0.37</v>
      </c>
      <c r="M1056" s="163">
        <v>-4.58</v>
      </c>
      <c r="N1056" s="161">
        <v>2.77</v>
      </c>
      <c r="O1056" s="164" t="s">
        <v>2078</v>
      </c>
    </row>
    <row r="1057" spans="1:15" ht="43.2">
      <c r="A1057" s="161" t="s">
        <v>3352</v>
      </c>
      <c r="B1057" s="161" t="s">
        <v>1752</v>
      </c>
      <c r="C1057" s="161" t="s">
        <v>1749</v>
      </c>
      <c r="D1057" s="162">
        <v>43917</v>
      </c>
      <c r="E1057" s="161" t="s">
        <v>2408</v>
      </c>
      <c r="F1057" s="161" t="s">
        <v>1769</v>
      </c>
      <c r="G1057" s="161">
        <v>8</v>
      </c>
      <c r="H1057" s="161">
        <v>1</v>
      </c>
      <c r="I1057" s="161">
        <v>11.9</v>
      </c>
      <c r="J1057" s="161">
        <v>74.099999999999994</v>
      </c>
      <c r="K1057" s="161"/>
      <c r="L1057" s="163">
        <v>-0.44</v>
      </c>
      <c r="M1057" s="163">
        <v>-4.83</v>
      </c>
      <c r="N1057" s="161">
        <v>2.83</v>
      </c>
      <c r="O1057" s="164" t="s">
        <v>2078</v>
      </c>
    </row>
    <row r="1058" spans="1:15" ht="43.2">
      <c r="A1058" s="161" t="s">
        <v>3353</v>
      </c>
      <c r="B1058" s="161" t="s">
        <v>1752</v>
      </c>
      <c r="C1058" s="161" t="s">
        <v>1744</v>
      </c>
      <c r="D1058" s="162">
        <v>43952</v>
      </c>
      <c r="E1058" s="161" t="s">
        <v>2999</v>
      </c>
      <c r="F1058" s="161" t="s">
        <v>1769</v>
      </c>
      <c r="G1058" s="161">
        <v>8</v>
      </c>
      <c r="H1058" s="161">
        <v>5</v>
      </c>
      <c r="I1058" s="161">
        <v>11.7</v>
      </c>
      <c r="J1058" s="161">
        <v>73.599999999999994</v>
      </c>
      <c r="K1058" s="161"/>
      <c r="L1058" s="163">
        <v>-0.44</v>
      </c>
      <c r="M1058" s="163">
        <v>-4.79</v>
      </c>
      <c r="N1058" s="161">
        <v>2.77</v>
      </c>
      <c r="O1058" s="164" t="s">
        <v>2078</v>
      </c>
    </row>
    <row r="1059" spans="1:15" ht="43.2">
      <c r="A1059" s="161" t="s">
        <v>3354</v>
      </c>
      <c r="B1059" s="161" t="s">
        <v>1752</v>
      </c>
      <c r="C1059" s="161" t="s">
        <v>1744</v>
      </c>
      <c r="D1059" s="162">
        <v>43952</v>
      </c>
      <c r="E1059" s="161" t="s">
        <v>2742</v>
      </c>
      <c r="F1059" s="161" t="s">
        <v>1769</v>
      </c>
      <c r="G1059" s="161">
        <v>4</v>
      </c>
      <c r="H1059" s="161">
        <v>1</v>
      </c>
      <c r="I1059" s="161">
        <v>11.4</v>
      </c>
      <c r="J1059" s="161">
        <v>73.2</v>
      </c>
      <c r="K1059" s="161"/>
      <c r="L1059" s="163">
        <v>-0.66</v>
      </c>
      <c r="M1059" s="163">
        <v>-4.92</v>
      </c>
      <c r="N1059" s="161">
        <v>2.58</v>
      </c>
      <c r="O1059" s="164" t="s">
        <v>2078</v>
      </c>
    </row>
    <row r="1060" spans="1:15" ht="43.2">
      <c r="A1060" s="161" t="s">
        <v>3355</v>
      </c>
      <c r="B1060" s="161" t="s">
        <v>1752</v>
      </c>
      <c r="C1060" s="161" t="s">
        <v>1744</v>
      </c>
      <c r="D1060" s="162">
        <v>44027</v>
      </c>
      <c r="E1060" s="161" t="s">
        <v>2158</v>
      </c>
      <c r="F1060" s="161" t="s">
        <v>1769</v>
      </c>
      <c r="G1060" s="161">
        <v>1</v>
      </c>
      <c r="H1060" s="161">
        <v>2</v>
      </c>
      <c r="I1060" s="161">
        <v>12</v>
      </c>
      <c r="J1060" s="161">
        <v>73.2</v>
      </c>
      <c r="K1060" s="161"/>
      <c r="L1060" s="163">
        <v>0.14000000000000001</v>
      </c>
      <c r="M1060" s="163">
        <v>-4.4400000000000004</v>
      </c>
      <c r="N1060" s="161">
        <v>3.16</v>
      </c>
      <c r="O1060" s="164" t="s">
        <v>2170</v>
      </c>
    </row>
    <row r="1061" spans="1:15" ht="43.2">
      <c r="A1061" s="161" t="s">
        <v>3356</v>
      </c>
      <c r="B1061" s="161" t="s">
        <v>1752</v>
      </c>
      <c r="C1061" s="161" t="s">
        <v>1744</v>
      </c>
      <c r="D1061" s="162">
        <v>44035</v>
      </c>
      <c r="E1061" s="161" t="s">
        <v>2099</v>
      </c>
      <c r="F1061" s="161" t="s">
        <v>1769</v>
      </c>
      <c r="G1061" s="161">
        <v>9</v>
      </c>
      <c r="H1061" s="161">
        <v>5</v>
      </c>
      <c r="I1061" s="161">
        <v>11.9</v>
      </c>
      <c r="J1061" s="161">
        <v>73.099999999999994</v>
      </c>
      <c r="K1061" s="161"/>
      <c r="L1061" s="163">
        <v>0.11</v>
      </c>
      <c r="M1061" s="163">
        <v>-4.42</v>
      </c>
      <c r="N1061" s="161">
        <v>3.09</v>
      </c>
      <c r="O1061" s="164" t="s">
        <v>2170</v>
      </c>
    </row>
    <row r="1062" spans="1:15" ht="43.2">
      <c r="A1062" s="161" t="s">
        <v>3357</v>
      </c>
      <c r="B1062" s="161" t="s">
        <v>1752</v>
      </c>
      <c r="C1062" s="161" t="s">
        <v>1744</v>
      </c>
      <c r="D1062" s="162">
        <v>44048</v>
      </c>
      <c r="E1062" s="161" t="s">
        <v>2219</v>
      </c>
      <c r="F1062" s="161" t="s">
        <v>1769</v>
      </c>
      <c r="G1062" s="161">
        <v>1</v>
      </c>
      <c r="H1062" s="161">
        <v>11</v>
      </c>
      <c r="I1062" s="161">
        <v>11</v>
      </c>
      <c r="J1062" s="161">
        <v>74.2</v>
      </c>
      <c r="K1062" s="161"/>
      <c r="L1062" s="163">
        <v>-0.52</v>
      </c>
      <c r="M1062" s="163">
        <v>-3.94</v>
      </c>
      <c r="N1062" s="161">
        <v>1.92</v>
      </c>
      <c r="O1062" s="164" t="s">
        <v>1757</v>
      </c>
    </row>
    <row r="1063" spans="1:15" ht="43.2">
      <c r="A1063" s="161" t="s">
        <v>3358</v>
      </c>
      <c r="B1063" s="161" t="s">
        <v>1752</v>
      </c>
      <c r="C1063" s="161" t="s">
        <v>1744</v>
      </c>
      <c r="D1063" s="162">
        <v>44068</v>
      </c>
      <c r="E1063" s="161" t="s">
        <v>2499</v>
      </c>
      <c r="F1063" s="161" t="s">
        <v>1769</v>
      </c>
      <c r="G1063" s="161">
        <v>6</v>
      </c>
      <c r="H1063" s="161">
        <v>5</v>
      </c>
      <c r="I1063" s="161">
        <v>11.6</v>
      </c>
      <c r="J1063" s="161">
        <v>72.900000000000006</v>
      </c>
      <c r="K1063" s="161"/>
      <c r="L1063" s="163">
        <v>0.05</v>
      </c>
      <c r="M1063" s="163">
        <v>-4.24</v>
      </c>
      <c r="N1063" s="161">
        <v>2.86</v>
      </c>
      <c r="O1063" s="164" t="s">
        <v>2078</v>
      </c>
    </row>
    <row r="1064" spans="1:15" ht="72">
      <c r="A1064" s="161" t="s">
        <v>3359</v>
      </c>
      <c r="B1064" s="161" t="s">
        <v>1743</v>
      </c>
      <c r="C1064" s="161" t="s">
        <v>1744</v>
      </c>
      <c r="D1064" s="162">
        <v>44104</v>
      </c>
      <c r="E1064" s="161" t="s">
        <v>2656</v>
      </c>
      <c r="F1064" s="161" t="s">
        <v>1769</v>
      </c>
      <c r="G1064" s="161">
        <v>4</v>
      </c>
      <c r="H1064" s="161">
        <v>1</v>
      </c>
      <c r="I1064" s="161">
        <v>12.7</v>
      </c>
      <c r="J1064" s="161">
        <v>73.400000000000006</v>
      </c>
      <c r="K1064" s="161"/>
      <c r="L1064" s="163">
        <v>1.44</v>
      </c>
      <c r="M1064" s="163">
        <v>-3.02</v>
      </c>
      <c r="N1064" s="161">
        <v>3.84</v>
      </c>
      <c r="O1064" s="164" t="s">
        <v>2170</v>
      </c>
    </row>
    <row r="1065" spans="1:15" ht="57.6">
      <c r="A1065" s="161" t="s">
        <v>3360</v>
      </c>
      <c r="B1065" s="161" t="s">
        <v>1743</v>
      </c>
      <c r="C1065" s="161" t="s">
        <v>1744</v>
      </c>
      <c r="D1065" s="162">
        <v>44111</v>
      </c>
      <c r="E1065" s="161" t="s">
        <v>2636</v>
      </c>
      <c r="F1065" s="161" t="s">
        <v>1769</v>
      </c>
      <c r="G1065" s="161">
        <v>8</v>
      </c>
      <c r="H1065" s="161">
        <v>1</v>
      </c>
      <c r="I1065" s="161">
        <v>12</v>
      </c>
      <c r="J1065" s="161">
        <v>73.2</v>
      </c>
      <c r="K1065" s="161"/>
      <c r="L1065" s="163">
        <v>1.03</v>
      </c>
      <c r="M1065" s="163">
        <v>-3.02</v>
      </c>
      <c r="N1065" s="161">
        <v>3.25</v>
      </c>
      <c r="O1065" s="164" t="s">
        <v>2170</v>
      </c>
    </row>
    <row r="1066" spans="1:15" ht="43.2">
      <c r="A1066" s="161" t="s">
        <v>3361</v>
      </c>
      <c r="B1066" s="161" t="s">
        <v>1743</v>
      </c>
      <c r="C1066" s="161" t="s">
        <v>1744</v>
      </c>
      <c r="D1066" s="162">
        <v>44131</v>
      </c>
      <c r="E1066" s="161" t="s">
        <v>2495</v>
      </c>
      <c r="F1066" s="161" t="s">
        <v>1769</v>
      </c>
      <c r="G1066" s="161">
        <v>6</v>
      </c>
      <c r="H1066" s="161">
        <v>5</v>
      </c>
      <c r="I1066" s="161">
        <v>11.8</v>
      </c>
      <c r="J1066" s="161">
        <v>73.7</v>
      </c>
      <c r="K1066" s="161"/>
      <c r="L1066" s="163">
        <v>1</v>
      </c>
      <c r="M1066" s="163">
        <v>-2.67</v>
      </c>
      <c r="N1066" s="161">
        <v>2.96</v>
      </c>
      <c r="O1066" s="164" t="s">
        <v>2078</v>
      </c>
    </row>
    <row r="1067" spans="1:15" ht="43.2">
      <c r="A1067" s="161" t="s">
        <v>3362</v>
      </c>
      <c r="B1067" s="161" t="s">
        <v>1752</v>
      </c>
      <c r="C1067" s="161" t="s">
        <v>1744</v>
      </c>
      <c r="D1067" s="162">
        <v>44180</v>
      </c>
      <c r="E1067" s="161" t="s">
        <v>3363</v>
      </c>
      <c r="F1067" s="161" t="s">
        <v>1769</v>
      </c>
      <c r="G1067" s="161">
        <v>9</v>
      </c>
      <c r="H1067" s="161">
        <v>5</v>
      </c>
      <c r="I1067" s="161">
        <v>11.2</v>
      </c>
      <c r="J1067" s="161">
        <v>73.599999999999994</v>
      </c>
      <c r="K1067" s="161"/>
      <c r="L1067" s="163">
        <v>0.34</v>
      </c>
      <c r="M1067" s="163">
        <v>-2.98</v>
      </c>
      <c r="N1067" s="161">
        <v>2.2799999999999998</v>
      </c>
      <c r="O1067" s="164" t="s">
        <v>2078</v>
      </c>
    </row>
    <row r="1068" spans="1:15" ht="43.2">
      <c r="A1068" s="161" t="s">
        <v>3364</v>
      </c>
      <c r="B1068" s="161" t="s">
        <v>1743</v>
      </c>
      <c r="C1068" s="161" t="s">
        <v>1744</v>
      </c>
      <c r="D1068" s="162">
        <v>44259</v>
      </c>
      <c r="E1068" s="161" t="s">
        <v>3143</v>
      </c>
      <c r="F1068" s="161" t="s">
        <v>1774</v>
      </c>
      <c r="G1068" s="161">
        <v>2</v>
      </c>
      <c r="H1068" s="161">
        <v>5</v>
      </c>
      <c r="I1068" s="161">
        <v>10.199999999999999</v>
      </c>
      <c r="J1068" s="161">
        <v>68.7</v>
      </c>
      <c r="K1068" s="161"/>
      <c r="L1068" s="163">
        <v>0.55000000000000004</v>
      </c>
      <c r="M1068" s="163">
        <v>-3.1</v>
      </c>
      <c r="N1068" s="161">
        <v>2.69</v>
      </c>
      <c r="O1068" s="164" t="s">
        <v>2078</v>
      </c>
    </row>
    <row r="1069" spans="1:15" ht="43.2">
      <c r="A1069" s="161" t="s">
        <v>3365</v>
      </c>
      <c r="B1069" s="161" t="s">
        <v>1743</v>
      </c>
      <c r="C1069" s="161" t="s">
        <v>1744</v>
      </c>
      <c r="D1069" s="162">
        <v>44285</v>
      </c>
      <c r="E1069" s="161" t="s">
        <v>3040</v>
      </c>
      <c r="F1069" s="161" t="s">
        <v>1774</v>
      </c>
      <c r="G1069" s="161">
        <v>1</v>
      </c>
      <c r="H1069" s="161">
        <v>8</v>
      </c>
      <c r="I1069" s="161">
        <v>9.5</v>
      </c>
      <c r="J1069" s="161">
        <v>68</v>
      </c>
      <c r="K1069" s="161"/>
      <c r="L1069" s="163">
        <v>0.13</v>
      </c>
      <c r="M1069" s="163">
        <v>-3.05</v>
      </c>
      <c r="N1069" s="161">
        <v>2.16</v>
      </c>
      <c r="O1069" s="164" t="s">
        <v>2078</v>
      </c>
    </row>
    <row r="1070" spans="1:15" ht="43.2">
      <c r="A1070" s="161" t="s">
        <v>3366</v>
      </c>
      <c r="B1070" s="161" t="s">
        <v>1752</v>
      </c>
      <c r="C1070" s="161" t="s">
        <v>1755</v>
      </c>
      <c r="D1070" s="162">
        <v>44314</v>
      </c>
      <c r="E1070" s="161" t="s">
        <v>3367</v>
      </c>
      <c r="F1070" s="161" t="s">
        <v>1777</v>
      </c>
      <c r="G1070" s="161">
        <v>2</v>
      </c>
      <c r="H1070" s="161">
        <v>8</v>
      </c>
      <c r="I1070" s="161">
        <v>9.1</v>
      </c>
      <c r="J1070" s="161">
        <v>65.3</v>
      </c>
      <c r="K1070" s="161"/>
      <c r="L1070" s="163">
        <v>-0.71</v>
      </c>
      <c r="M1070" s="163">
        <v>-4.7300000000000004</v>
      </c>
      <c r="N1070" s="161">
        <v>2.52</v>
      </c>
      <c r="O1070" s="164" t="s">
        <v>2078</v>
      </c>
    </row>
    <row r="1071" spans="1:15" ht="43.2">
      <c r="A1071" s="161" t="s">
        <v>3368</v>
      </c>
      <c r="B1071" s="161" t="s">
        <v>1743</v>
      </c>
      <c r="C1071" s="161" t="s">
        <v>1755</v>
      </c>
      <c r="D1071" s="162">
        <v>44319</v>
      </c>
      <c r="E1071" s="161" t="s">
        <v>2509</v>
      </c>
      <c r="F1071" s="161" t="s">
        <v>1777</v>
      </c>
      <c r="G1071" s="161">
        <v>2</v>
      </c>
      <c r="H1071" s="161">
        <v>10</v>
      </c>
      <c r="I1071" s="161">
        <v>9.4</v>
      </c>
      <c r="J1071" s="161">
        <v>64.2</v>
      </c>
      <c r="K1071" s="161"/>
      <c r="L1071" s="163">
        <v>0.26</v>
      </c>
      <c r="M1071" s="163">
        <v>-4.07</v>
      </c>
      <c r="N1071" s="161">
        <v>3.22</v>
      </c>
      <c r="O1071" s="164" t="s">
        <v>2170</v>
      </c>
    </row>
    <row r="1072" spans="1:15" ht="43.2">
      <c r="A1072" s="161" t="s">
        <v>3369</v>
      </c>
      <c r="B1072" s="161" t="s">
        <v>1743</v>
      </c>
      <c r="C1072" s="161" t="s">
        <v>1755</v>
      </c>
      <c r="D1072" s="162">
        <v>44322</v>
      </c>
      <c r="E1072" s="161" t="s">
        <v>3157</v>
      </c>
      <c r="F1072" s="161" t="s">
        <v>1777</v>
      </c>
      <c r="G1072" s="161">
        <v>1</v>
      </c>
      <c r="H1072" s="161">
        <v>13</v>
      </c>
      <c r="I1072" s="161">
        <v>9.5</v>
      </c>
      <c r="J1072" s="161">
        <v>64.3</v>
      </c>
      <c r="K1072" s="161"/>
      <c r="L1072" s="163">
        <v>0.37</v>
      </c>
      <c r="M1072" s="163">
        <v>-4</v>
      </c>
      <c r="N1072" s="161">
        <v>3.3</v>
      </c>
      <c r="O1072" s="164" t="s">
        <v>2170</v>
      </c>
    </row>
    <row r="1073" spans="1:15" ht="43.2">
      <c r="A1073" s="161" t="s">
        <v>3370</v>
      </c>
      <c r="B1073" s="161" t="s">
        <v>1743</v>
      </c>
      <c r="C1073" s="161" t="s">
        <v>1749</v>
      </c>
      <c r="D1073" s="162">
        <v>43852</v>
      </c>
      <c r="E1073" s="161" t="s">
        <v>2898</v>
      </c>
      <c r="F1073" s="161" t="s">
        <v>1777</v>
      </c>
      <c r="G1073" s="161">
        <v>5</v>
      </c>
      <c r="H1073" s="161">
        <v>1</v>
      </c>
      <c r="I1073" s="161">
        <v>11.6</v>
      </c>
      <c r="J1073" s="161">
        <v>72.900000000000006</v>
      </c>
      <c r="K1073" s="161"/>
      <c r="L1073" s="163">
        <v>-0.45</v>
      </c>
      <c r="M1073" s="163">
        <v>-4.9000000000000004</v>
      </c>
      <c r="N1073" s="161">
        <v>2.96</v>
      </c>
      <c r="O1073" s="164" t="s">
        <v>2078</v>
      </c>
    </row>
    <row r="1074" spans="1:15" ht="43.2">
      <c r="A1074" s="161" t="s">
        <v>3371</v>
      </c>
      <c r="B1074" s="161" t="s">
        <v>1752</v>
      </c>
      <c r="C1074" s="161" t="s">
        <v>1749</v>
      </c>
      <c r="D1074" s="162">
        <v>43932</v>
      </c>
      <c r="E1074" s="161" t="s">
        <v>2513</v>
      </c>
      <c r="F1074" s="161" t="s">
        <v>1777</v>
      </c>
      <c r="G1074" s="161">
        <v>3</v>
      </c>
      <c r="H1074" s="161">
        <v>10</v>
      </c>
      <c r="I1074" s="161">
        <v>11.5</v>
      </c>
      <c r="J1074" s="161">
        <v>73.7</v>
      </c>
      <c r="K1074" s="161"/>
      <c r="L1074" s="163">
        <v>-0.65</v>
      </c>
      <c r="M1074" s="163">
        <v>-4.84</v>
      </c>
      <c r="N1074" s="161">
        <v>2.5499999999999998</v>
      </c>
      <c r="O1074" s="164" t="s">
        <v>2078</v>
      </c>
    </row>
    <row r="1075" spans="1:15" ht="57.6">
      <c r="A1075" s="161" t="s">
        <v>3372</v>
      </c>
      <c r="B1075" s="161" t="s">
        <v>1752</v>
      </c>
      <c r="C1075" s="161" t="s">
        <v>1744</v>
      </c>
      <c r="D1075" s="162">
        <v>43994</v>
      </c>
      <c r="E1075" s="161" t="s">
        <v>3153</v>
      </c>
      <c r="F1075" s="161" t="s">
        <v>1777</v>
      </c>
      <c r="G1075" s="161">
        <v>4</v>
      </c>
      <c r="H1075" s="161">
        <v>2</v>
      </c>
      <c r="I1075" s="161">
        <v>12</v>
      </c>
      <c r="J1075" s="161">
        <v>73.2</v>
      </c>
      <c r="K1075" s="161"/>
      <c r="L1075" s="163">
        <v>0.01</v>
      </c>
      <c r="M1075" s="163">
        <v>-4.62</v>
      </c>
      <c r="N1075" s="161">
        <v>3.16</v>
      </c>
      <c r="O1075" s="164" t="s">
        <v>2170</v>
      </c>
    </row>
    <row r="1076" spans="1:15" ht="43.2">
      <c r="A1076" s="161" t="s">
        <v>3373</v>
      </c>
      <c r="B1076" s="161" t="s">
        <v>1743</v>
      </c>
      <c r="C1076" s="161" t="s">
        <v>1744</v>
      </c>
      <c r="D1076" s="162">
        <v>44041</v>
      </c>
      <c r="E1076" s="161" t="s">
        <v>2019</v>
      </c>
      <c r="F1076" s="161" t="s">
        <v>1777</v>
      </c>
      <c r="G1076" s="161">
        <v>1</v>
      </c>
      <c r="H1076" s="161">
        <v>15</v>
      </c>
      <c r="I1076" s="161">
        <v>11</v>
      </c>
      <c r="J1076" s="161">
        <v>73.7</v>
      </c>
      <c r="K1076" s="161"/>
      <c r="L1076" s="163">
        <v>0.01</v>
      </c>
      <c r="M1076" s="163">
        <v>-3.4</v>
      </c>
      <c r="N1076" s="161">
        <v>2.25</v>
      </c>
      <c r="O1076" s="164" t="s">
        <v>2078</v>
      </c>
    </row>
    <row r="1077" spans="1:15" ht="43.2">
      <c r="A1077" s="161" t="s">
        <v>3374</v>
      </c>
      <c r="B1077" s="161" t="s">
        <v>1752</v>
      </c>
      <c r="C1077" s="161" t="s">
        <v>1744</v>
      </c>
      <c r="D1077" s="162">
        <v>44093</v>
      </c>
      <c r="E1077" s="161" t="s">
        <v>3375</v>
      </c>
      <c r="F1077" s="161" t="s">
        <v>1777</v>
      </c>
      <c r="G1077" s="161">
        <v>3</v>
      </c>
      <c r="H1077" s="161">
        <v>9</v>
      </c>
      <c r="I1077" s="161">
        <v>11.7</v>
      </c>
      <c r="J1077" s="161">
        <v>73.2</v>
      </c>
      <c r="K1077" s="161"/>
      <c r="L1077" s="163">
        <v>0.28999999999999998</v>
      </c>
      <c r="M1077" s="163">
        <v>-3.89</v>
      </c>
      <c r="N1077" s="161">
        <v>2.87</v>
      </c>
      <c r="O1077" s="164" t="s">
        <v>2078</v>
      </c>
    </row>
    <row r="1078" spans="1:15" ht="43.2">
      <c r="A1078" s="161" t="s">
        <v>3376</v>
      </c>
      <c r="B1078" s="161" t="s">
        <v>1752</v>
      </c>
      <c r="C1078" s="161" t="s">
        <v>1744</v>
      </c>
      <c r="D1078" s="162">
        <v>44186</v>
      </c>
      <c r="E1078" s="161" t="s">
        <v>1891</v>
      </c>
      <c r="F1078" s="161" t="s">
        <v>1777</v>
      </c>
      <c r="G1078" s="161">
        <v>1</v>
      </c>
      <c r="H1078" s="161">
        <v>13</v>
      </c>
      <c r="I1078" s="161">
        <v>11.4</v>
      </c>
      <c r="J1078" s="161">
        <v>73.400000000000006</v>
      </c>
      <c r="K1078" s="161"/>
      <c r="L1078" s="163">
        <v>0.56999999999999995</v>
      </c>
      <c r="M1078" s="163">
        <v>-2.93</v>
      </c>
      <c r="N1078" s="161">
        <v>2.5299999999999998</v>
      </c>
      <c r="O1078" s="164" t="s">
        <v>2078</v>
      </c>
    </row>
    <row r="1079" spans="1:15" ht="43.2">
      <c r="A1079" s="161" t="s">
        <v>3377</v>
      </c>
      <c r="B1079" s="161" t="s">
        <v>1752</v>
      </c>
      <c r="C1079" s="161" t="s">
        <v>1744</v>
      </c>
      <c r="D1079" s="162">
        <v>44224</v>
      </c>
      <c r="E1079" s="161" t="s">
        <v>2905</v>
      </c>
      <c r="F1079" s="161" t="s">
        <v>1777</v>
      </c>
      <c r="G1079" s="161">
        <v>1</v>
      </c>
      <c r="H1079" s="161">
        <v>15</v>
      </c>
      <c r="I1079" s="161">
        <v>10.199999999999999</v>
      </c>
      <c r="J1079" s="161">
        <v>70</v>
      </c>
      <c r="K1079" s="161"/>
      <c r="L1079" s="163">
        <v>-0.21</v>
      </c>
      <c r="M1079" s="163">
        <v>-3.82</v>
      </c>
      <c r="N1079" s="161">
        <v>2.25</v>
      </c>
      <c r="O1079" s="164" t="s">
        <v>2078</v>
      </c>
    </row>
    <row r="1080" spans="1:15" ht="43.2">
      <c r="A1080" s="161" t="s">
        <v>3378</v>
      </c>
      <c r="B1080" s="161" t="s">
        <v>1743</v>
      </c>
      <c r="C1080" s="161" t="s">
        <v>1744</v>
      </c>
      <c r="D1080" s="162">
        <v>44306</v>
      </c>
      <c r="E1080" s="161" t="s">
        <v>3379</v>
      </c>
      <c r="F1080" s="161" t="s">
        <v>1777</v>
      </c>
      <c r="G1080" s="161">
        <v>3</v>
      </c>
      <c r="H1080" s="161">
        <v>15</v>
      </c>
      <c r="I1080" s="161">
        <v>9.8000000000000007</v>
      </c>
      <c r="J1080" s="161">
        <v>68.7</v>
      </c>
      <c r="K1080" s="161"/>
      <c r="L1080" s="163">
        <v>0.55000000000000004</v>
      </c>
      <c r="M1080" s="163">
        <v>-2.44</v>
      </c>
      <c r="N1080" s="161">
        <v>2.29</v>
      </c>
      <c r="O1080" s="164" t="s">
        <v>2078</v>
      </c>
    </row>
    <row r="1081" spans="1:15" ht="57.6">
      <c r="A1081" s="161" t="s">
        <v>3380</v>
      </c>
      <c r="B1081" s="161" t="s">
        <v>1752</v>
      </c>
      <c r="C1081" s="161" t="s">
        <v>1755</v>
      </c>
      <c r="D1081" s="162">
        <v>44481</v>
      </c>
      <c r="E1081" s="161" t="s">
        <v>2569</v>
      </c>
      <c r="F1081" s="161" t="s">
        <v>2190</v>
      </c>
      <c r="G1081" s="161">
        <v>3</v>
      </c>
      <c r="H1081" s="161">
        <v>1</v>
      </c>
      <c r="I1081" s="161">
        <v>8.4</v>
      </c>
      <c r="J1081" s="161">
        <v>65</v>
      </c>
      <c r="K1081" s="161"/>
      <c r="L1081" s="163">
        <v>0.05</v>
      </c>
      <c r="M1081" s="163">
        <v>-2.02</v>
      </c>
      <c r="N1081" s="161">
        <v>1.72</v>
      </c>
      <c r="O1081" s="164" t="s">
        <v>1757</v>
      </c>
    </row>
    <row r="1082" spans="1:15" ht="43.2">
      <c r="A1082" s="161" t="s">
        <v>3381</v>
      </c>
      <c r="B1082" s="161" t="s">
        <v>1752</v>
      </c>
      <c r="C1082" s="161" t="s">
        <v>1755</v>
      </c>
      <c r="D1082" s="162">
        <v>44442</v>
      </c>
      <c r="E1082" s="161" t="s">
        <v>3076</v>
      </c>
      <c r="F1082" s="161" t="s">
        <v>2190</v>
      </c>
      <c r="G1082" s="161">
        <v>8</v>
      </c>
      <c r="H1082" s="161">
        <v>3</v>
      </c>
      <c r="I1082" s="161">
        <v>8.5</v>
      </c>
      <c r="J1082" s="161">
        <v>65</v>
      </c>
      <c r="K1082" s="161"/>
      <c r="L1082" s="163">
        <v>-0.28000000000000003</v>
      </c>
      <c r="M1082" s="163">
        <v>-2.83</v>
      </c>
      <c r="N1082" s="161">
        <v>1.85</v>
      </c>
      <c r="O1082" s="164" t="s">
        <v>1757</v>
      </c>
    </row>
    <row r="1083" spans="1:15" ht="43.2">
      <c r="A1083" s="161" t="s">
        <v>3382</v>
      </c>
      <c r="B1083" s="161" t="s">
        <v>1752</v>
      </c>
      <c r="C1083" s="161" t="s">
        <v>1744</v>
      </c>
      <c r="D1083" s="162">
        <v>44275</v>
      </c>
      <c r="E1083" s="161" t="s">
        <v>3166</v>
      </c>
      <c r="F1083" s="161" t="s">
        <v>2190</v>
      </c>
      <c r="G1083" s="161">
        <v>3</v>
      </c>
      <c r="H1083" s="161">
        <v>2</v>
      </c>
      <c r="I1083" s="161">
        <v>8.3000000000000007</v>
      </c>
      <c r="J1083" s="161">
        <v>69.5</v>
      </c>
      <c r="K1083" s="161"/>
      <c r="L1083" s="163">
        <v>-1.77</v>
      </c>
      <c r="M1083" s="163">
        <v>-3.45</v>
      </c>
      <c r="N1083" s="161">
        <v>-0.01</v>
      </c>
      <c r="O1083" s="164" t="s">
        <v>1760</v>
      </c>
    </row>
    <row r="1084" spans="1:15" ht="43.2">
      <c r="A1084" s="161" t="s">
        <v>3383</v>
      </c>
      <c r="B1084" s="161" t="s">
        <v>1743</v>
      </c>
      <c r="C1084" s="161" t="s">
        <v>1755</v>
      </c>
      <c r="D1084" s="162">
        <v>44419</v>
      </c>
      <c r="E1084" s="161" t="s">
        <v>3164</v>
      </c>
      <c r="F1084" s="161" t="s">
        <v>2190</v>
      </c>
      <c r="G1084" s="161">
        <v>4</v>
      </c>
      <c r="H1084" s="161">
        <v>6</v>
      </c>
      <c r="I1084" s="161">
        <v>7.1</v>
      </c>
      <c r="J1084" s="161">
        <v>65</v>
      </c>
      <c r="K1084" s="161"/>
      <c r="L1084" s="163">
        <v>-1.29</v>
      </c>
      <c r="M1084" s="163">
        <v>-2.27</v>
      </c>
      <c r="N1084" s="161">
        <v>0.03</v>
      </c>
      <c r="O1084" s="164" t="s">
        <v>1760</v>
      </c>
    </row>
    <row r="1085" spans="1:15" ht="43.2">
      <c r="A1085" s="161" t="s">
        <v>3384</v>
      </c>
      <c r="B1085" s="161" t="s">
        <v>1752</v>
      </c>
      <c r="C1085" s="161" t="s">
        <v>1755</v>
      </c>
      <c r="D1085" s="162">
        <v>44347</v>
      </c>
      <c r="E1085" s="161" t="s">
        <v>3074</v>
      </c>
      <c r="F1085" s="161" t="s">
        <v>2190</v>
      </c>
      <c r="G1085" s="161">
        <v>1</v>
      </c>
      <c r="H1085" s="161">
        <v>6</v>
      </c>
      <c r="I1085" s="161">
        <v>8.5</v>
      </c>
      <c r="J1085" s="161">
        <v>69</v>
      </c>
      <c r="K1085" s="161"/>
      <c r="L1085" s="163">
        <v>-1.07</v>
      </c>
      <c r="M1085" s="163">
        <v>-2.67</v>
      </c>
      <c r="N1085" s="161">
        <v>0.44</v>
      </c>
      <c r="O1085" s="164" t="s">
        <v>1760</v>
      </c>
    </row>
    <row r="1086" spans="1:15" ht="43.2">
      <c r="A1086" s="161" t="s">
        <v>3385</v>
      </c>
      <c r="B1086" s="161" t="s">
        <v>1752</v>
      </c>
      <c r="C1086" s="161" t="s">
        <v>1755</v>
      </c>
      <c r="D1086" s="162">
        <v>44509</v>
      </c>
      <c r="E1086" s="161" t="s">
        <v>2816</v>
      </c>
      <c r="F1086" s="161" t="s">
        <v>2190</v>
      </c>
      <c r="G1086" s="161">
        <v>3</v>
      </c>
      <c r="H1086" s="161">
        <v>4</v>
      </c>
      <c r="I1086" s="161">
        <v>7</v>
      </c>
      <c r="J1086" s="161">
        <v>66</v>
      </c>
      <c r="K1086" s="161"/>
      <c r="L1086" s="163">
        <v>-1.98</v>
      </c>
      <c r="M1086" s="163">
        <v>-2.27</v>
      </c>
      <c r="N1086" s="161">
        <v>-0.86</v>
      </c>
      <c r="O1086" s="164" t="s">
        <v>1760</v>
      </c>
    </row>
    <row r="1087" spans="1:15" ht="43.2">
      <c r="A1087" s="161" t="s">
        <v>3386</v>
      </c>
      <c r="B1087" s="161" t="s">
        <v>1743</v>
      </c>
      <c r="C1087" s="161" t="s">
        <v>1744</v>
      </c>
      <c r="D1087" s="162">
        <v>44240</v>
      </c>
      <c r="E1087" s="161" t="s">
        <v>2287</v>
      </c>
      <c r="F1087" s="161" t="s">
        <v>2190</v>
      </c>
      <c r="G1087" s="161">
        <v>5</v>
      </c>
      <c r="H1087" s="161">
        <v>2</v>
      </c>
      <c r="I1087" s="161">
        <v>9.5</v>
      </c>
      <c r="J1087" s="161">
        <v>70</v>
      </c>
      <c r="K1087" s="161"/>
      <c r="L1087" s="163">
        <v>-0.12</v>
      </c>
      <c r="M1087" s="163">
        <v>-2.82</v>
      </c>
      <c r="N1087" s="161">
        <v>1.63</v>
      </c>
      <c r="O1087" s="164" t="s">
        <v>1757</v>
      </c>
    </row>
    <row r="1088" spans="1:15" ht="43.2">
      <c r="A1088" s="161" t="s">
        <v>3387</v>
      </c>
      <c r="B1088" s="161" t="s">
        <v>1743</v>
      </c>
      <c r="C1088" s="161" t="s">
        <v>1755</v>
      </c>
      <c r="D1088" s="162">
        <v>44323</v>
      </c>
      <c r="E1088" s="161" t="s">
        <v>3069</v>
      </c>
      <c r="F1088" s="161" t="s">
        <v>2190</v>
      </c>
      <c r="G1088" s="161">
        <v>7</v>
      </c>
      <c r="H1088" s="161">
        <v>2</v>
      </c>
      <c r="I1088" s="161">
        <v>7.7</v>
      </c>
      <c r="J1088" s="161">
        <v>69</v>
      </c>
      <c r="K1088" s="161"/>
      <c r="L1088" s="163">
        <v>-1.34</v>
      </c>
      <c r="M1088" s="163">
        <v>-2.15</v>
      </c>
      <c r="N1088" s="161">
        <v>-0.36</v>
      </c>
      <c r="O1088" s="164" t="s">
        <v>1760</v>
      </c>
    </row>
    <row r="1089" spans="1:15" ht="43.2">
      <c r="A1089" s="161" t="s">
        <v>3388</v>
      </c>
      <c r="B1089" s="161" t="s">
        <v>1752</v>
      </c>
      <c r="C1089" s="161" t="s">
        <v>1744</v>
      </c>
      <c r="D1089" s="162">
        <v>44231</v>
      </c>
      <c r="E1089" s="161" t="s">
        <v>3389</v>
      </c>
      <c r="F1089" s="161" t="s">
        <v>2190</v>
      </c>
      <c r="G1089" s="161">
        <v>4</v>
      </c>
      <c r="H1089" s="161">
        <v>4</v>
      </c>
      <c r="I1089" s="161">
        <v>9.8000000000000007</v>
      </c>
      <c r="J1089" s="161">
        <v>73</v>
      </c>
      <c r="K1089" s="161"/>
      <c r="L1089" s="163">
        <v>-0.55000000000000004</v>
      </c>
      <c r="M1089" s="163">
        <v>-2.62</v>
      </c>
      <c r="N1089" s="161">
        <v>0.9</v>
      </c>
      <c r="O1089" s="164" t="s">
        <v>1760</v>
      </c>
    </row>
    <row r="1090" spans="1:15" ht="43.2">
      <c r="A1090" s="161" t="s">
        <v>3390</v>
      </c>
      <c r="B1090" s="161" t="s">
        <v>1752</v>
      </c>
      <c r="C1090" s="161" t="s">
        <v>1744</v>
      </c>
      <c r="D1090" s="162">
        <v>44165</v>
      </c>
      <c r="E1090" s="161" t="s">
        <v>3306</v>
      </c>
      <c r="F1090" s="161" t="s">
        <v>1781</v>
      </c>
      <c r="G1090" s="161">
        <v>4</v>
      </c>
      <c r="H1090" s="161">
        <v>1</v>
      </c>
      <c r="I1090" s="161">
        <v>10.1</v>
      </c>
      <c r="J1090" s="161">
        <v>76.5</v>
      </c>
      <c r="K1090" s="161"/>
      <c r="L1090" s="163">
        <v>-0.66</v>
      </c>
      <c r="M1090" s="163">
        <v>-2.0299999999999998</v>
      </c>
      <c r="N1090" s="161">
        <v>0.36</v>
      </c>
      <c r="O1090" s="164" t="s">
        <v>1760</v>
      </c>
    </row>
    <row r="1091" spans="1:15" ht="43.2">
      <c r="A1091" s="161" t="s">
        <v>3391</v>
      </c>
      <c r="B1091" s="161" t="s">
        <v>1752</v>
      </c>
      <c r="C1091" s="161" t="s">
        <v>1744</v>
      </c>
      <c r="D1091" s="162">
        <v>44054</v>
      </c>
      <c r="E1091" s="161" t="s">
        <v>3318</v>
      </c>
      <c r="F1091" s="161" t="s">
        <v>1781</v>
      </c>
      <c r="G1091" s="161">
        <v>0</v>
      </c>
      <c r="H1091" s="161">
        <v>3</v>
      </c>
      <c r="I1091" s="161">
        <v>10</v>
      </c>
      <c r="J1091" s="161">
        <v>78</v>
      </c>
      <c r="K1091" s="161"/>
      <c r="L1091" s="163">
        <v>-1.31</v>
      </c>
      <c r="M1091" s="163">
        <v>-2.54</v>
      </c>
      <c r="N1091" s="161">
        <v>-0.1</v>
      </c>
      <c r="O1091" s="164" t="s">
        <v>1760</v>
      </c>
    </row>
    <row r="1092" spans="1:15" ht="43.2">
      <c r="A1092" s="161" t="s">
        <v>3392</v>
      </c>
      <c r="B1092" s="161" t="s">
        <v>1752</v>
      </c>
      <c r="C1092" s="161" t="s">
        <v>1744</v>
      </c>
      <c r="D1092" s="162">
        <v>44156</v>
      </c>
      <c r="E1092" s="161" t="s">
        <v>2591</v>
      </c>
      <c r="F1092" s="161" t="s">
        <v>1781</v>
      </c>
      <c r="G1092" s="161">
        <v>1</v>
      </c>
      <c r="H1092" s="161">
        <v>11</v>
      </c>
      <c r="I1092" s="161">
        <v>8.6</v>
      </c>
      <c r="J1092" s="161">
        <v>74</v>
      </c>
      <c r="K1092" s="161"/>
      <c r="L1092" s="163">
        <v>-2.14</v>
      </c>
      <c r="M1092" s="163">
        <v>-3.02</v>
      </c>
      <c r="N1092" s="161">
        <v>-0.95</v>
      </c>
      <c r="O1092" s="164" t="s">
        <v>1760</v>
      </c>
    </row>
    <row r="1093" spans="1:15" ht="43.2">
      <c r="A1093" s="161" t="s">
        <v>3393</v>
      </c>
      <c r="B1093" s="161" t="s">
        <v>1743</v>
      </c>
      <c r="C1093" s="161" t="s">
        <v>1749</v>
      </c>
      <c r="D1093" s="162">
        <v>43858</v>
      </c>
      <c r="E1093" s="161" t="s">
        <v>2320</v>
      </c>
      <c r="F1093" s="161" t="s">
        <v>1781</v>
      </c>
      <c r="G1093" s="161">
        <v>3</v>
      </c>
      <c r="H1093" s="161">
        <v>11</v>
      </c>
      <c r="I1093" s="161">
        <v>11</v>
      </c>
      <c r="J1093" s="161">
        <v>82</v>
      </c>
      <c r="K1093" s="161"/>
      <c r="L1093" s="163">
        <v>-0.87</v>
      </c>
      <c r="M1093" s="163">
        <v>-2.2000000000000002</v>
      </c>
      <c r="N1093" s="161">
        <v>0.5</v>
      </c>
      <c r="O1093" s="164" t="s">
        <v>1760</v>
      </c>
    </row>
    <row r="1094" spans="1:15" ht="43.2">
      <c r="A1094" s="161" t="s">
        <v>3394</v>
      </c>
      <c r="B1094" s="161" t="s">
        <v>1743</v>
      </c>
      <c r="C1094" s="161" t="s">
        <v>1755</v>
      </c>
      <c r="D1094" s="162">
        <v>44506</v>
      </c>
      <c r="E1094" s="161" t="s">
        <v>2310</v>
      </c>
      <c r="F1094" s="161" t="s">
        <v>1781</v>
      </c>
      <c r="G1094" s="161">
        <v>1</v>
      </c>
      <c r="H1094" s="161">
        <v>11</v>
      </c>
      <c r="I1094" s="161">
        <v>6.4</v>
      </c>
      <c r="J1094" s="161">
        <v>56</v>
      </c>
      <c r="K1094" s="161"/>
      <c r="L1094" s="163">
        <v>-1.23</v>
      </c>
      <c r="M1094" s="163">
        <v>-4.5199999999999996</v>
      </c>
      <c r="N1094" s="161">
        <v>2.95</v>
      </c>
      <c r="O1094" s="164" t="s">
        <v>2078</v>
      </c>
    </row>
    <row r="1095" spans="1:15" ht="43.2">
      <c r="A1095" s="161" t="s">
        <v>3395</v>
      </c>
      <c r="B1095" s="161" t="s">
        <v>1752</v>
      </c>
      <c r="C1095" s="161" t="s">
        <v>1744</v>
      </c>
      <c r="D1095" s="162">
        <v>43950</v>
      </c>
      <c r="E1095" s="161" t="s">
        <v>2313</v>
      </c>
      <c r="F1095" s="161" t="s">
        <v>1781</v>
      </c>
      <c r="G1095" s="161">
        <v>2</v>
      </c>
      <c r="H1095" s="161">
        <v>11</v>
      </c>
      <c r="I1095" s="161">
        <v>9</v>
      </c>
      <c r="J1095" s="161">
        <v>81</v>
      </c>
      <c r="K1095" s="161"/>
      <c r="L1095" s="163">
        <v>-2.72</v>
      </c>
      <c r="M1095" s="163">
        <v>-2.38</v>
      </c>
      <c r="N1095" s="161">
        <v>-2.0699999999999998</v>
      </c>
      <c r="O1095" s="164" t="s">
        <v>1747</v>
      </c>
    </row>
    <row r="1096" spans="1:15" ht="43.2">
      <c r="A1096" s="161" t="s">
        <v>3396</v>
      </c>
      <c r="B1096" s="161" t="s">
        <v>1752</v>
      </c>
      <c r="C1096" s="161" t="s">
        <v>1744</v>
      </c>
      <c r="D1096" s="162">
        <v>44252</v>
      </c>
      <c r="E1096" s="161" t="s">
        <v>3309</v>
      </c>
      <c r="F1096" s="161" t="s">
        <v>1781</v>
      </c>
      <c r="G1096" s="161"/>
      <c r="H1096" s="161">
        <v>3</v>
      </c>
      <c r="I1096" s="161">
        <v>10.5</v>
      </c>
      <c r="J1096" s="161">
        <v>73.599999999999994</v>
      </c>
      <c r="K1096" s="161"/>
      <c r="L1096" s="163">
        <v>0.22</v>
      </c>
      <c r="M1096" s="163">
        <v>-2.08</v>
      </c>
      <c r="N1096" s="161">
        <v>1.54</v>
      </c>
      <c r="O1096" s="164" t="s">
        <v>1757</v>
      </c>
    </row>
    <row r="1097" spans="1:15" ht="43.2">
      <c r="A1097" s="161" t="s">
        <v>3397</v>
      </c>
      <c r="B1097" s="161" t="s">
        <v>1752</v>
      </c>
      <c r="C1097" s="161" t="s">
        <v>1749</v>
      </c>
      <c r="D1097" s="162">
        <v>43686</v>
      </c>
      <c r="E1097" s="161" t="s">
        <v>3312</v>
      </c>
      <c r="F1097" s="161" t="s">
        <v>1781</v>
      </c>
      <c r="G1097" s="161"/>
      <c r="H1097" s="161">
        <v>3</v>
      </c>
      <c r="I1097" s="161">
        <v>12</v>
      </c>
      <c r="J1097" s="161">
        <v>84</v>
      </c>
      <c r="K1097" s="161"/>
      <c r="L1097" s="163">
        <v>-1.24</v>
      </c>
      <c r="M1097" s="163">
        <v>-2.9</v>
      </c>
      <c r="N1097" s="161">
        <v>0.59</v>
      </c>
      <c r="O1097" s="164" t="s">
        <v>1760</v>
      </c>
    </row>
    <row r="1098" spans="1:15" ht="43.2">
      <c r="A1098" s="161" t="s">
        <v>3398</v>
      </c>
      <c r="B1098" s="161" t="s">
        <v>1743</v>
      </c>
      <c r="C1098" s="161" t="s">
        <v>1786</v>
      </c>
      <c r="D1098" s="162">
        <v>43512</v>
      </c>
      <c r="E1098" s="161" t="s">
        <v>2824</v>
      </c>
      <c r="F1098" s="161" t="s">
        <v>1781</v>
      </c>
      <c r="G1098" s="161">
        <v>1</v>
      </c>
      <c r="H1098" s="161">
        <v>3</v>
      </c>
      <c r="I1098" s="161">
        <v>12</v>
      </c>
      <c r="J1098" s="161">
        <v>83</v>
      </c>
      <c r="K1098" s="161"/>
      <c r="L1098" s="163">
        <v>-1.46</v>
      </c>
      <c r="M1098" s="163">
        <v>-3.61</v>
      </c>
      <c r="N1098" s="161">
        <v>1.05</v>
      </c>
      <c r="O1098" s="164" t="s">
        <v>1757</v>
      </c>
    </row>
    <row r="1099" spans="1:15" ht="57.6">
      <c r="A1099" s="161" t="s">
        <v>3399</v>
      </c>
      <c r="B1099" s="161" t="s">
        <v>1752</v>
      </c>
      <c r="C1099" s="161" t="s">
        <v>1749</v>
      </c>
      <c r="D1099" s="162">
        <v>43695</v>
      </c>
      <c r="E1099" s="161" t="s">
        <v>1780</v>
      </c>
      <c r="F1099" s="161" t="s">
        <v>1781</v>
      </c>
      <c r="G1099" s="161">
        <v>3</v>
      </c>
      <c r="H1099" s="161">
        <v>10</v>
      </c>
      <c r="I1099" s="161">
        <v>11.9</v>
      </c>
      <c r="J1099" s="161">
        <v>84</v>
      </c>
      <c r="K1099" s="161"/>
      <c r="L1099" s="163">
        <v>-1.28</v>
      </c>
      <c r="M1099" s="163">
        <v>-2.86</v>
      </c>
      <c r="N1099" s="161">
        <v>0.49</v>
      </c>
      <c r="O1099" s="164" t="s">
        <v>1760</v>
      </c>
    </row>
    <row r="1100" spans="1:15" ht="43.2">
      <c r="A1100" s="161" t="s">
        <v>3400</v>
      </c>
      <c r="B1100" s="161" t="s">
        <v>1743</v>
      </c>
      <c r="C1100" s="161" t="s">
        <v>1744</v>
      </c>
      <c r="D1100" s="162">
        <v>44111</v>
      </c>
      <c r="E1100" s="161" t="s">
        <v>2596</v>
      </c>
      <c r="F1100" s="161" t="s">
        <v>1781</v>
      </c>
      <c r="G1100" s="161">
        <v>2</v>
      </c>
      <c r="H1100" s="161">
        <v>13</v>
      </c>
      <c r="I1100" s="161">
        <v>11</v>
      </c>
      <c r="J1100" s="161">
        <v>73.7</v>
      </c>
      <c r="K1100" s="161"/>
      <c r="L1100" s="163">
        <v>0.34</v>
      </c>
      <c r="M1100" s="163">
        <v>-2.86</v>
      </c>
      <c r="N1100" s="161">
        <v>2.25</v>
      </c>
      <c r="O1100" s="164" t="s">
        <v>2078</v>
      </c>
    </row>
    <row r="1101" spans="1:15" ht="43.2">
      <c r="A1101" s="161" t="s">
        <v>3401</v>
      </c>
      <c r="B1101" s="161" t="s">
        <v>1752</v>
      </c>
      <c r="C1101" s="161" t="s">
        <v>1744</v>
      </c>
      <c r="D1101" s="162">
        <v>44179</v>
      </c>
      <c r="E1101" s="161" t="s">
        <v>2119</v>
      </c>
      <c r="F1101" s="161" t="s">
        <v>1781</v>
      </c>
      <c r="G1101" s="161">
        <v>2</v>
      </c>
      <c r="H1101" s="161">
        <v>2</v>
      </c>
      <c r="I1101" s="161">
        <v>11</v>
      </c>
      <c r="J1101" s="161">
        <v>74.2</v>
      </c>
      <c r="K1101" s="161"/>
      <c r="L1101" s="163">
        <v>0.17</v>
      </c>
      <c r="M1101" s="163">
        <v>-2.76</v>
      </c>
      <c r="N1101" s="161">
        <v>1.92</v>
      </c>
      <c r="O1101" s="164" t="s">
        <v>1757</v>
      </c>
    </row>
    <row r="1102" spans="1:15" ht="43.2">
      <c r="A1102" s="161" t="s">
        <v>3402</v>
      </c>
      <c r="B1102" s="161" t="s">
        <v>1752</v>
      </c>
      <c r="C1102" s="161" t="s">
        <v>1744</v>
      </c>
      <c r="D1102" s="162">
        <v>44298</v>
      </c>
      <c r="E1102" s="161" t="s">
        <v>2308</v>
      </c>
      <c r="F1102" s="161" t="s">
        <v>1781</v>
      </c>
      <c r="G1102" s="161">
        <v>4</v>
      </c>
      <c r="H1102" s="161">
        <v>2</v>
      </c>
      <c r="I1102" s="161">
        <v>8.1999999999999993</v>
      </c>
      <c r="J1102" s="161">
        <v>71</v>
      </c>
      <c r="K1102" s="161"/>
      <c r="L1102" s="163">
        <v>-1.74</v>
      </c>
      <c r="M1102" s="163">
        <v>-2.54</v>
      </c>
      <c r="N1102" s="161">
        <v>-0.65</v>
      </c>
      <c r="O1102" s="164" t="s">
        <v>1760</v>
      </c>
    </row>
    <row r="1103" spans="1:15" ht="43.2">
      <c r="A1103" s="161" t="s">
        <v>3403</v>
      </c>
      <c r="B1103" s="161" t="s">
        <v>1752</v>
      </c>
      <c r="C1103" s="161" t="s">
        <v>2055</v>
      </c>
      <c r="D1103" s="162">
        <v>44707</v>
      </c>
      <c r="E1103" s="161" t="s">
        <v>3404</v>
      </c>
      <c r="F1103" s="161" t="s">
        <v>1781</v>
      </c>
      <c r="G1103" s="161">
        <v>3</v>
      </c>
      <c r="H1103" s="161">
        <v>2</v>
      </c>
      <c r="I1103" s="161">
        <v>3</v>
      </c>
      <c r="J1103" s="161">
        <v>49</v>
      </c>
      <c r="K1103" s="161"/>
      <c r="L1103" s="163">
        <v>-2.5099999999999998</v>
      </c>
      <c r="M1103" s="163">
        <v>-2.27</v>
      </c>
      <c r="N1103" s="161">
        <v>-0.97</v>
      </c>
      <c r="O1103" s="164" t="s">
        <v>1760</v>
      </c>
    </row>
    <row r="1104" spans="1:15" ht="28.8">
      <c r="A1104" s="161" t="s">
        <v>3405</v>
      </c>
      <c r="B1104" s="161" t="s">
        <v>1743</v>
      </c>
      <c r="C1104" s="161" t="s">
        <v>1755</v>
      </c>
      <c r="D1104" s="162">
        <v>44518</v>
      </c>
      <c r="E1104" s="161" t="s">
        <v>3188</v>
      </c>
      <c r="F1104" s="161" t="s">
        <v>1784</v>
      </c>
      <c r="G1104" s="161">
        <v>5</v>
      </c>
      <c r="H1104" s="161">
        <v>6</v>
      </c>
      <c r="I1104" s="161">
        <v>6.5</v>
      </c>
      <c r="J1104" s="161">
        <v>60.5</v>
      </c>
      <c r="K1104" s="161"/>
      <c r="L1104" s="163">
        <v>-0.93</v>
      </c>
      <c r="M1104" s="163">
        <v>-2.27</v>
      </c>
      <c r="N1104" s="161">
        <v>0.86</v>
      </c>
      <c r="O1104" s="164" t="s">
        <v>1760</v>
      </c>
    </row>
    <row r="1105" spans="1:15" ht="43.2">
      <c r="A1105" s="161" t="s">
        <v>3406</v>
      </c>
      <c r="B1105" s="161" t="s">
        <v>1743</v>
      </c>
      <c r="C1105" s="161" t="s">
        <v>1749</v>
      </c>
      <c r="D1105" s="162">
        <v>43864</v>
      </c>
      <c r="E1105" s="161" t="s">
        <v>3326</v>
      </c>
      <c r="F1105" s="161" t="s">
        <v>1784</v>
      </c>
      <c r="G1105" s="161">
        <v>1</v>
      </c>
      <c r="H1105" s="161">
        <v>2</v>
      </c>
      <c r="I1105" s="161">
        <v>11</v>
      </c>
      <c r="J1105" s="161">
        <v>82</v>
      </c>
      <c r="K1105" s="161"/>
      <c r="L1105" s="163">
        <v>-0.84</v>
      </c>
      <c r="M1105" s="163">
        <v>-2.16</v>
      </c>
      <c r="N1105" s="161">
        <v>0.5</v>
      </c>
      <c r="O1105" s="164" t="s">
        <v>1760</v>
      </c>
    </row>
    <row r="1106" spans="1:15" ht="28.8">
      <c r="A1106" s="161" t="s">
        <v>3407</v>
      </c>
      <c r="B1106" s="161" t="s">
        <v>1752</v>
      </c>
      <c r="C1106" s="161" t="s">
        <v>1744</v>
      </c>
      <c r="D1106" s="162">
        <v>44176</v>
      </c>
      <c r="E1106" s="161" t="s">
        <v>2832</v>
      </c>
      <c r="F1106" s="161" t="s">
        <v>1784</v>
      </c>
      <c r="G1106" s="161">
        <v>2</v>
      </c>
      <c r="H1106" s="161">
        <v>4</v>
      </c>
      <c r="I1106" s="161">
        <v>11.6</v>
      </c>
      <c r="J1106" s="161">
        <v>74</v>
      </c>
      <c r="K1106" s="161"/>
      <c r="L1106" s="163">
        <v>0.63</v>
      </c>
      <c r="M1106" s="163">
        <v>-2.88</v>
      </c>
      <c r="N1106" s="161">
        <v>2.57</v>
      </c>
      <c r="O1106" s="164" t="s">
        <v>2078</v>
      </c>
    </row>
    <row r="1107" spans="1:15" ht="43.2">
      <c r="A1107" s="161" t="s">
        <v>3408</v>
      </c>
      <c r="B1107" s="161" t="s">
        <v>1743</v>
      </c>
      <c r="C1107" s="161" t="s">
        <v>1786</v>
      </c>
      <c r="D1107" s="162">
        <v>43535</v>
      </c>
      <c r="E1107" s="161" t="s">
        <v>3409</v>
      </c>
      <c r="F1107" s="161" t="s">
        <v>1784</v>
      </c>
      <c r="G1107" s="161">
        <v>3</v>
      </c>
      <c r="H1107" s="161">
        <v>2</v>
      </c>
      <c r="I1107" s="161">
        <v>12.3</v>
      </c>
      <c r="J1107" s="161">
        <v>84</v>
      </c>
      <c r="K1107" s="161"/>
      <c r="L1107" s="163">
        <v>-1.19</v>
      </c>
      <c r="M1107" s="163">
        <v>-3.25</v>
      </c>
      <c r="N1107" s="161">
        <v>1.0900000000000001</v>
      </c>
      <c r="O1107" s="164" t="s">
        <v>1757</v>
      </c>
    </row>
    <row r="1108" spans="1:15" ht="28.8">
      <c r="A1108" s="161" t="s">
        <v>3410</v>
      </c>
      <c r="B1108" s="161" t="s">
        <v>1752</v>
      </c>
      <c r="C1108" s="161" t="s">
        <v>1755</v>
      </c>
      <c r="D1108" s="162">
        <v>44352</v>
      </c>
      <c r="E1108" s="161" t="s">
        <v>2326</v>
      </c>
      <c r="F1108" s="161" t="s">
        <v>1784</v>
      </c>
      <c r="G1108" s="161">
        <v>7</v>
      </c>
      <c r="H1108" s="161">
        <v>7</v>
      </c>
      <c r="I1108" s="161">
        <v>9.4</v>
      </c>
      <c r="J1108" s="161">
        <v>66</v>
      </c>
      <c r="K1108" s="161"/>
      <c r="L1108" s="163">
        <v>-0.16</v>
      </c>
      <c r="M1108" s="163">
        <v>-3.95</v>
      </c>
      <c r="N1108" s="161">
        <v>2.64</v>
      </c>
      <c r="O1108" s="164" t="s">
        <v>2078</v>
      </c>
    </row>
    <row r="1109" spans="1:15" ht="28.8">
      <c r="A1109" s="161" t="s">
        <v>3411</v>
      </c>
      <c r="B1109" s="161" t="s">
        <v>1743</v>
      </c>
      <c r="C1109" s="161" t="s">
        <v>1749</v>
      </c>
      <c r="D1109" s="162">
        <v>43944</v>
      </c>
      <c r="E1109" s="161" t="s">
        <v>3330</v>
      </c>
      <c r="F1109" s="161" t="s">
        <v>1784</v>
      </c>
      <c r="G1109" s="161">
        <v>3</v>
      </c>
      <c r="H1109" s="161">
        <v>1</v>
      </c>
      <c r="I1109" s="161">
        <v>11.5</v>
      </c>
      <c r="J1109" s="161">
        <v>73</v>
      </c>
      <c r="K1109" s="161"/>
      <c r="L1109" s="163">
        <v>-0.13</v>
      </c>
      <c r="M1109" s="163">
        <v>-4.3600000000000003</v>
      </c>
      <c r="N1109" s="161">
        <v>2.85</v>
      </c>
      <c r="O1109" s="164" t="s">
        <v>2078</v>
      </c>
    </row>
    <row r="1110" spans="1:15" ht="28.8">
      <c r="A1110" s="161" t="s">
        <v>3412</v>
      </c>
      <c r="B1110" s="161" t="s">
        <v>1743</v>
      </c>
      <c r="C1110" s="161" t="s">
        <v>1744</v>
      </c>
      <c r="D1110" s="162">
        <v>44117</v>
      </c>
      <c r="E1110" s="161" t="s">
        <v>3332</v>
      </c>
      <c r="F1110" s="161" t="s">
        <v>1784</v>
      </c>
      <c r="G1110" s="161">
        <v>5</v>
      </c>
      <c r="H1110" s="161">
        <v>1</v>
      </c>
      <c r="I1110" s="161">
        <v>11.7</v>
      </c>
      <c r="J1110" s="161">
        <v>73.2</v>
      </c>
      <c r="K1110" s="161"/>
      <c r="L1110" s="163">
        <v>0.86</v>
      </c>
      <c r="M1110" s="163">
        <v>-2.97</v>
      </c>
      <c r="N1110" s="161">
        <v>2.98</v>
      </c>
      <c r="O1110" s="164" t="s">
        <v>2078</v>
      </c>
    </row>
    <row r="1111" spans="1:15" ht="28.8">
      <c r="A1111" s="161" t="s">
        <v>3413</v>
      </c>
      <c r="B1111" s="161" t="s">
        <v>1743</v>
      </c>
      <c r="C1111" s="161" t="s">
        <v>1744</v>
      </c>
      <c r="D1111" s="162">
        <v>44117</v>
      </c>
      <c r="E1111" s="161" t="s">
        <v>1798</v>
      </c>
      <c r="F1111" s="161" t="s">
        <v>1784</v>
      </c>
      <c r="G1111" s="161">
        <v>4</v>
      </c>
      <c r="H1111" s="161">
        <v>5</v>
      </c>
      <c r="I1111" s="161">
        <v>11.4</v>
      </c>
      <c r="J1111" s="161">
        <v>73.400000000000006</v>
      </c>
      <c r="K1111" s="161"/>
      <c r="L1111" s="163">
        <v>0.66</v>
      </c>
      <c r="M1111" s="163">
        <v>-2.9</v>
      </c>
      <c r="N1111" s="161">
        <v>2.68</v>
      </c>
      <c r="O1111" s="164" t="s">
        <v>2078</v>
      </c>
    </row>
    <row r="1112" spans="1:15" ht="28.8">
      <c r="A1112" s="161" t="s">
        <v>3414</v>
      </c>
      <c r="B1112" s="161" t="s">
        <v>1743</v>
      </c>
      <c r="C1112" s="161" t="s">
        <v>1744</v>
      </c>
      <c r="D1112" s="162">
        <v>44145</v>
      </c>
      <c r="E1112" s="161" t="s">
        <v>2336</v>
      </c>
      <c r="F1112" s="161" t="s">
        <v>1784</v>
      </c>
      <c r="G1112" s="161">
        <v>1</v>
      </c>
      <c r="H1112" s="161">
        <v>4</v>
      </c>
      <c r="I1112" s="161">
        <v>12</v>
      </c>
      <c r="J1112" s="161">
        <v>73.599999999999994</v>
      </c>
      <c r="K1112" s="161"/>
      <c r="L1112" s="163">
        <v>1.21</v>
      </c>
      <c r="M1112" s="163">
        <v>-2.57</v>
      </c>
      <c r="N1112" s="161">
        <v>3.16</v>
      </c>
      <c r="O1112" s="164" t="s">
        <v>2170</v>
      </c>
    </row>
    <row r="1113" spans="1:15" ht="28.8">
      <c r="A1113" s="161" t="s">
        <v>3415</v>
      </c>
      <c r="B1113" s="161" t="s">
        <v>1752</v>
      </c>
      <c r="C1113" s="161" t="s">
        <v>1744</v>
      </c>
      <c r="D1113" s="162">
        <v>44182</v>
      </c>
      <c r="E1113" s="161" t="s">
        <v>2036</v>
      </c>
      <c r="F1113" s="161" t="s">
        <v>1784</v>
      </c>
      <c r="G1113" s="161">
        <v>2</v>
      </c>
      <c r="H1113" s="161">
        <v>4</v>
      </c>
      <c r="I1113" s="161">
        <v>11.1</v>
      </c>
      <c r="J1113" s="161">
        <v>74.3</v>
      </c>
      <c r="K1113" s="161"/>
      <c r="L1113" s="163">
        <v>0.27</v>
      </c>
      <c r="M1113" s="163">
        <v>-2.69</v>
      </c>
      <c r="N1113" s="161">
        <v>2</v>
      </c>
      <c r="O1113" s="164" t="s">
        <v>1757</v>
      </c>
    </row>
    <row r="1114" spans="1:15" ht="28.8">
      <c r="A1114" s="161" t="s">
        <v>3416</v>
      </c>
      <c r="B1114" s="161" t="s">
        <v>1752</v>
      </c>
      <c r="C1114" s="161" t="s">
        <v>1755</v>
      </c>
      <c r="D1114" s="162">
        <v>44343</v>
      </c>
      <c r="E1114" s="161" t="s">
        <v>2324</v>
      </c>
      <c r="F1114" s="161" t="s">
        <v>1784</v>
      </c>
      <c r="G1114" s="161">
        <v>3</v>
      </c>
      <c r="H1114" s="161">
        <v>7</v>
      </c>
      <c r="I1114" s="161">
        <v>9.3000000000000007</v>
      </c>
      <c r="J1114" s="161">
        <v>63.4</v>
      </c>
      <c r="K1114" s="161"/>
      <c r="L1114" s="163">
        <v>-0.31</v>
      </c>
      <c r="M1114" s="163">
        <v>-5.15</v>
      </c>
      <c r="N1114" s="161">
        <v>3.51</v>
      </c>
      <c r="O1114" s="164" t="s">
        <v>2170</v>
      </c>
    </row>
    <row r="1115" spans="1:15" ht="43.2">
      <c r="A1115" s="161" t="s">
        <v>3417</v>
      </c>
      <c r="B1115" s="161" t="s">
        <v>1743</v>
      </c>
      <c r="C1115" s="161" t="s">
        <v>1755</v>
      </c>
      <c r="D1115" s="162">
        <v>44364</v>
      </c>
      <c r="E1115" s="161" t="s">
        <v>2843</v>
      </c>
      <c r="F1115" s="161" t="s">
        <v>1807</v>
      </c>
      <c r="G1115" s="161">
        <v>4</v>
      </c>
      <c r="H1115" s="161">
        <v>4</v>
      </c>
      <c r="I1115" s="161">
        <v>8.6</v>
      </c>
      <c r="J1115" s="161">
        <v>61.6</v>
      </c>
      <c r="K1115" s="161"/>
      <c r="L1115" s="163">
        <v>-0.16</v>
      </c>
      <c r="M1115" s="163">
        <v>-4.51</v>
      </c>
      <c r="N1115" s="161">
        <v>3.27</v>
      </c>
      <c r="O1115" s="164" t="s">
        <v>2170</v>
      </c>
    </row>
    <row r="1116" spans="1:15" ht="43.2">
      <c r="A1116" s="161" t="s">
        <v>3418</v>
      </c>
      <c r="B1116" s="161" t="s">
        <v>1743</v>
      </c>
      <c r="C1116" s="161" t="s">
        <v>1755</v>
      </c>
      <c r="D1116" s="162">
        <v>44443</v>
      </c>
      <c r="E1116" s="161" t="s">
        <v>2957</v>
      </c>
      <c r="F1116" s="161" t="s">
        <v>1807</v>
      </c>
      <c r="G1116" s="161">
        <v>5</v>
      </c>
      <c r="H1116" s="161">
        <v>2</v>
      </c>
      <c r="I1116" s="161">
        <v>8.3000000000000007</v>
      </c>
      <c r="J1116" s="161">
        <v>62.4</v>
      </c>
      <c r="K1116" s="161"/>
      <c r="L1116" s="163">
        <v>0.18</v>
      </c>
      <c r="M1116" s="163">
        <v>-3.01</v>
      </c>
      <c r="N1116" s="161">
        <v>2.6</v>
      </c>
      <c r="O1116" s="164" t="s">
        <v>2078</v>
      </c>
    </row>
    <row r="1117" spans="1:15" ht="43.2">
      <c r="A1117" s="161" t="s">
        <v>3419</v>
      </c>
      <c r="B1117" s="161" t="s">
        <v>1743</v>
      </c>
      <c r="C1117" s="161" t="s">
        <v>1749</v>
      </c>
      <c r="D1117" s="162">
        <v>43604</v>
      </c>
      <c r="E1117" s="161" t="s">
        <v>2345</v>
      </c>
      <c r="F1117" s="161" t="s">
        <v>1807</v>
      </c>
      <c r="G1117" s="161">
        <v>1</v>
      </c>
      <c r="H1117" s="161">
        <v>3</v>
      </c>
      <c r="I1117" s="161">
        <v>8.6999999999999993</v>
      </c>
      <c r="J1117" s="161">
        <v>87</v>
      </c>
      <c r="K1117" s="161"/>
      <c r="L1117" s="163">
        <v>-3.77</v>
      </c>
      <c r="M1117" s="163">
        <v>-2.12</v>
      </c>
      <c r="N1117" s="161">
        <v>-3.67</v>
      </c>
      <c r="O1117" s="164" t="s">
        <v>1790</v>
      </c>
    </row>
    <row r="1118" spans="1:15" ht="43.2">
      <c r="A1118" s="161" t="s">
        <v>3420</v>
      </c>
      <c r="B1118" s="161" t="s">
        <v>1752</v>
      </c>
      <c r="C1118" s="161" t="s">
        <v>1755</v>
      </c>
      <c r="D1118" s="162">
        <v>44475</v>
      </c>
      <c r="E1118" s="161" t="s">
        <v>3421</v>
      </c>
      <c r="F1118" s="161" t="s">
        <v>1807</v>
      </c>
      <c r="G1118" s="161">
        <v>11</v>
      </c>
      <c r="H1118" s="161">
        <v>3</v>
      </c>
      <c r="I1118" s="161">
        <v>6.9</v>
      </c>
      <c r="J1118" s="161">
        <v>60</v>
      </c>
      <c r="K1118" s="161"/>
      <c r="L1118" s="163">
        <v>-1.83</v>
      </c>
      <c r="M1118" s="163">
        <v>-4.4800000000000004</v>
      </c>
      <c r="N1118" s="161">
        <v>1.65</v>
      </c>
      <c r="O1118" s="164" t="s">
        <v>1757</v>
      </c>
    </row>
    <row r="1119" spans="1:15" ht="43.2">
      <c r="A1119" s="161" t="s">
        <v>3422</v>
      </c>
      <c r="B1119" s="161" t="s">
        <v>1752</v>
      </c>
      <c r="C1119" s="161" t="s">
        <v>2055</v>
      </c>
      <c r="D1119" s="162">
        <v>44704</v>
      </c>
      <c r="E1119" s="161" t="s">
        <v>3262</v>
      </c>
      <c r="F1119" s="161" t="s">
        <v>1807</v>
      </c>
      <c r="G1119" s="161">
        <v>7</v>
      </c>
      <c r="H1119" s="161">
        <v>1</v>
      </c>
      <c r="I1119" s="161">
        <v>3</v>
      </c>
      <c r="J1119" s="161">
        <v>49</v>
      </c>
      <c r="K1119" s="161"/>
      <c r="L1119" s="163">
        <v>-2.27</v>
      </c>
      <c r="M1119" s="163">
        <v>-2.06</v>
      </c>
      <c r="N1119" s="161">
        <v>-0.97</v>
      </c>
      <c r="O1119" s="164" t="s">
        <v>1760</v>
      </c>
    </row>
    <row r="1120" spans="1:15" ht="57.6">
      <c r="A1120" s="161" t="s">
        <v>3423</v>
      </c>
      <c r="B1120" s="161" t="s">
        <v>1752</v>
      </c>
      <c r="C1120" s="161" t="s">
        <v>2055</v>
      </c>
      <c r="D1120" s="162">
        <v>44712</v>
      </c>
      <c r="E1120" s="161" t="s">
        <v>3338</v>
      </c>
      <c r="F1120" s="161" t="s">
        <v>1807</v>
      </c>
      <c r="G1120" s="161">
        <v>7</v>
      </c>
      <c r="H1120" s="161">
        <v>1</v>
      </c>
      <c r="I1120" s="161">
        <v>3.1</v>
      </c>
      <c r="J1120" s="161">
        <v>49</v>
      </c>
      <c r="K1120" s="161"/>
      <c r="L1120" s="163">
        <v>-2.66</v>
      </c>
      <c r="M1120" s="163">
        <v>-2.62</v>
      </c>
      <c r="N1120" s="161">
        <v>-0.6</v>
      </c>
      <c r="O1120" s="164" t="s">
        <v>1760</v>
      </c>
    </row>
    <row r="1121" spans="1:15" ht="43.2">
      <c r="A1121" s="161" t="s">
        <v>3424</v>
      </c>
      <c r="B1121" s="161" t="s">
        <v>1752</v>
      </c>
      <c r="C1121" s="161" t="s">
        <v>2055</v>
      </c>
      <c r="D1121" s="162">
        <v>44705</v>
      </c>
      <c r="E1121" s="161" t="s">
        <v>2948</v>
      </c>
      <c r="F1121" s="161" t="s">
        <v>1807</v>
      </c>
      <c r="G1121" s="161">
        <v>8</v>
      </c>
      <c r="H1121" s="161">
        <v>2</v>
      </c>
      <c r="I1121" s="161">
        <v>2.9</v>
      </c>
      <c r="J1121" s="161">
        <v>49</v>
      </c>
      <c r="K1121" s="161"/>
      <c r="L1121" s="163">
        <v>-2.58</v>
      </c>
      <c r="M1121" s="163">
        <v>-2.13</v>
      </c>
      <c r="N1121" s="161">
        <v>-1.37</v>
      </c>
      <c r="O1121" s="164" t="s">
        <v>1760</v>
      </c>
    </row>
    <row r="1122" spans="1:15" ht="43.2">
      <c r="A1122" s="161" t="s">
        <v>3425</v>
      </c>
      <c r="B1122" s="161" t="s">
        <v>1752</v>
      </c>
      <c r="C1122" s="161" t="s">
        <v>1786</v>
      </c>
      <c r="D1122" s="162">
        <v>43364</v>
      </c>
      <c r="E1122" s="161" t="s">
        <v>2963</v>
      </c>
      <c r="F1122" s="161" t="s">
        <v>1807</v>
      </c>
      <c r="G1122" s="161">
        <v>3</v>
      </c>
      <c r="H1122" s="161">
        <v>2</v>
      </c>
      <c r="I1122" s="161">
        <v>10</v>
      </c>
      <c r="J1122" s="161">
        <v>79.3</v>
      </c>
      <c r="K1122" s="161">
        <v>12</v>
      </c>
      <c r="L1122" s="163">
        <v>-3.58</v>
      </c>
      <c r="M1122" s="163">
        <v>-5.52</v>
      </c>
      <c r="N1122" s="161">
        <v>-0.38</v>
      </c>
      <c r="O1122" s="164" t="s">
        <v>1760</v>
      </c>
    </row>
    <row r="1123" spans="1:15" ht="57.6">
      <c r="A1123" s="161" t="s">
        <v>3426</v>
      </c>
      <c r="B1123" s="161" t="s">
        <v>1743</v>
      </c>
      <c r="C1123" s="161" t="s">
        <v>1779</v>
      </c>
      <c r="D1123" s="162">
        <v>43191</v>
      </c>
      <c r="E1123" s="161" t="s">
        <v>2611</v>
      </c>
      <c r="F1123" s="161" t="s">
        <v>1807</v>
      </c>
      <c r="G1123" s="161">
        <v>1</v>
      </c>
      <c r="H1123" s="161">
        <v>4</v>
      </c>
      <c r="I1123" s="161">
        <v>8.9</v>
      </c>
      <c r="J1123" s="161">
        <v>86.5</v>
      </c>
      <c r="K1123" s="161">
        <v>12.5</v>
      </c>
      <c r="L1123" s="163">
        <v>-4.4400000000000004</v>
      </c>
      <c r="M1123" s="163">
        <v>-4.07</v>
      </c>
      <c r="N1123" s="161">
        <v>-3.12</v>
      </c>
      <c r="O1123" s="164" t="s">
        <v>1790</v>
      </c>
    </row>
    <row r="1124" spans="1:15" ht="43.2">
      <c r="A1124" s="161" t="s">
        <v>3427</v>
      </c>
      <c r="B1124" s="161" t="s">
        <v>1743</v>
      </c>
      <c r="C1124" s="161" t="s">
        <v>1779</v>
      </c>
      <c r="D1124" s="162">
        <v>43180</v>
      </c>
      <c r="E1124" s="161" t="s">
        <v>2955</v>
      </c>
      <c r="F1124" s="161" t="s">
        <v>1807</v>
      </c>
      <c r="G1124" s="161">
        <v>8</v>
      </c>
      <c r="H1124" s="161">
        <v>3</v>
      </c>
      <c r="I1124" s="161">
        <v>12.4</v>
      </c>
      <c r="J1124" s="161">
        <v>93.7</v>
      </c>
      <c r="K1124" s="161">
        <v>15.9</v>
      </c>
      <c r="L1124" s="163">
        <v>-2.08</v>
      </c>
      <c r="M1124" s="163">
        <v>-2.29</v>
      </c>
      <c r="N1124" s="161">
        <v>-1.02</v>
      </c>
      <c r="O1124" s="164" t="s">
        <v>1760</v>
      </c>
    </row>
    <row r="1125" spans="1:15" ht="43.2">
      <c r="A1125" s="161" t="s">
        <v>3428</v>
      </c>
      <c r="B1125" s="161" t="s">
        <v>1743</v>
      </c>
      <c r="C1125" s="161" t="s">
        <v>1749</v>
      </c>
      <c r="D1125" s="162">
        <v>43645</v>
      </c>
      <c r="E1125" s="161" t="s">
        <v>2951</v>
      </c>
      <c r="F1125" s="161" t="s">
        <v>1807</v>
      </c>
      <c r="G1125" s="161">
        <v>2</v>
      </c>
      <c r="H1125" s="161">
        <v>4</v>
      </c>
      <c r="I1125" s="161">
        <v>8.6999999999999993</v>
      </c>
      <c r="J1125" s="161">
        <v>82.8</v>
      </c>
      <c r="K1125" s="161"/>
      <c r="L1125" s="163">
        <v>-3.63</v>
      </c>
      <c r="M1125" s="163">
        <v>-2.98</v>
      </c>
      <c r="N1125" s="161">
        <v>-2.6</v>
      </c>
      <c r="O1125" s="164" t="s">
        <v>1747</v>
      </c>
    </row>
    <row r="1126" spans="1:15" ht="43.2">
      <c r="A1126" s="161" t="s">
        <v>3429</v>
      </c>
      <c r="B1126" s="161" t="s">
        <v>1752</v>
      </c>
      <c r="C1126" s="161" t="s">
        <v>1744</v>
      </c>
      <c r="D1126" s="162">
        <v>43986</v>
      </c>
      <c r="E1126" s="161" t="s">
        <v>2968</v>
      </c>
      <c r="F1126" s="161" t="s">
        <v>1807</v>
      </c>
      <c r="G1126" s="161">
        <v>3</v>
      </c>
      <c r="H1126" s="161">
        <v>1</v>
      </c>
      <c r="I1126" s="161">
        <v>12.7</v>
      </c>
      <c r="J1126" s="161">
        <v>80.400000000000006</v>
      </c>
      <c r="K1126" s="161">
        <v>14.6</v>
      </c>
      <c r="L1126" s="163">
        <v>0.5</v>
      </c>
      <c r="M1126" s="163">
        <v>-2.2400000000000002</v>
      </c>
      <c r="N1126" s="161">
        <v>2.19</v>
      </c>
      <c r="O1126" s="164" t="s">
        <v>2078</v>
      </c>
    </row>
    <row r="1127" spans="1:15" ht="28.8">
      <c r="A1127" s="161" t="s">
        <v>3430</v>
      </c>
      <c r="B1127" s="161" t="s">
        <v>1743</v>
      </c>
      <c r="C1127" s="161" t="s">
        <v>1749</v>
      </c>
      <c r="D1127" s="162">
        <v>43871</v>
      </c>
      <c r="E1127" s="161" t="s">
        <v>1750</v>
      </c>
      <c r="F1127" s="161" t="s">
        <v>1746</v>
      </c>
      <c r="G1127" s="161">
        <v>4</v>
      </c>
      <c r="H1127" s="161">
        <v>1</v>
      </c>
      <c r="I1127" s="161">
        <v>11.5</v>
      </c>
      <c r="J1127" s="161">
        <v>74</v>
      </c>
      <c r="K1127" s="161"/>
      <c r="L1127" s="163">
        <v>0.66</v>
      </c>
      <c r="M1127" s="163">
        <v>-2.58</v>
      </c>
      <c r="N1127" s="161">
        <v>2.4900000000000002</v>
      </c>
      <c r="O1127" s="164" t="s">
        <v>2078</v>
      </c>
    </row>
    <row r="1128" spans="1:15" ht="43.2">
      <c r="A1128" s="161" t="s">
        <v>3431</v>
      </c>
      <c r="B1128" s="161" t="s">
        <v>1743</v>
      </c>
      <c r="C1128" s="161" t="s">
        <v>1755</v>
      </c>
      <c r="D1128" s="162">
        <v>44329</v>
      </c>
      <c r="E1128" s="161" t="s">
        <v>3432</v>
      </c>
      <c r="F1128" s="161" t="s">
        <v>1746</v>
      </c>
      <c r="G1128" s="161">
        <v>7</v>
      </c>
      <c r="H1128" s="161">
        <v>3</v>
      </c>
      <c r="I1128" s="161">
        <v>9.6999999999999993</v>
      </c>
      <c r="J1128" s="161">
        <v>67</v>
      </c>
      <c r="K1128" s="161"/>
      <c r="L1128" s="163">
        <v>0.56999999999999995</v>
      </c>
      <c r="M1128" s="163">
        <v>-2.88</v>
      </c>
      <c r="N1128" s="161">
        <v>2.65</v>
      </c>
      <c r="O1128" s="164" t="s">
        <v>2078</v>
      </c>
    </row>
    <row r="1129" spans="1:15" ht="43.2">
      <c r="A1129" s="161" t="s">
        <v>3433</v>
      </c>
      <c r="B1129" s="161" t="s">
        <v>1752</v>
      </c>
      <c r="C1129" s="161" t="s">
        <v>1744</v>
      </c>
      <c r="D1129" s="162">
        <v>44218</v>
      </c>
      <c r="E1129" s="161" t="s">
        <v>2279</v>
      </c>
      <c r="F1129" s="161" t="s">
        <v>1746</v>
      </c>
      <c r="G1129" s="161">
        <v>3</v>
      </c>
      <c r="H1129" s="161">
        <v>11</v>
      </c>
      <c r="I1129" s="161">
        <v>9.4</v>
      </c>
      <c r="J1129" s="161">
        <v>68</v>
      </c>
      <c r="K1129" s="161"/>
      <c r="L1129" s="163">
        <v>-1.03</v>
      </c>
      <c r="M1129" s="163">
        <v>-4.7300000000000004</v>
      </c>
      <c r="N1129" s="161">
        <v>1.96</v>
      </c>
      <c r="O1129" s="164" t="s">
        <v>1757</v>
      </c>
    </row>
    <row r="1130" spans="1:15" ht="72">
      <c r="A1130" s="161" t="s">
        <v>3434</v>
      </c>
      <c r="B1130" s="161" t="s">
        <v>1752</v>
      </c>
      <c r="C1130" s="161" t="s">
        <v>1755</v>
      </c>
      <c r="D1130" s="162">
        <v>44326</v>
      </c>
      <c r="E1130" s="161" t="s">
        <v>2977</v>
      </c>
      <c r="F1130" s="161" t="s">
        <v>1746</v>
      </c>
      <c r="G1130" s="161">
        <v>2</v>
      </c>
      <c r="H1130" s="161">
        <v>1</v>
      </c>
      <c r="I1130" s="161">
        <v>9.6</v>
      </c>
      <c r="J1130" s="161">
        <v>68</v>
      </c>
      <c r="K1130" s="161"/>
      <c r="L1130" s="163">
        <v>-0.15</v>
      </c>
      <c r="M1130" s="163">
        <v>-3.47</v>
      </c>
      <c r="N1130" s="161">
        <v>2.2000000000000002</v>
      </c>
      <c r="O1130" s="164" t="s">
        <v>2078</v>
      </c>
    </row>
    <row r="1131" spans="1:15" ht="43.2">
      <c r="A1131" s="161" t="s">
        <v>3435</v>
      </c>
      <c r="B1131" s="161" t="s">
        <v>1752</v>
      </c>
      <c r="C1131" s="161" t="s">
        <v>1749</v>
      </c>
      <c r="D1131" s="162">
        <v>43832</v>
      </c>
      <c r="E1131" s="161" t="s">
        <v>3267</v>
      </c>
      <c r="F1131" s="161" t="s">
        <v>1746</v>
      </c>
      <c r="G1131" s="161">
        <v>8</v>
      </c>
      <c r="H1131" s="161">
        <v>3</v>
      </c>
      <c r="I1131" s="161">
        <v>11.9</v>
      </c>
      <c r="J1131" s="161">
        <v>73</v>
      </c>
      <c r="K1131" s="161"/>
      <c r="L1131" s="163">
        <v>-0.79</v>
      </c>
      <c r="M1131" s="163">
        <v>-5.59</v>
      </c>
      <c r="N1131" s="161">
        <v>3.12</v>
      </c>
      <c r="O1131" s="164" t="s">
        <v>2170</v>
      </c>
    </row>
    <row r="1132" spans="1:15" ht="43.2">
      <c r="A1132" s="161" t="s">
        <v>3436</v>
      </c>
      <c r="B1132" s="161" t="s">
        <v>1743</v>
      </c>
      <c r="C1132" s="161" t="s">
        <v>1749</v>
      </c>
      <c r="D1132" s="162">
        <v>43896</v>
      </c>
      <c r="E1132" s="161" t="s">
        <v>3203</v>
      </c>
      <c r="F1132" s="161" t="s">
        <v>1746</v>
      </c>
      <c r="G1132" s="161">
        <v>2</v>
      </c>
      <c r="H1132" s="161">
        <v>4</v>
      </c>
      <c r="I1132" s="161">
        <v>11.7</v>
      </c>
      <c r="J1132" s="161">
        <v>73.599999999999994</v>
      </c>
      <c r="K1132" s="161"/>
      <c r="L1132" s="163">
        <v>-0.21</v>
      </c>
      <c r="M1132" s="163">
        <v>-4.47</v>
      </c>
      <c r="N1132" s="161">
        <v>2.9</v>
      </c>
      <c r="O1132" s="164" t="s">
        <v>2078</v>
      </c>
    </row>
    <row r="1133" spans="1:15" ht="43.2">
      <c r="A1133" s="161" t="s">
        <v>3437</v>
      </c>
      <c r="B1133" s="161" t="s">
        <v>1743</v>
      </c>
      <c r="C1133" s="161" t="s">
        <v>1749</v>
      </c>
      <c r="D1133" s="162">
        <v>43939</v>
      </c>
      <c r="E1133" s="161" t="s">
        <v>3438</v>
      </c>
      <c r="F1133" s="161" t="s">
        <v>1746</v>
      </c>
      <c r="G1133" s="161">
        <v>4</v>
      </c>
      <c r="H1133" s="161">
        <v>6</v>
      </c>
      <c r="I1133" s="161">
        <v>12</v>
      </c>
      <c r="J1133" s="161">
        <v>73.900000000000006</v>
      </c>
      <c r="K1133" s="161"/>
      <c r="L1133" s="163">
        <v>0.19</v>
      </c>
      <c r="M1133" s="163">
        <v>-4.12</v>
      </c>
      <c r="N1133" s="161">
        <v>3.09</v>
      </c>
      <c r="O1133" s="164" t="s">
        <v>2170</v>
      </c>
    </row>
    <row r="1134" spans="1:15" ht="28.8">
      <c r="A1134" s="161" t="s">
        <v>3439</v>
      </c>
      <c r="B1134" s="161" t="s">
        <v>1752</v>
      </c>
      <c r="C1134" s="161" t="s">
        <v>1744</v>
      </c>
      <c r="D1134" s="162">
        <v>43966</v>
      </c>
      <c r="E1134" s="161" t="s">
        <v>3440</v>
      </c>
      <c r="F1134" s="161" t="s">
        <v>1746</v>
      </c>
      <c r="G1134" s="161">
        <v>8</v>
      </c>
      <c r="H1134" s="161">
        <v>9</v>
      </c>
      <c r="I1134" s="161">
        <v>11.9</v>
      </c>
      <c r="J1134" s="161">
        <v>73.099999999999994</v>
      </c>
      <c r="K1134" s="161"/>
      <c r="L1134" s="163">
        <v>-0.22</v>
      </c>
      <c r="M1134" s="163">
        <v>-4.87</v>
      </c>
      <c r="N1134" s="161">
        <v>3.09</v>
      </c>
      <c r="O1134" s="164" t="s">
        <v>2170</v>
      </c>
    </row>
    <row r="1135" spans="1:15" ht="28.8">
      <c r="A1135" s="161" t="s">
        <v>3441</v>
      </c>
      <c r="B1135" s="161" t="s">
        <v>1752</v>
      </c>
      <c r="C1135" s="161" t="s">
        <v>1744</v>
      </c>
      <c r="D1135" s="162">
        <v>44025</v>
      </c>
      <c r="E1135" s="161" t="s">
        <v>3442</v>
      </c>
      <c r="F1135" s="161" t="s">
        <v>1746</v>
      </c>
      <c r="G1135" s="161">
        <v>1</v>
      </c>
      <c r="H1135" s="161">
        <v>9</v>
      </c>
      <c r="I1135" s="161">
        <v>11.4</v>
      </c>
      <c r="J1135" s="161">
        <v>73.400000000000006</v>
      </c>
      <c r="K1135" s="161"/>
      <c r="L1135" s="163">
        <v>-0.32</v>
      </c>
      <c r="M1135" s="163">
        <v>-4.38</v>
      </c>
      <c r="N1135" s="161">
        <v>2.5299999999999998</v>
      </c>
      <c r="O1135" s="164" t="s">
        <v>2078</v>
      </c>
    </row>
    <row r="1136" spans="1:15" ht="28.8">
      <c r="A1136" s="161" t="s">
        <v>3443</v>
      </c>
      <c r="B1136" s="161" t="s">
        <v>1743</v>
      </c>
      <c r="C1136" s="161" t="s">
        <v>1744</v>
      </c>
      <c r="D1136" s="162">
        <v>44096</v>
      </c>
      <c r="E1136" s="161" t="s">
        <v>3444</v>
      </c>
      <c r="F1136" s="161" t="s">
        <v>1746</v>
      </c>
      <c r="G1136" s="161">
        <v>5</v>
      </c>
      <c r="H1136" s="161">
        <v>9</v>
      </c>
      <c r="I1136" s="161">
        <v>11.5</v>
      </c>
      <c r="J1136" s="161">
        <v>73.7</v>
      </c>
      <c r="K1136" s="161"/>
      <c r="L1136" s="163">
        <v>0.62</v>
      </c>
      <c r="M1136" s="163">
        <v>-2.99</v>
      </c>
      <c r="N1136" s="161">
        <v>2.7</v>
      </c>
      <c r="O1136" s="164" t="s">
        <v>2078</v>
      </c>
    </row>
    <row r="1137" spans="1:15" ht="43.2">
      <c r="A1137" s="161" t="s">
        <v>3445</v>
      </c>
      <c r="B1137" s="161" t="s">
        <v>1743</v>
      </c>
      <c r="C1137" s="161" t="s">
        <v>1744</v>
      </c>
      <c r="D1137" s="162">
        <v>44275</v>
      </c>
      <c r="E1137" s="161" t="s">
        <v>3446</v>
      </c>
      <c r="F1137" s="161" t="s">
        <v>1746</v>
      </c>
      <c r="G1137" s="161">
        <v>7</v>
      </c>
      <c r="H1137" s="161">
        <v>9</v>
      </c>
      <c r="I1137" s="161">
        <v>9.9</v>
      </c>
      <c r="J1137" s="161">
        <v>68.5</v>
      </c>
      <c r="K1137" s="161"/>
      <c r="L1137" s="163">
        <v>0.41</v>
      </c>
      <c r="M1137" s="163">
        <v>-2.98</v>
      </c>
      <c r="N1137" s="161">
        <v>2.44</v>
      </c>
      <c r="O1137" s="164" t="s">
        <v>2078</v>
      </c>
    </row>
    <row r="1138" spans="1:15" ht="43.2">
      <c r="A1138" s="161" t="s">
        <v>3447</v>
      </c>
      <c r="B1138" s="161" t="s">
        <v>1743</v>
      </c>
      <c r="C1138" s="161" t="s">
        <v>1744</v>
      </c>
      <c r="D1138" s="162">
        <v>44295</v>
      </c>
      <c r="E1138" s="161" t="s">
        <v>3448</v>
      </c>
      <c r="F1138" s="161" t="s">
        <v>1746</v>
      </c>
      <c r="G1138" s="161">
        <v>6</v>
      </c>
      <c r="H1138" s="161">
        <v>9</v>
      </c>
      <c r="I1138" s="161">
        <v>9</v>
      </c>
      <c r="J1138" s="161">
        <v>65</v>
      </c>
      <c r="K1138" s="161"/>
      <c r="L1138" s="163">
        <v>-0.24</v>
      </c>
      <c r="M1138" s="163">
        <v>-4.0599999999999996</v>
      </c>
      <c r="N1138" s="161">
        <v>2.5099999999999998</v>
      </c>
      <c r="O1138" s="164" t="s">
        <v>2078</v>
      </c>
    </row>
    <row r="1139" spans="1:15" ht="28.8">
      <c r="A1139" s="161" t="s">
        <v>3449</v>
      </c>
      <c r="B1139" s="161" t="s">
        <v>1743</v>
      </c>
      <c r="C1139" s="161" t="s">
        <v>1744</v>
      </c>
      <c r="D1139" s="162">
        <v>44302</v>
      </c>
      <c r="E1139" s="161" t="s">
        <v>1764</v>
      </c>
      <c r="F1139" s="161" t="s">
        <v>1746</v>
      </c>
      <c r="G1139" s="161">
        <v>4</v>
      </c>
      <c r="H1139" s="161">
        <v>7</v>
      </c>
      <c r="I1139" s="161">
        <v>9.5</v>
      </c>
      <c r="J1139" s="161">
        <v>65.7</v>
      </c>
      <c r="K1139" s="161"/>
      <c r="L1139" s="163">
        <v>0.24</v>
      </c>
      <c r="M1139" s="163">
        <v>-3.71</v>
      </c>
      <c r="N1139" s="161">
        <v>2.83</v>
      </c>
      <c r="O1139" s="164" t="s">
        <v>2078</v>
      </c>
    </row>
    <row r="1140" spans="1:15" ht="43.2">
      <c r="A1140" s="161" t="s">
        <v>3450</v>
      </c>
      <c r="B1140" s="161" t="s">
        <v>1743</v>
      </c>
      <c r="C1140" s="161" t="s">
        <v>1744</v>
      </c>
      <c r="D1140" s="162">
        <v>44303</v>
      </c>
      <c r="E1140" s="161" t="s">
        <v>2376</v>
      </c>
      <c r="F1140" s="161" t="s">
        <v>1746</v>
      </c>
      <c r="G1140" s="161">
        <v>4</v>
      </c>
      <c r="H1140" s="161">
        <v>1</v>
      </c>
      <c r="I1140" s="161">
        <v>9</v>
      </c>
      <c r="J1140" s="161">
        <v>65.5</v>
      </c>
      <c r="K1140" s="161"/>
      <c r="L1140" s="163">
        <v>-0.19</v>
      </c>
      <c r="M1140" s="163">
        <v>-3.77</v>
      </c>
      <c r="N1140" s="161">
        <v>2.35</v>
      </c>
      <c r="O1140" s="164" t="s">
        <v>2078</v>
      </c>
    </row>
    <row r="1141" spans="1:15" ht="43.2">
      <c r="A1141" s="161" t="s">
        <v>3451</v>
      </c>
      <c r="B1141" s="161" t="s">
        <v>1743</v>
      </c>
      <c r="C1141" s="161" t="s">
        <v>1755</v>
      </c>
      <c r="D1141" s="162">
        <v>44315</v>
      </c>
      <c r="E1141" s="161" t="s">
        <v>2742</v>
      </c>
      <c r="F1141" s="161" t="s">
        <v>1769</v>
      </c>
      <c r="G1141" s="161">
        <v>4</v>
      </c>
      <c r="H1141" s="161">
        <v>1</v>
      </c>
      <c r="I1141" s="161">
        <v>9</v>
      </c>
      <c r="J1141" s="161">
        <v>65.5</v>
      </c>
      <c r="K1141" s="161"/>
      <c r="L1141" s="163">
        <v>-0.12</v>
      </c>
      <c r="M1141" s="163">
        <v>-3.62</v>
      </c>
      <c r="N1141" s="161">
        <v>2.35</v>
      </c>
      <c r="O1141" s="164" t="s">
        <v>2078</v>
      </c>
    </row>
    <row r="1142" spans="1:15" ht="43.2">
      <c r="A1142" s="161" t="s">
        <v>3452</v>
      </c>
      <c r="B1142" s="161" t="s">
        <v>1743</v>
      </c>
      <c r="C1142" s="161" t="s">
        <v>1755</v>
      </c>
      <c r="D1142" s="162">
        <v>44319</v>
      </c>
      <c r="E1142" s="161" t="s">
        <v>2408</v>
      </c>
      <c r="F1142" s="161" t="s">
        <v>1769</v>
      </c>
      <c r="G1142" s="161">
        <v>8</v>
      </c>
      <c r="H1142" s="161">
        <v>1</v>
      </c>
      <c r="I1142" s="161">
        <v>9</v>
      </c>
      <c r="J1142" s="161">
        <v>63.4</v>
      </c>
      <c r="K1142" s="161"/>
      <c r="L1142" s="163">
        <v>-0.09</v>
      </c>
      <c r="M1142" s="163">
        <v>-4.38</v>
      </c>
      <c r="N1142" s="161">
        <v>3.05</v>
      </c>
      <c r="O1142" s="164" t="s">
        <v>2170</v>
      </c>
    </row>
    <row r="1143" spans="1:15" ht="43.2">
      <c r="A1143" s="161" t="s">
        <v>3453</v>
      </c>
      <c r="B1143" s="161" t="s">
        <v>1743</v>
      </c>
      <c r="C1143" s="161" t="s">
        <v>1755</v>
      </c>
      <c r="D1143" s="162">
        <v>44373</v>
      </c>
      <c r="E1143" s="161" t="s">
        <v>2999</v>
      </c>
      <c r="F1143" s="161" t="s">
        <v>1769</v>
      </c>
      <c r="G1143" s="161">
        <v>8</v>
      </c>
      <c r="H1143" s="161">
        <v>5</v>
      </c>
      <c r="I1143" s="161">
        <v>8.1999999999999993</v>
      </c>
      <c r="J1143" s="161">
        <v>61.5</v>
      </c>
      <c r="K1143" s="161"/>
      <c r="L1143" s="163">
        <v>-0.48</v>
      </c>
      <c r="M1143" s="163">
        <v>-4.43</v>
      </c>
      <c r="N1143" s="161">
        <v>2.82</v>
      </c>
      <c r="O1143" s="164" t="s">
        <v>2078</v>
      </c>
    </row>
    <row r="1144" spans="1:15" ht="43.2">
      <c r="A1144" s="161" t="s">
        <v>3454</v>
      </c>
      <c r="B1144" s="161" t="s">
        <v>1752</v>
      </c>
      <c r="C1144" s="161" t="s">
        <v>1786</v>
      </c>
      <c r="D1144" s="162">
        <v>43298</v>
      </c>
      <c r="E1144" s="161" t="s">
        <v>2398</v>
      </c>
      <c r="F1144" s="161" t="s">
        <v>1769</v>
      </c>
      <c r="G1144" s="161">
        <v>4</v>
      </c>
      <c r="H1144" s="161">
        <v>1</v>
      </c>
      <c r="I1144" s="161">
        <v>8.8000000000000007</v>
      </c>
      <c r="J1144" s="161">
        <v>84</v>
      </c>
      <c r="K1144" s="161"/>
      <c r="L1144" s="163">
        <v>-4.58</v>
      </c>
      <c r="M1144" s="163">
        <v>-4.45</v>
      </c>
      <c r="N1144" s="161">
        <v>-3.32</v>
      </c>
      <c r="O1144" s="164" t="s">
        <v>1790</v>
      </c>
    </row>
    <row r="1145" spans="1:15" ht="57.6">
      <c r="A1145" s="161" t="s">
        <v>3455</v>
      </c>
      <c r="B1145" s="161" t="s">
        <v>1743</v>
      </c>
      <c r="C1145" s="161" t="s">
        <v>1744</v>
      </c>
      <c r="D1145" s="162">
        <v>44044</v>
      </c>
      <c r="E1145" s="161" t="s">
        <v>3456</v>
      </c>
      <c r="F1145" s="161" t="s">
        <v>1769</v>
      </c>
      <c r="G1145" s="161">
        <v>2</v>
      </c>
      <c r="H1145" s="161">
        <v>1</v>
      </c>
      <c r="I1145" s="161">
        <v>11.25</v>
      </c>
      <c r="J1145" s="161">
        <v>76.5</v>
      </c>
      <c r="K1145" s="161"/>
      <c r="L1145" s="163">
        <v>0.2</v>
      </c>
      <c r="M1145" s="163">
        <v>-2.4900000000000002</v>
      </c>
      <c r="N1145" s="161">
        <v>1.9</v>
      </c>
      <c r="O1145" s="164" t="s">
        <v>1757</v>
      </c>
    </row>
    <row r="1146" spans="1:15" ht="43.2">
      <c r="A1146" s="161" t="s">
        <v>3457</v>
      </c>
      <c r="B1146" s="161" t="s">
        <v>1752</v>
      </c>
      <c r="C1146" s="161" t="s">
        <v>1749</v>
      </c>
      <c r="D1146" s="162">
        <v>43879</v>
      </c>
      <c r="E1146" s="161" t="s">
        <v>3274</v>
      </c>
      <c r="F1146" s="161" t="s">
        <v>1769</v>
      </c>
      <c r="G1146" s="161">
        <v>3</v>
      </c>
      <c r="H1146" s="161">
        <v>1</v>
      </c>
      <c r="I1146" s="161">
        <v>11.6</v>
      </c>
      <c r="J1146" s="161">
        <v>83</v>
      </c>
      <c r="K1146" s="161"/>
      <c r="L1146" s="163">
        <v>-0.81</v>
      </c>
      <c r="M1146" s="163">
        <v>-2.2599999999999998</v>
      </c>
      <c r="N1146" s="161">
        <v>0.59</v>
      </c>
      <c r="O1146" s="164" t="s">
        <v>1760</v>
      </c>
    </row>
    <row r="1147" spans="1:15" ht="43.2">
      <c r="A1147" s="161" t="s">
        <v>3458</v>
      </c>
      <c r="B1147" s="161" t="s">
        <v>1752</v>
      </c>
      <c r="C1147" s="161" t="s">
        <v>1744</v>
      </c>
      <c r="D1147" s="162">
        <v>44184</v>
      </c>
      <c r="E1147" s="161" t="s">
        <v>3459</v>
      </c>
      <c r="F1147" s="161" t="s">
        <v>1769</v>
      </c>
      <c r="G1147" s="161">
        <v>1</v>
      </c>
      <c r="H1147" s="161">
        <v>2</v>
      </c>
      <c r="I1147" s="161">
        <v>9.4</v>
      </c>
      <c r="J1147" s="161">
        <v>75.5</v>
      </c>
      <c r="K1147" s="161"/>
      <c r="L1147" s="163">
        <v>-1.19</v>
      </c>
      <c r="M1147" s="163">
        <v>-2.16</v>
      </c>
      <c r="N1147" s="161">
        <v>-0.26</v>
      </c>
      <c r="O1147" s="164" t="s">
        <v>1760</v>
      </c>
    </row>
    <row r="1148" spans="1:15" ht="43.2">
      <c r="A1148" s="161" t="s">
        <v>3460</v>
      </c>
      <c r="B1148" s="161" t="s">
        <v>1752</v>
      </c>
      <c r="C1148" s="161" t="s">
        <v>1749</v>
      </c>
      <c r="D1148" s="162">
        <v>43945</v>
      </c>
      <c r="E1148" s="161" t="s">
        <v>2867</v>
      </c>
      <c r="F1148" s="161" t="s">
        <v>1769</v>
      </c>
      <c r="G1148" s="161">
        <v>2</v>
      </c>
      <c r="H1148" s="161">
        <v>5</v>
      </c>
      <c r="I1148" s="161">
        <v>11</v>
      </c>
      <c r="J1148" s="161">
        <v>81</v>
      </c>
      <c r="K1148" s="161"/>
      <c r="L1148" s="163">
        <v>-0.98</v>
      </c>
      <c r="M1148" s="163">
        <v>-2.42</v>
      </c>
      <c r="N1148" s="161">
        <v>0.4</v>
      </c>
      <c r="O1148" s="164" t="s">
        <v>1760</v>
      </c>
    </row>
    <row r="1149" spans="1:15" ht="43.2">
      <c r="A1149" s="161" t="s">
        <v>3461</v>
      </c>
      <c r="B1149" s="161" t="s">
        <v>1752</v>
      </c>
      <c r="C1149" s="161" t="s">
        <v>2055</v>
      </c>
      <c r="D1149" s="162">
        <v>44691</v>
      </c>
      <c r="E1149" s="161" t="s">
        <v>1924</v>
      </c>
      <c r="F1149" s="161" t="s">
        <v>1769</v>
      </c>
      <c r="G1149" s="161">
        <v>4</v>
      </c>
      <c r="H1149" s="161">
        <v>8</v>
      </c>
      <c r="I1149" s="161">
        <v>3.2</v>
      </c>
      <c r="J1149" s="161">
        <v>46</v>
      </c>
      <c r="K1149" s="161"/>
      <c r="L1149" s="163">
        <v>-0.3</v>
      </c>
      <c r="M1149" s="163">
        <v>-2.0499999999999998</v>
      </c>
      <c r="N1149" s="161">
        <v>2.16</v>
      </c>
      <c r="O1149" s="164" t="s">
        <v>2078</v>
      </c>
    </row>
    <row r="1150" spans="1:15" ht="43.2">
      <c r="A1150" s="161" t="s">
        <v>3462</v>
      </c>
      <c r="B1150" s="161" t="s">
        <v>1743</v>
      </c>
      <c r="C1150" s="161" t="s">
        <v>1779</v>
      </c>
      <c r="D1150" s="162">
        <v>42857</v>
      </c>
      <c r="E1150" s="161" t="s">
        <v>3463</v>
      </c>
      <c r="F1150" s="161" t="s">
        <v>1769</v>
      </c>
      <c r="G1150" s="161">
        <v>2</v>
      </c>
      <c r="H1150" s="161">
        <v>10</v>
      </c>
      <c r="I1150" s="161">
        <v>14.4</v>
      </c>
      <c r="J1150" s="161">
        <v>95.7</v>
      </c>
      <c r="K1150" s="161"/>
      <c r="L1150" s="163">
        <v>-1.68</v>
      </c>
      <c r="M1150" s="163">
        <v>-2.92</v>
      </c>
      <c r="N1150" s="161">
        <v>0.26</v>
      </c>
      <c r="O1150" s="164" t="s">
        <v>1760</v>
      </c>
    </row>
    <row r="1151" spans="1:15" ht="43.2">
      <c r="A1151" s="161" t="s">
        <v>3464</v>
      </c>
      <c r="B1151" s="161" t="s">
        <v>1752</v>
      </c>
      <c r="C1151" s="161" t="s">
        <v>1744</v>
      </c>
      <c r="D1151" s="162">
        <v>43957</v>
      </c>
      <c r="E1151" s="161" t="s">
        <v>2158</v>
      </c>
      <c r="F1151" s="161" t="s">
        <v>1769</v>
      </c>
      <c r="G1151" s="161">
        <v>1</v>
      </c>
      <c r="H1151" s="161">
        <v>2</v>
      </c>
      <c r="I1151" s="161">
        <v>10.199999999999999</v>
      </c>
      <c r="J1151" s="161">
        <v>80</v>
      </c>
      <c r="K1151" s="161"/>
      <c r="L1151" s="163">
        <v>-1.57</v>
      </c>
      <c r="M1151" s="163">
        <v>-2.62</v>
      </c>
      <c r="N1151" s="161">
        <v>-0.28999999999999998</v>
      </c>
      <c r="O1151" s="164" t="s">
        <v>1760</v>
      </c>
    </row>
    <row r="1152" spans="1:15" ht="43.2">
      <c r="A1152" s="161" t="s">
        <v>3465</v>
      </c>
      <c r="B1152" s="161" t="s">
        <v>1752</v>
      </c>
      <c r="C1152" s="161" t="s">
        <v>2055</v>
      </c>
      <c r="D1152" s="162">
        <v>44696</v>
      </c>
      <c r="E1152" s="161" t="s">
        <v>2099</v>
      </c>
      <c r="F1152" s="161" t="s">
        <v>1769</v>
      </c>
      <c r="G1152" s="161">
        <v>9</v>
      </c>
      <c r="H1152" s="161">
        <v>5</v>
      </c>
      <c r="I1152" s="161">
        <v>2.8</v>
      </c>
      <c r="J1152" s="161">
        <v>47</v>
      </c>
      <c r="K1152" s="161"/>
      <c r="L1152" s="163">
        <v>-2.08</v>
      </c>
      <c r="M1152" s="163">
        <v>-2.5099999999999998</v>
      </c>
      <c r="N1152" s="161">
        <v>-0.37</v>
      </c>
      <c r="O1152" s="164" t="s">
        <v>1760</v>
      </c>
    </row>
    <row r="1153" spans="1:15" ht="43.2">
      <c r="A1153" s="161" t="s">
        <v>3466</v>
      </c>
      <c r="B1153" s="161" t="s">
        <v>1752</v>
      </c>
      <c r="C1153" s="161" t="s">
        <v>2055</v>
      </c>
      <c r="D1153" s="162">
        <v>44705</v>
      </c>
      <c r="E1153" s="161" t="s">
        <v>2219</v>
      </c>
      <c r="F1153" s="161" t="s">
        <v>1769</v>
      </c>
      <c r="G1153" s="161">
        <v>1</v>
      </c>
      <c r="H1153" s="161">
        <v>11</v>
      </c>
      <c r="I1153" s="161">
        <v>2.9</v>
      </c>
      <c r="J1153" s="161">
        <v>49</v>
      </c>
      <c r="K1153" s="161"/>
      <c r="L1153" s="163">
        <v>-2.58</v>
      </c>
      <c r="M1153" s="163">
        <v>-2.13</v>
      </c>
      <c r="N1153" s="161">
        <v>-1.37</v>
      </c>
      <c r="O1153" s="164" t="s">
        <v>1760</v>
      </c>
    </row>
    <row r="1154" spans="1:15" ht="43.2">
      <c r="A1154" s="161" t="s">
        <v>3467</v>
      </c>
      <c r="B1154" s="161" t="s">
        <v>1743</v>
      </c>
      <c r="C1154" s="161" t="s">
        <v>1749</v>
      </c>
      <c r="D1154" s="162">
        <v>43700</v>
      </c>
      <c r="E1154" s="161" t="s">
        <v>2499</v>
      </c>
      <c r="F1154" s="161" t="s">
        <v>1769</v>
      </c>
      <c r="G1154" s="161">
        <v>6</v>
      </c>
      <c r="H1154" s="161">
        <v>5</v>
      </c>
      <c r="I1154" s="161">
        <v>11.2</v>
      </c>
      <c r="J1154" s="161">
        <v>87.2</v>
      </c>
      <c r="K1154" s="161"/>
      <c r="L1154" s="163">
        <v>-2.5</v>
      </c>
      <c r="M1154" s="163">
        <v>-3.24</v>
      </c>
      <c r="N1154" s="161">
        <v>-0.73</v>
      </c>
      <c r="O1154" s="164" t="s">
        <v>1760</v>
      </c>
    </row>
    <row r="1155" spans="1:15" ht="72">
      <c r="A1155" s="161" t="s">
        <v>3468</v>
      </c>
      <c r="B1155" s="161" t="s">
        <v>1743</v>
      </c>
      <c r="C1155" s="161" t="s">
        <v>1786</v>
      </c>
      <c r="D1155" s="162">
        <v>43293</v>
      </c>
      <c r="E1155" s="161" t="s">
        <v>2656</v>
      </c>
      <c r="F1155" s="161" t="s">
        <v>1769</v>
      </c>
      <c r="G1155" s="161">
        <v>4</v>
      </c>
      <c r="H1155" s="161">
        <v>1</v>
      </c>
      <c r="I1155" s="161">
        <v>11.8</v>
      </c>
      <c r="J1155" s="161">
        <v>91.3</v>
      </c>
      <c r="K1155" s="161">
        <v>14.2</v>
      </c>
      <c r="L1155" s="163">
        <v>-3.06</v>
      </c>
      <c r="M1155" s="163">
        <v>-3.68</v>
      </c>
      <c r="N1155" s="161">
        <v>-1.08</v>
      </c>
      <c r="O1155" s="164" t="s">
        <v>1760</v>
      </c>
    </row>
    <row r="1156" spans="1:15" ht="57.6">
      <c r="A1156" s="161" t="s">
        <v>3469</v>
      </c>
      <c r="B1156" s="161" t="s">
        <v>1743</v>
      </c>
      <c r="C1156" s="161" t="s">
        <v>1744</v>
      </c>
      <c r="D1156" s="162">
        <v>43956</v>
      </c>
      <c r="E1156" s="161" t="s">
        <v>2636</v>
      </c>
      <c r="F1156" s="161" t="s">
        <v>1769</v>
      </c>
      <c r="G1156" s="161">
        <v>8</v>
      </c>
      <c r="H1156" s="161">
        <v>1</v>
      </c>
      <c r="I1156" s="161">
        <v>10.199999999999999</v>
      </c>
      <c r="J1156" s="161">
        <v>85.5</v>
      </c>
      <c r="K1156" s="161">
        <v>14</v>
      </c>
      <c r="L1156" s="163">
        <v>-2.5099999999999998</v>
      </c>
      <c r="M1156" s="163">
        <v>-2.72</v>
      </c>
      <c r="N1156" s="161">
        <v>-1.22</v>
      </c>
      <c r="O1156" s="164" t="s">
        <v>1760</v>
      </c>
    </row>
    <row r="1157" spans="1:15" ht="43.2">
      <c r="A1157" s="161" t="s">
        <v>3470</v>
      </c>
      <c r="B1157" s="161" t="s">
        <v>1752</v>
      </c>
      <c r="C1157" s="161" t="s">
        <v>1749</v>
      </c>
      <c r="D1157" s="162">
        <v>43647</v>
      </c>
      <c r="E1157" s="161" t="s">
        <v>2495</v>
      </c>
      <c r="F1157" s="161" t="s">
        <v>1769</v>
      </c>
      <c r="G1157" s="161">
        <v>6</v>
      </c>
      <c r="H1157" s="161">
        <v>5</v>
      </c>
      <c r="I1157" s="161">
        <v>12.4</v>
      </c>
      <c r="J1157" s="161">
        <v>94</v>
      </c>
      <c r="K1157" s="161">
        <v>14</v>
      </c>
      <c r="L1157" s="163">
        <v>-2.06</v>
      </c>
      <c r="M1157" s="163">
        <v>-2.0099999999999998</v>
      </c>
      <c r="N1157" s="161">
        <v>-1.38</v>
      </c>
      <c r="O1157" s="164" t="s">
        <v>1760</v>
      </c>
    </row>
    <row r="1158" spans="1:15" ht="43.2">
      <c r="A1158" s="161" t="s">
        <v>3471</v>
      </c>
      <c r="B1158" s="161" t="s">
        <v>1752</v>
      </c>
      <c r="C1158" s="161" t="s">
        <v>1749</v>
      </c>
      <c r="D1158" s="162">
        <v>43717</v>
      </c>
      <c r="E1158" s="161" t="s">
        <v>3472</v>
      </c>
      <c r="F1158" s="161" t="s">
        <v>1769</v>
      </c>
      <c r="G1158" s="161">
        <v>1</v>
      </c>
      <c r="H1158" s="161">
        <v>7</v>
      </c>
      <c r="I1158" s="161">
        <v>10.199999999999999</v>
      </c>
      <c r="J1158" s="161">
        <v>85</v>
      </c>
      <c r="K1158" s="161"/>
      <c r="L1158" s="163">
        <v>-3.46</v>
      </c>
      <c r="M1158" s="163">
        <v>-3.97</v>
      </c>
      <c r="N1158" s="161">
        <v>-1.69</v>
      </c>
      <c r="O1158" s="164" t="s">
        <v>1760</v>
      </c>
    </row>
    <row r="1159" spans="1:15" ht="43.2">
      <c r="A1159" s="161" t="s">
        <v>3473</v>
      </c>
      <c r="B1159" s="161" t="s">
        <v>1743</v>
      </c>
      <c r="C1159" s="161" t="s">
        <v>1744</v>
      </c>
      <c r="D1159" s="162">
        <v>44312</v>
      </c>
      <c r="E1159" s="161" t="s">
        <v>3143</v>
      </c>
      <c r="F1159" s="161" t="s">
        <v>1774</v>
      </c>
      <c r="G1159" s="161">
        <v>2</v>
      </c>
      <c r="H1159" s="161">
        <v>5</v>
      </c>
      <c r="I1159" s="161">
        <v>7.8</v>
      </c>
      <c r="J1159" s="161">
        <v>79.5</v>
      </c>
      <c r="K1159" s="161"/>
      <c r="L1159" s="163">
        <v>-3.34</v>
      </c>
      <c r="M1159" s="163">
        <v>-2.25</v>
      </c>
      <c r="N1159" s="161">
        <v>-2.9</v>
      </c>
      <c r="O1159" s="164" t="s">
        <v>1747</v>
      </c>
    </row>
    <row r="1160" spans="1:15" ht="43.2">
      <c r="A1160" s="161" t="s">
        <v>3474</v>
      </c>
      <c r="B1160" s="161" t="s">
        <v>1752</v>
      </c>
      <c r="C1160" s="161" t="s">
        <v>1744</v>
      </c>
      <c r="D1160" s="162">
        <v>44112</v>
      </c>
      <c r="E1160" s="161" t="s">
        <v>3040</v>
      </c>
      <c r="F1160" s="161" t="s">
        <v>1774</v>
      </c>
      <c r="G1160" s="161">
        <v>1</v>
      </c>
      <c r="H1160" s="161">
        <v>8</v>
      </c>
      <c r="I1160" s="161">
        <v>9.6</v>
      </c>
      <c r="J1160" s="161">
        <v>83</v>
      </c>
      <c r="K1160" s="161"/>
      <c r="L1160" s="163">
        <v>-2.89</v>
      </c>
      <c r="M1160" s="163">
        <v>-2.8</v>
      </c>
      <c r="N1160" s="161">
        <v>-1.92</v>
      </c>
      <c r="O1160" s="164" t="s">
        <v>1760</v>
      </c>
    </row>
    <row r="1161" spans="1:15" ht="43.2">
      <c r="A1161" s="161" t="s">
        <v>3475</v>
      </c>
      <c r="B1161" s="161" t="s">
        <v>1752</v>
      </c>
      <c r="C1161" s="161" t="s">
        <v>1786</v>
      </c>
      <c r="D1161" s="162">
        <v>43334</v>
      </c>
      <c r="E1161" s="161" t="s">
        <v>2509</v>
      </c>
      <c r="F1161" s="161" t="s">
        <v>1777</v>
      </c>
      <c r="G1161" s="161">
        <v>2</v>
      </c>
      <c r="H1161" s="161">
        <v>10</v>
      </c>
      <c r="I1161" s="161">
        <v>12.5</v>
      </c>
      <c r="J1161" s="161">
        <v>94</v>
      </c>
      <c r="K1161" s="161"/>
      <c r="L1161" s="163">
        <v>-2.71</v>
      </c>
      <c r="M1161" s="163">
        <v>-3.12</v>
      </c>
      <c r="N1161" s="161">
        <v>-1.27</v>
      </c>
      <c r="O1161" s="164" t="s">
        <v>1760</v>
      </c>
    </row>
    <row r="1162" spans="1:15" ht="43.2">
      <c r="A1162" s="161" t="s">
        <v>3476</v>
      </c>
      <c r="B1162" s="161" t="s">
        <v>1743</v>
      </c>
      <c r="C1162" s="161" t="s">
        <v>1786</v>
      </c>
      <c r="D1162" s="162">
        <v>43252</v>
      </c>
      <c r="E1162" s="161" t="s">
        <v>3157</v>
      </c>
      <c r="F1162" s="161" t="s">
        <v>1777</v>
      </c>
      <c r="G1162" s="161">
        <v>1</v>
      </c>
      <c r="H1162" s="161">
        <v>13</v>
      </c>
      <c r="I1162" s="161">
        <v>12.6</v>
      </c>
      <c r="J1162" s="161">
        <v>95.9</v>
      </c>
      <c r="K1162" s="161">
        <v>15.1</v>
      </c>
      <c r="L1162" s="163">
        <v>-2.64</v>
      </c>
      <c r="M1162" s="163">
        <v>-2.82</v>
      </c>
      <c r="N1162" s="161">
        <v>-1.3</v>
      </c>
      <c r="O1162" s="164" t="s">
        <v>1760</v>
      </c>
    </row>
    <row r="1163" spans="1:15" ht="43.2">
      <c r="A1163" s="161" t="s">
        <v>3477</v>
      </c>
      <c r="B1163" s="161" t="s">
        <v>1743</v>
      </c>
      <c r="C1163" s="161" t="s">
        <v>1744</v>
      </c>
      <c r="D1163" s="162">
        <v>44104</v>
      </c>
      <c r="E1163" s="161" t="s">
        <v>3478</v>
      </c>
      <c r="F1163" s="161" t="s">
        <v>1777</v>
      </c>
      <c r="G1163" s="161">
        <v>2</v>
      </c>
      <c r="H1163" s="161">
        <v>9</v>
      </c>
      <c r="I1163" s="161">
        <v>8.6</v>
      </c>
      <c r="J1163" s="161">
        <v>77</v>
      </c>
      <c r="K1163" s="161">
        <v>12.5</v>
      </c>
      <c r="L1163" s="163">
        <v>-3.46</v>
      </c>
      <c r="M1163" s="163">
        <v>-4.16</v>
      </c>
      <c r="N1163" s="161">
        <v>-1.31</v>
      </c>
      <c r="O1163" s="164" t="s">
        <v>1760</v>
      </c>
    </row>
    <row r="1164" spans="1:15" ht="43.2">
      <c r="A1164" s="161" t="s">
        <v>3479</v>
      </c>
      <c r="B1164" s="161" t="s">
        <v>1752</v>
      </c>
      <c r="C1164" s="161" t="s">
        <v>1749</v>
      </c>
      <c r="D1164" s="162">
        <v>43790</v>
      </c>
      <c r="E1164" s="161" t="s">
        <v>2898</v>
      </c>
      <c r="F1164" s="161" t="s">
        <v>1777</v>
      </c>
      <c r="G1164" s="161">
        <v>5</v>
      </c>
      <c r="H1164" s="161">
        <v>1</v>
      </c>
      <c r="I1164" s="161">
        <v>9.1999999999999993</v>
      </c>
      <c r="J1164" s="161">
        <v>88.3</v>
      </c>
      <c r="K1164" s="161">
        <v>13</v>
      </c>
      <c r="L1164" s="163">
        <v>-4.03</v>
      </c>
      <c r="M1164" s="163">
        <v>-2.87</v>
      </c>
      <c r="N1164" s="161">
        <v>-3.9</v>
      </c>
      <c r="O1164" s="164" t="s">
        <v>1790</v>
      </c>
    </row>
    <row r="1165" spans="1:15" ht="57.6">
      <c r="A1165" s="161" t="s">
        <v>3480</v>
      </c>
      <c r="B1165" s="161" t="s">
        <v>1752</v>
      </c>
      <c r="C1165" s="161" t="s">
        <v>1744</v>
      </c>
      <c r="D1165" s="162">
        <v>44169</v>
      </c>
      <c r="E1165" s="161" t="s">
        <v>3153</v>
      </c>
      <c r="F1165" s="161" t="s">
        <v>1777</v>
      </c>
      <c r="G1165" s="161">
        <v>4</v>
      </c>
      <c r="H1165" s="161">
        <v>2</v>
      </c>
      <c r="I1165" s="161">
        <v>8.3000000000000007</v>
      </c>
      <c r="J1165" s="161">
        <v>80.400000000000006</v>
      </c>
      <c r="K1165" s="161">
        <v>13.3</v>
      </c>
      <c r="L1165" s="163">
        <v>-3.89</v>
      </c>
      <c r="M1165" s="163">
        <v>-3.33</v>
      </c>
      <c r="N1165" s="161">
        <v>-3.14</v>
      </c>
      <c r="O1165" s="164" t="s">
        <v>1790</v>
      </c>
    </row>
    <row r="1166" spans="1:15" ht="43.2">
      <c r="A1166" s="161" t="s">
        <v>3481</v>
      </c>
      <c r="B1166" s="161" t="s">
        <v>1752</v>
      </c>
      <c r="C1166" s="161" t="s">
        <v>1749</v>
      </c>
      <c r="D1166" s="162">
        <v>43892</v>
      </c>
      <c r="E1166" s="161" t="s">
        <v>2019</v>
      </c>
      <c r="F1166" s="161" t="s">
        <v>1777</v>
      </c>
      <c r="G1166" s="161">
        <v>1</v>
      </c>
      <c r="H1166" s="161">
        <v>15</v>
      </c>
      <c r="I1166" s="161">
        <v>12</v>
      </c>
      <c r="J1166" s="161">
        <v>88</v>
      </c>
      <c r="K1166" s="161">
        <v>16</v>
      </c>
      <c r="L1166" s="163">
        <v>-1.69</v>
      </c>
      <c r="M1166" s="163">
        <v>-2.5099999999999998</v>
      </c>
      <c r="N1166" s="161">
        <v>-0.42</v>
      </c>
      <c r="O1166" s="164" t="s">
        <v>1760</v>
      </c>
    </row>
    <row r="1167" spans="1:15" ht="43.2">
      <c r="A1167" s="161" t="s">
        <v>3482</v>
      </c>
      <c r="B1167" s="161" t="s">
        <v>1743</v>
      </c>
      <c r="C1167" s="161" t="s">
        <v>1755</v>
      </c>
      <c r="D1167" s="162">
        <v>44624</v>
      </c>
      <c r="E1167" s="161" t="s">
        <v>3375</v>
      </c>
      <c r="F1167" s="161" t="s">
        <v>1777</v>
      </c>
      <c r="G1167" s="161">
        <v>3</v>
      </c>
      <c r="H1167" s="161">
        <v>9</v>
      </c>
      <c r="I1167" s="161">
        <v>6</v>
      </c>
      <c r="J1167" s="161">
        <v>65.5</v>
      </c>
      <c r="K1167" s="161">
        <v>12</v>
      </c>
      <c r="L1167" s="163">
        <v>-3.78</v>
      </c>
      <c r="M1167" s="163">
        <v>-4.1399999999999997</v>
      </c>
      <c r="N1167" s="161">
        <v>-2.06</v>
      </c>
      <c r="O1167" s="164" t="s">
        <v>1747</v>
      </c>
    </row>
    <row r="1168" spans="1:15" ht="43.2">
      <c r="A1168" s="161" t="s">
        <v>3483</v>
      </c>
      <c r="B1168" s="161" t="s">
        <v>1752</v>
      </c>
      <c r="C1168" s="161" t="s">
        <v>2609</v>
      </c>
      <c r="D1168" s="162">
        <v>45077</v>
      </c>
      <c r="E1168" s="161" t="s">
        <v>1891</v>
      </c>
      <c r="F1168" s="161" t="s">
        <v>1777</v>
      </c>
      <c r="G1168" s="161">
        <v>1</v>
      </c>
      <c r="H1168" s="161">
        <v>13</v>
      </c>
      <c r="I1168" s="161">
        <v>4</v>
      </c>
      <c r="J1168" s="161">
        <v>50</v>
      </c>
      <c r="K1168" s="161"/>
      <c r="L1168" s="163">
        <v>-0.86</v>
      </c>
      <c r="M1168" s="163">
        <v>-2.11</v>
      </c>
      <c r="N1168" s="161">
        <v>1.56</v>
      </c>
      <c r="O1168" s="164" t="s">
        <v>1757</v>
      </c>
    </row>
    <row r="1169" spans="1:15" ht="43.2">
      <c r="A1169" s="161" t="s">
        <v>3484</v>
      </c>
      <c r="B1169" s="161" t="s">
        <v>1752</v>
      </c>
      <c r="C1169" s="161" t="s">
        <v>1755</v>
      </c>
      <c r="D1169" s="162">
        <v>44651</v>
      </c>
      <c r="E1169" s="161" t="s">
        <v>3379</v>
      </c>
      <c r="F1169" s="161" t="s">
        <v>1777</v>
      </c>
      <c r="G1169" s="161">
        <v>3</v>
      </c>
      <c r="H1169" s="161">
        <v>15</v>
      </c>
      <c r="I1169" s="161">
        <v>6.64</v>
      </c>
      <c r="J1169" s="161">
        <v>66.5</v>
      </c>
      <c r="K1169" s="161"/>
      <c r="L1169" s="163">
        <v>-3.55</v>
      </c>
      <c r="M1169" s="163">
        <v>-4.32</v>
      </c>
      <c r="N1169" s="161">
        <v>-1.72</v>
      </c>
      <c r="O1169" s="164" t="s">
        <v>1760</v>
      </c>
    </row>
    <row r="1170" spans="1:15" ht="43.2">
      <c r="A1170" s="161" t="s">
        <v>3485</v>
      </c>
      <c r="B1170" s="161" t="s">
        <v>1752</v>
      </c>
      <c r="C1170" s="161" t="s">
        <v>1744</v>
      </c>
      <c r="D1170" s="162">
        <v>44004</v>
      </c>
      <c r="E1170" s="161" t="s">
        <v>3367</v>
      </c>
      <c r="F1170" s="161" t="s">
        <v>1777</v>
      </c>
      <c r="G1170" s="161">
        <v>2</v>
      </c>
      <c r="H1170" s="161">
        <v>8</v>
      </c>
      <c r="I1170" s="161">
        <v>10.3</v>
      </c>
      <c r="J1170" s="161">
        <v>86.9</v>
      </c>
      <c r="K1170" s="161"/>
      <c r="L1170" s="163">
        <v>-2.63</v>
      </c>
      <c r="M1170" s="163">
        <v>-2.44</v>
      </c>
      <c r="N1170" s="161">
        <v>-1.9</v>
      </c>
      <c r="O1170" s="164" t="s">
        <v>1760</v>
      </c>
    </row>
    <row r="1171" spans="1:15" ht="100.8">
      <c r="A1171" s="161" t="s">
        <v>3486</v>
      </c>
      <c r="B1171" s="161" t="s">
        <v>1752</v>
      </c>
      <c r="C1171" s="161" t="s">
        <v>1744</v>
      </c>
      <c r="D1171" s="162">
        <v>44051</v>
      </c>
      <c r="E1171" s="161" t="s">
        <v>3487</v>
      </c>
      <c r="F1171" s="161" t="s">
        <v>1777</v>
      </c>
      <c r="G1171" s="161">
        <v>3</v>
      </c>
      <c r="H1171" s="161">
        <v>8</v>
      </c>
      <c r="I1171" s="161">
        <v>10.8</v>
      </c>
      <c r="J1171" s="161">
        <v>85</v>
      </c>
      <c r="K1171" s="161">
        <v>13.8</v>
      </c>
      <c r="L1171" s="163">
        <v>-2.13</v>
      </c>
      <c r="M1171" s="163">
        <v>-2.63</v>
      </c>
      <c r="N1171" s="161">
        <v>-0.96</v>
      </c>
      <c r="O1171" s="164" t="s">
        <v>1760</v>
      </c>
    </row>
    <row r="1172" spans="1:15" ht="57.6">
      <c r="A1172" s="161" t="s">
        <v>3488</v>
      </c>
      <c r="B1172" s="161" t="s">
        <v>1752</v>
      </c>
      <c r="C1172" s="161" t="s">
        <v>1744</v>
      </c>
      <c r="D1172" s="162">
        <v>44217</v>
      </c>
      <c r="E1172" s="161" t="s">
        <v>2569</v>
      </c>
      <c r="F1172" s="161" t="s">
        <v>2190</v>
      </c>
      <c r="G1172" s="161">
        <v>3</v>
      </c>
      <c r="H1172" s="161">
        <v>1</v>
      </c>
      <c r="I1172" s="161">
        <v>13.9</v>
      </c>
      <c r="J1172" s="161">
        <v>82.5</v>
      </c>
      <c r="K1172" s="161"/>
      <c r="L1172" s="163">
        <v>0.68</v>
      </c>
      <c r="M1172" s="163">
        <v>-2.2999999999999998</v>
      </c>
      <c r="N1172" s="161">
        <v>2.64</v>
      </c>
      <c r="O1172" s="164" t="s">
        <v>2078</v>
      </c>
    </row>
    <row r="1173" spans="1:15" ht="43.2">
      <c r="A1173" s="161" t="s">
        <v>3489</v>
      </c>
      <c r="B1173" s="161" t="s">
        <v>1752</v>
      </c>
      <c r="C1173" s="161" t="s">
        <v>1755</v>
      </c>
      <c r="D1173" s="162">
        <v>44614</v>
      </c>
      <c r="E1173" s="161" t="s">
        <v>3069</v>
      </c>
      <c r="F1173" s="161" t="s">
        <v>2190</v>
      </c>
      <c r="G1173" s="161">
        <v>7</v>
      </c>
      <c r="H1173" s="161">
        <v>2</v>
      </c>
      <c r="I1173" s="161">
        <v>8</v>
      </c>
      <c r="J1173" s="161">
        <v>73</v>
      </c>
      <c r="K1173" s="161"/>
      <c r="L1173" s="163">
        <v>-2.1800000000000002</v>
      </c>
      <c r="M1173" s="163">
        <v>-2.19</v>
      </c>
      <c r="N1173" s="161">
        <v>-1.58</v>
      </c>
      <c r="O1173" s="164" t="s">
        <v>1760</v>
      </c>
    </row>
    <row r="1174" spans="1:15" ht="43.2">
      <c r="A1174" s="161" t="s">
        <v>3490</v>
      </c>
      <c r="B1174" s="161" t="s">
        <v>1743</v>
      </c>
      <c r="C1174" s="161" t="s">
        <v>1755</v>
      </c>
      <c r="D1174" s="162">
        <v>44433</v>
      </c>
      <c r="E1174" s="161" t="s">
        <v>3166</v>
      </c>
      <c r="F1174" s="161" t="s">
        <v>2190</v>
      </c>
      <c r="G1174" s="161">
        <v>3</v>
      </c>
      <c r="H1174" s="161">
        <v>2</v>
      </c>
      <c r="I1174" s="161">
        <v>8.9</v>
      </c>
      <c r="J1174" s="161">
        <v>73.5</v>
      </c>
      <c r="K1174" s="161"/>
      <c r="L1174" s="163">
        <v>-1.55</v>
      </c>
      <c r="M1174" s="163">
        <v>-3.14</v>
      </c>
      <c r="N1174" s="161">
        <v>0.05</v>
      </c>
      <c r="O1174" s="164" t="s">
        <v>1760</v>
      </c>
    </row>
    <row r="1175" spans="1:15" ht="43.2">
      <c r="A1175" s="161" t="s">
        <v>3491</v>
      </c>
      <c r="B1175" s="161" t="s">
        <v>1743</v>
      </c>
      <c r="C1175" s="161" t="s">
        <v>1744</v>
      </c>
      <c r="D1175" s="162">
        <v>44277</v>
      </c>
      <c r="E1175" s="161" t="s">
        <v>2287</v>
      </c>
      <c r="F1175" s="161" t="s">
        <v>2190</v>
      </c>
      <c r="G1175" s="161">
        <v>5</v>
      </c>
      <c r="H1175" s="161">
        <v>2</v>
      </c>
      <c r="I1175" s="161">
        <v>8.3000000000000007</v>
      </c>
      <c r="J1175" s="161">
        <v>78</v>
      </c>
      <c r="K1175" s="161">
        <v>13.2</v>
      </c>
      <c r="L1175" s="163">
        <v>-2.97</v>
      </c>
      <c r="M1175" s="163">
        <v>-2.72</v>
      </c>
      <c r="N1175" s="161">
        <v>-1.96</v>
      </c>
      <c r="O1175" s="164" t="s">
        <v>1760</v>
      </c>
    </row>
    <row r="1176" spans="1:15" ht="43.2">
      <c r="A1176" s="161" t="s">
        <v>3492</v>
      </c>
      <c r="B1176" s="161" t="s">
        <v>1743</v>
      </c>
      <c r="C1176" s="161" t="s">
        <v>1744</v>
      </c>
      <c r="D1176" s="162">
        <v>44265</v>
      </c>
      <c r="E1176" s="161" t="s">
        <v>3164</v>
      </c>
      <c r="F1176" s="161" t="s">
        <v>2190</v>
      </c>
      <c r="G1176" s="161">
        <v>4</v>
      </c>
      <c r="H1176" s="161">
        <v>6</v>
      </c>
      <c r="I1176" s="161">
        <v>8.75</v>
      </c>
      <c r="J1176" s="161">
        <v>80.599999999999994</v>
      </c>
      <c r="K1176" s="161"/>
      <c r="L1176" s="163">
        <v>-2.56</v>
      </c>
      <c r="M1176" s="163">
        <v>-2.02</v>
      </c>
      <c r="N1176" s="161">
        <v>-1.96</v>
      </c>
      <c r="O1176" s="164" t="s">
        <v>1760</v>
      </c>
    </row>
    <row r="1177" spans="1:15" ht="43.2">
      <c r="A1177" s="161" t="s">
        <v>3493</v>
      </c>
      <c r="B1177" s="161" t="s">
        <v>1752</v>
      </c>
      <c r="C1177" s="161" t="s">
        <v>1786</v>
      </c>
      <c r="D1177" s="162">
        <v>43231</v>
      </c>
      <c r="E1177" s="161" t="s">
        <v>3074</v>
      </c>
      <c r="F1177" s="161" t="s">
        <v>2190</v>
      </c>
      <c r="G1177" s="161">
        <v>1</v>
      </c>
      <c r="H1177" s="161">
        <v>6</v>
      </c>
      <c r="I1177" s="161">
        <v>13.4</v>
      </c>
      <c r="J1177" s="161">
        <v>98.2</v>
      </c>
      <c r="K1177" s="161"/>
      <c r="L1177" s="163">
        <v>-2.37</v>
      </c>
      <c r="M1177" s="163">
        <v>-2.5299999999999998</v>
      </c>
      <c r="N1177" s="161">
        <v>-1.3</v>
      </c>
      <c r="O1177" s="164" t="s">
        <v>1760</v>
      </c>
    </row>
    <row r="1178" spans="1:15" ht="43.2">
      <c r="A1178" s="161" t="s">
        <v>3494</v>
      </c>
      <c r="B1178" s="161" t="s">
        <v>1743</v>
      </c>
      <c r="C1178" s="161" t="s">
        <v>1786</v>
      </c>
      <c r="D1178" s="162">
        <v>43378</v>
      </c>
      <c r="E1178" s="161" t="s">
        <v>3076</v>
      </c>
      <c r="F1178" s="161" t="s">
        <v>2190</v>
      </c>
      <c r="G1178" s="161">
        <v>8</v>
      </c>
      <c r="H1178" s="161">
        <v>3</v>
      </c>
      <c r="I1178" s="161">
        <v>11</v>
      </c>
      <c r="J1178" s="161">
        <v>95</v>
      </c>
      <c r="K1178" s="161">
        <v>12.9</v>
      </c>
      <c r="L1178" s="163">
        <v>-3.4</v>
      </c>
      <c r="M1178" s="163">
        <v>-2.63</v>
      </c>
      <c r="N1178" s="161">
        <v>-2.72</v>
      </c>
      <c r="O1178" s="164" t="s">
        <v>1747</v>
      </c>
    </row>
    <row r="1179" spans="1:15" ht="43.2">
      <c r="A1179" s="161" t="s">
        <v>3495</v>
      </c>
      <c r="B1179" s="161" t="s">
        <v>1743</v>
      </c>
      <c r="C1179" s="161" t="s">
        <v>1786</v>
      </c>
      <c r="D1179" s="162">
        <v>43466</v>
      </c>
      <c r="E1179" s="161" t="s">
        <v>2816</v>
      </c>
      <c r="F1179" s="161" t="s">
        <v>2190</v>
      </c>
      <c r="G1179" s="161">
        <v>3</v>
      </c>
      <c r="H1179" s="161">
        <v>4</v>
      </c>
      <c r="I1179" s="161">
        <v>11</v>
      </c>
      <c r="J1179" s="161">
        <v>91.7</v>
      </c>
      <c r="K1179" s="161"/>
      <c r="L1179" s="163">
        <v>-3.2</v>
      </c>
      <c r="M1179" s="163">
        <v>-3.01</v>
      </c>
      <c r="N1179" s="161">
        <v>-1.99</v>
      </c>
      <c r="O1179" s="164" t="s">
        <v>1760</v>
      </c>
    </row>
    <row r="1180" spans="1:15" ht="43.2">
      <c r="A1180" s="161" t="s">
        <v>3496</v>
      </c>
      <c r="B1180" s="161" t="s">
        <v>1752</v>
      </c>
      <c r="C1180" s="161" t="s">
        <v>1786</v>
      </c>
      <c r="D1180" s="162">
        <v>43519</v>
      </c>
      <c r="E1180" s="161" t="s">
        <v>3497</v>
      </c>
      <c r="F1180" s="161" t="s">
        <v>2190</v>
      </c>
      <c r="G1180" s="161">
        <v>5</v>
      </c>
      <c r="H1180" s="161">
        <v>1</v>
      </c>
      <c r="I1180" s="161">
        <v>12.7</v>
      </c>
      <c r="J1180" s="161">
        <v>93.2</v>
      </c>
      <c r="K1180" s="161"/>
      <c r="L1180" s="163">
        <v>-2.1800000000000002</v>
      </c>
      <c r="M1180" s="163">
        <v>-2.68</v>
      </c>
      <c r="N1180" s="161">
        <v>-0.89</v>
      </c>
      <c r="O1180" s="164" t="s">
        <v>1760</v>
      </c>
    </row>
    <row r="1181" spans="1:15" ht="43.2">
      <c r="A1181" s="161" t="s">
        <v>3498</v>
      </c>
      <c r="B1181" s="161" t="s">
        <v>1752</v>
      </c>
      <c r="C1181" s="161" t="s">
        <v>1749</v>
      </c>
      <c r="D1181" s="162">
        <v>43586</v>
      </c>
      <c r="E1181" s="161" t="s">
        <v>2577</v>
      </c>
      <c r="F1181" s="161" t="s">
        <v>2190</v>
      </c>
      <c r="G1181" s="161">
        <v>7</v>
      </c>
      <c r="H1181" s="161">
        <v>2</v>
      </c>
      <c r="I1181" s="161">
        <v>16.5</v>
      </c>
      <c r="J1181" s="161">
        <v>94</v>
      </c>
      <c r="K1181" s="161"/>
      <c r="L1181" s="163">
        <v>0.05</v>
      </c>
      <c r="M1181" s="163">
        <v>-2.25</v>
      </c>
      <c r="N1181" s="161">
        <v>2.13</v>
      </c>
      <c r="O1181" s="164" t="s">
        <v>2078</v>
      </c>
    </row>
    <row r="1182" spans="1:15" ht="43.2">
      <c r="A1182" s="161" t="s">
        <v>3499</v>
      </c>
      <c r="B1182" s="161" t="s">
        <v>1752</v>
      </c>
      <c r="C1182" s="161" t="s">
        <v>1749</v>
      </c>
      <c r="D1182" s="162">
        <v>43759</v>
      </c>
      <c r="E1182" s="161" t="s">
        <v>3500</v>
      </c>
      <c r="F1182" s="161" t="s">
        <v>2190</v>
      </c>
      <c r="G1182" s="161">
        <v>3</v>
      </c>
      <c r="H1182" s="161">
        <v>4</v>
      </c>
      <c r="I1182" s="161">
        <v>11.3</v>
      </c>
      <c r="J1182" s="161">
        <v>90</v>
      </c>
      <c r="K1182" s="161">
        <v>15</v>
      </c>
      <c r="L1182" s="163">
        <v>-2.54</v>
      </c>
      <c r="M1182" s="163">
        <v>-2.5499999999999998</v>
      </c>
      <c r="N1182" s="161">
        <v>-1.67</v>
      </c>
      <c r="O1182" s="164" t="s">
        <v>1760</v>
      </c>
    </row>
    <row r="1183" spans="1:15" ht="43.2">
      <c r="A1183" s="161" t="s">
        <v>3501</v>
      </c>
      <c r="B1183" s="161" t="s">
        <v>1752</v>
      </c>
      <c r="C1183" s="161" t="s">
        <v>1744</v>
      </c>
      <c r="D1183" s="162">
        <v>43971</v>
      </c>
      <c r="E1183" s="161" t="s">
        <v>3502</v>
      </c>
      <c r="F1183" s="161" t="s">
        <v>2190</v>
      </c>
      <c r="G1183" s="161">
        <v>3</v>
      </c>
      <c r="H1183" s="161">
        <v>4</v>
      </c>
      <c r="I1183" s="161">
        <v>10.6</v>
      </c>
      <c r="J1183" s="161">
        <v>88</v>
      </c>
      <c r="K1183" s="161"/>
      <c r="L1183" s="163">
        <v>-2.4900000000000002</v>
      </c>
      <c r="M1183" s="163">
        <v>-2.12</v>
      </c>
      <c r="N1183" s="161">
        <v>-2.0099999999999998</v>
      </c>
      <c r="O1183" s="164" t="s">
        <v>1747</v>
      </c>
    </row>
    <row r="1184" spans="1:15" ht="43.2">
      <c r="A1184" s="161" t="s">
        <v>3503</v>
      </c>
      <c r="B1184" s="161" t="s">
        <v>1752</v>
      </c>
      <c r="C1184" s="161" t="s">
        <v>1744</v>
      </c>
      <c r="D1184" s="162">
        <v>43979</v>
      </c>
      <c r="E1184" s="161" t="s">
        <v>3074</v>
      </c>
      <c r="F1184" s="161" t="s">
        <v>2190</v>
      </c>
      <c r="G1184" s="161">
        <v>1</v>
      </c>
      <c r="H1184" s="161">
        <v>6</v>
      </c>
      <c r="I1184" s="161">
        <v>10.6</v>
      </c>
      <c r="J1184" s="161">
        <v>88</v>
      </c>
      <c r="K1184" s="161"/>
      <c r="L1184" s="163">
        <v>-2.46</v>
      </c>
      <c r="M1184" s="163">
        <v>-2.08</v>
      </c>
      <c r="N1184" s="161">
        <v>-2.0099999999999998</v>
      </c>
      <c r="O1184" s="164" t="s">
        <v>1747</v>
      </c>
    </row>
    <row r="1185" spans="1:15" ht="43.2">
      <c r="A1185" s="161" t="s">
        <v>3504</v>
      </c>
      <c r="B1185" s="161" t="s">
        <v>1743</v>
      </c>
      <c r="C1185" s="161" t="s">
        <v>1744</v>
      </c>
      <c r="D1185" s="162">
        <v>44145</v>
      </c>
      <c r="E1185" s="161" t="s">
        <v>3505</v>
      </c>
      <c r="F1185" s="161" t="s">
        <v>2190</v>
      </c>
      <c r="G1185" s="161">
        <v>4</v>
      </c>
      <c r="H1185" s="161">
        <v>1</v>
      </c>
      <c r="I1185" s="161">
        <v>10</v>
      </c>
      <c r="J1185" s="161">
        <v>83.5</v>
      </c>
      <c r="K1185" s="161">
        <v>14</v>
      </c>
      <c r="L1185" s="163">
        <v>-1.96</v>
      </c>
      <c r="M1185" s="163">
        <v>-2.0099999999999998</v>
      </c>
      <c r="N1185" s="161">
        <v>-1.1200000000000001</v>
      </c>
      <c r="O1185" s="164" t="s">
        <v>1760</v>
      </c>
    </row>
    <row r="1186" spans="1:15" ht="43.2">
      <c r="A1186" s="161" t="s">
        <v>3506</v>
      </c>
      <c r="B1186" s="161" t="s">
        <v>1752</v>
      </c>
      <c r="C1186" s="161" t="s">
        <v>1744</v>
      </c>
      <c r="D1186" s="162">
        <v>44154</v>
      </c>
      <c r="E1186" s="161" t="s">
        <v>3309</v>
      </c>
      <c r="F1186" s="161" t="s">
        <v>1781</v>
      </c>
      <c r="G1186" s="161"/>
      <c r="H1186" s="161">
        <v>3</v>
      </c>
      <c r="I1186" s="161">
        <v>9.1</v>
      </c>
      <c r="J1186" s="161">
        <v>82.8</v>
      </c>
      <c r="K1186" s="161">
        <v>12.5</v>
      </c>
      <c r="L1186" s="163">
        <v>-3.24</v>
      </c>
      <c r="M1186" s="163">
        <v>-2.7</v>
      </c>
      <c r="N1186" s="161">
        <v>-2.56</v>
      </c>
      <c r="O1186" s="164" t="s">
        <v>1747</v>
      </c>
    </row>
    <row r="1187" spans="1:15" ht="43.2">
      <c r="A1187" s="161" t="s">
        <v>3507</v>
      </c>
      <c r="B1187" s="161" t="s">
        <v>1752</v>
      </c>
      <c r="C1187" s="161" t="s">
        <v>1755</v>
      </c>
      <c r="D1187" s="162">
        <v>44494</v>
      </c>
      <c r="E1187" s="161" t="s">
        <v>3312</v>
      </c>
      <c r="F1187" s="161" t="s">
        <v>1781</v>
      </c>
      <c r="G1187" s="161"/>
      <c r="H1187" s="161">
        <v>3</v>
      </c>
      <c r="I1187" s="161">
        <v>7.8</v>
      </c>
      <c r="J1187" s="161">
        <v>77</v>
      </c>
      <c r="K1187" s="161">
        <v>13.5</v>
      </c>
      <c r="L1187" s="163">
        <v>-3.11</v>
      </c>
      <c r="M1187" s="163">
        <v>-2.12</v>
      </c>
      <c r="N1187" s="161">
        <v>-2.99</v>
      </c>
      <c r="O1187" s="164" t="s">
        <v>1747</v>
      </c>
    </row>
    <row r="1188" spans="1:15" ht="43.2">
      <c r="A1188" s="161" t="s">
        <v>3508</v>
      </c>
      <c r="B1188" s="161" t="s">
        <v>1752</v>
      </c>
      <c r="C1188" s="161" t="s">
        <v>1744</v>
      </c>
      <c r="D1188" s="162">
        <v>44252</v>
      </c>
      <c r="E1188" s="161" t="s">
        <v>2822</v>
      </c>
      <c r="F1188" s="161" t="s">
        <v>1781</v>
      </c>
      <c r="G1188" s="161">
        <v>2</v>
      </c>
      <c r="H1188" s="161">
        <v>12</v>
      </c>
      <c r="I1188" s="161">
        <v>8</v>
      </c>
      <c r="J1188" s="161">
        <v>79</v>
      </c>
      <c r="K1188" s="161">
        <v>12.3</v>
      </c>
      <c r="L1188" s="163">
        <v>-3.87</v>
      </c>
      <c r="M1188" s="163">
        <v>-3.4</v>
      </c>
      <c r="N1188" s="161">
        <v>-3.13</v>
      </c>
      <c r="O1188" s="164" t="s">
        <v>1790</v>
      </c>
    </row>
    <row r="1189" spans="1:15" ht="43.2">
      <c r="A1189" s="161" t="s">
        <v>3509</v>
      </c>
      <c r="B1189" s="161" t="s">
        <v>1752</v>
      </c>
      <c r="C1189" s="161" t="s">
        <v>1755</v>
      </c>
      <c r="D1189" s="162">
        <v>44567</v>
      </c>
      <c r="E1189" s="161" t="s">
        <v>2824</v>
      </c>
      <c r="F1189" s="161" t="s">
        <v>1781</v>
      </c>
      <c r="G1189" s="161">
        <v>1</v>
      </c>
      <c r="H1189" s="161">
        <v>3</v>
      </c>
      <c r="I1189" s="161">
        <v>7.8</v>
      </c>
      <c r="J1189" s="161">
        <v>71.5</v>
      </c>
      <c r="K1189" s="161">
        <v>15</v>
      </c>
      <c r="L1189" s="163">
        <v>-2.71</v>
      </c>
      <c r="M1189" s="163">
        <v>-3.4</v>
      </c>
      <c r="N1189" s="161">
        <v>-1.44</v>
      </c>
      <c r="O1189" s="164" t="s">
        <v>1760</v>
      </c>
    </row>
    <row r="1190" spans="1:15" ht="57.6">
      <c r="A1190" s="161" t="s">
        <v>3510</v>
      </c>
      <c r="B1190" s="161" t="s">
        <v>1743</v>
      </c>
      <c r="C1190" s="161" t="s">
        <v>1744</v>
      </c>
      <c r="D1190" s="162">
        <v>43951</v>
      </c>
      <c r="E1190" s="161" t="s">
        <v>1780</v>
      </c>
      <c r="F1190" s="161" t="s">
        <v>1781</v>
      </c>
      <c r="G1190" s="161">
        <v>3</v>
      </c>
      <c r="H1190" s="161">
        <v>10</v>
      </c>
      <c r="I1190" s="161">
        <v>10.9</v>
      </c>
      <c r="J1190" s="161">
        <v>83.5</v>
      </c>
      <c r="K1190" s="161">
        <v>15</v>
      </c>
      <c r="L1190" s="163">
        <v>-1.94</v>
      </c>
      <c r="M1190" s="163">
        <v>-3.05</v>
      </c>
      <c r="N1190" s="161">
        <v>-0.13</v>
      </c>
      <c r="O1190" s="164" t="s">
        <v>1760</v>
      </c>
    </row>
    <row r="1191" spans="1:15" ht="43.2">
      <c r="A1191" s="161" t="s">
        <v>3511</v>
      </c>
      <c r="B1191" s="161" t="s">
        <v>1743</v>
      </c>
      <c r="C1191" s="161" t="s">
        <v>1749</v>
      </c>
      <c r="D1191" s="162">
        <v>43593</v>
      </c>
      <c r="E1191" s="161" t="s">
        <v>2596</v>
      </c>
      <c r="F1191" s="161" t="s">
        <v>1781</v>
      </c>
      <c r="G1191" s="161">
        <v>2</v>
      </c>
      <c r="H1191" s="161">
        <v>13</v>
      </c>
      <c r="I1191" s="161">
        <v>12.5</v>
      </c>
      <c r="J1191" s="161">
        <v>92</v>
      </c>
      <c r="K1191" s="161">
        <v>16</v>
      </c>
      <c r="L1191" s="163">
        <v>-1.89</v>
      </c>
      <c r="M1191" s="163">
        <v>-2.5</v>
      </c>
      <c r="N1191" s="161">
        <v>-0.56999999999999995</v>
      </c>
      <c r="O1191" s="164" t="s">
        <v>1760</v>
      </c>
    </row>
    <row r="1192" spans="1:15" ht="43.2">
      <c r="A1192" s="161" t="s">
        <v>3512</v>
      </c>
      <c r="B1192" s="161" t="s">
        <v>1743</v>
      </c>
      <c r="C1192" s="161" t="s">
        <v>1744</v>
      </c>
      <c r="D1192" s="162">
        <v>44272</v>
      </c>
      <c r="E1192" s="161" t="s">
        <v>3306</v>
      </c>
      <c r="F1192" s="161" t="s">
        <v>1781</v>
      </c>
      <c r="G1192" s="161">
        <v>4</v>
      </c>
      <c r="H1192" s="161">
        <v>1</v>
      </c>
      <c r="I1192" s="161">
        <v>8.1999999999999993</v>
      </c>
      <c r="J1192" s="161">
        <v>75.5</v>
      </c>
      <c r="K1192" s="161">
        <v>13</v>
      </c>
      <c r="L1192" s="163">
        <v>-3.12</v>
      </c>
      <c r="M1192" s="163">
        <v>-3.75</v>
      </c>
      <c r="N1192" s="161">
        <v>-1.36</v>
      </c>
      <c r="O1192" s="164" t="s">
        <v>1760</v>
      </c>
    </row>
    <row r="1193" spans="1:15" ht="43.2">
      <c r="A1193" s="161" t="s">
        <v>3513</v>
      </c>
      <c r="B1193" s="161" t="s">
        <v>1752</v>
      </c>
      <c r="C1193" s="161" t="s">
        <v>1786</v>
      </c>
      <c r="D1193" s="162">
        <v>43487</v>
      </c>
      <c r="E1193" s="161" t="s">
        <v>3318</v>
      </c>
      <c r="F1193" s="161" t="s">
        <v>1781</v>
      </c>
      <c r="G1193" s="161">
        <v>0</v>
      </c>
      <c r="H1193" s="161">
        <v>3</v>
      </c>
      <c r="I1193" s="161">
        <v>14.2</v>
      </c>
      <c r="J1193" s="161">
        <v>96</v>
      </c>
      <c r="K1193" s="161">
        <v>15</v>
      </c>
      <c r="L1193" s="163">
        <v>-1.37</v>
      </c>
      <c r="M1193" s="163">
        <v>-2.15</v>
      </c>
      <c r="N1193" s="161">
        <v>-0.09</v>
      </c>
      <c r="O1193" s="164" t="s">
        <v>1760</v>
      </c>
    </row>
    <row r="1194" spans="1:15" ht="43.2">
      <c r="A1194" s="161" t="s">
        <v>3514</v>
      </c>
      <c r="B1194" s="161" t="s">
        <v>1752</v>
      </c>
      <c r="C1194" s="161" t="s">
        <v>1744</v>
      </c>
      <c r="D1194" s="162">
        <v>44119</v>
      </c>
      <c r="E1194" s="161" t="s">
        <v>2591</v>
      </c>
      <c r="F1194" s="161" t="s">
        <v>1781</v>
      </c>
      <c r="G1194" s="161">
        <v>1</v>
      </c>
      <c r="H1194" s="161">
        <v>11</v>
      </c>
      <c r="I1194" s="161">
        <v>9.09</v>
      </c>
      <c r="J1194" s="161">
        <v>79.099999999999994</v>
      </c>
      <c r="K1194" s="161">
        <v>14.6</v>
      </c>
      <c r="L1194" s="163">
        <v>-3.3</v>
      </c>
      <c r="M1194" s="163">
        <v>-3.86</v>
      </c>
      <c r="N1194" s="161">
        <v>-1.67</v>
      </c>
      <c r="O1194" s="164" t="s">
        <v>1760</v>
      </c>
    </row>
    <row r="1195" spans="1:15" ht="43.2">
      <c r="A1195" s="161" t="s">
        <v>3515</v>
      </c>
      <c r="B1195" s="161" t="s">
        <v>1743</v>
      </c>
      <c r="C1195" s="161" t="s">
        <v>1744</v>
      </c>
      <c r="D1195" s="162">
        <v>44130</v>
      </c>
      <c r="E1195" s="161" t="s">
        <v>2119</v>
      </c>
      <c r="F1195" s="161" t="s">
        <v>1781</v>
      </c>
      <c r="G1195" s="161">
        <v>2</v>
      </c>
      <c r="H1195" s="161">
        <v>2</v>
      </c>
      <c r="I1195" s="161">
        <v>9.1999999999999993</v>
      </c>
      <c r="J1195" s="161">
        <v>83.1</v>
      </c>
      <c r="K1195" s="161">
        <v>14</v>
      </c>
      <c r="L1195" s="163">
        <v>-2.73</v>
      </c>
      <c r="M1195" s="163">
        <v>-2.2000000000000002</v>
      </c>
      <c r="N1195" s="161">
        <v>-2</v>
      </c>
      <c r="O1195" s="164" t="s">
        <v>1760</v>
      </c>
    </row>
    <row r="1196" spans="1:15" ht="43.2">
      <c r="A1196" s="161" t="s">
        <v>3516</v>
      </c>
      <c r="B1196" s="161" t="s">
        <v>1752</v>
      </c>
      <c r="C1196" s="161" t="s">
        <v>1749</v>
      </c>
      <c r="D1196" s="162">
        <v>43888</v>
      </c>
      <c r="E1196" s="161" t="s">
        <v>2320</v>
      </c>
      <c r="F1196" s="161" t="s">
        <v>1781</v>
      </c>
      <c r="G1196" s="161">
        <v>3</v>
      </c>
      <c r="H1196" s="161">
        <v>11</v>
      </c>
      <c r="I1196" s="161">
        <v>8.4</v>
      </c>
      <c r="J1196" s="161">
        <v>85.1</v>
      </c>
      <c r="K1196" s="161">
        <v>11.8</v>
      </c>
      <c r="L1196" s="163">
        <v>-4.42</v>
      </c>
      <c r="M1196" s="163">
        <v>-3.26</v>
      </c>
      <c r="N1196" s="161">
        <v>-4.16</v>
      </c>
      <c r="O1196" s="164" t="s">
        <v>1790</v>
      </c>
    </row>
    <row r="1197" spans="1:15" ht="43.2">
      <c r="A1197" s="161" t="s">
        <v>3517</v>
      </c>
      <c r="B1197" s="161" t="s">
        <v>1743</v>
      </c>
      <c r="C1197" s="161" t="s">
        <v>1749</v>
      </c>
      <c r="D1197" s="162">
        <v>43821</v>
      </c>
      <c r="E1197" s="161" t="s">
        <v>2310</v>
      </c>
      <c r="F1197" s="161" t="s">
        <v>1781</v>
      </c>
      <c r="G1197" s="161">
        <v>1</v>
      </c>
      <c r="H1197" s="161">
        <v>11</v>
      </c>
      <c r="I1197" s="161">
        <v>8.4</v>
      </c>
      <c r="J1197" s="161">
        <v>85.1</v>
      </c>
      <c r="K1197" s="161">
        <v>11.8</v>
      </c>
      <c r="L1197" s="163">
        <v>-4.37</v>
      </c>
      <c r="M1197" s="163">
        <v>-3.32</v>
      </c>
      <c r="N1197" s="161">
        <v>-3.6</v>
      </c>
      <c r="O1197" s="164" t="s">
        <v>1790</v>
      </c>
    </row>
    <row r="1198" spans="1:15" ht="43.2">
      <c r="A1198" s="161" t="s">
        <v>3518</v>
      </c>
      <c r="B1198" s="161" t="s">
        <v>1743</v>
      </c>
      <c r="C1198" s="161" t="s">
        <v>1749</v>
      </c>
      <c r="D1198" s="162">
        <v>43646</v>
      </c>
      <c r="E1198" s="161" t="s">
        <v>3404</v>
      </c>
      <c r="F1198" s="161" t="s">
        <v>1781</v>
      </c>
      <c r="G1198" s="161">
        <v>3</v>
      </c>
      <c r="H1198" s="161">
        <v>2</v>
      </c>
      <c r="I1198" s="161">
        <v>12.7</v>
      </c>
      <c r="J1198" s="161">
        <v>91.6</v>
      </c>
      <c r="K1198" s="161">
        <v>15.4</v>
      </c>
      <c r="L1198" s="163">
        <v>-1.62</v>
      </c>
      <c r="M1198" s="163">
        <v>-2.37</v>
      </c>
      <c r="N1198" s="161">
        <v>-0.3</v>
      </c>
      <c r="O1198" s="164" t="s">
        <v>1760</v>
      </c>
    </row>
    <row r="1199" spans="1:15" ht="43.2">
      <c r="A1199" s="161" t="s">
        <v>3519</v>
      </c>
      <c r="B1199" s="161" t="s">
        <v>1752</v>
      </c>
      <c r="C1199" s="161" t="s">
        <v>1749</v>
      </c>
      <c r="D1199" s="162">
        <v>43848</v>
      </c>
      <c r="E1199" s="161" t="s">
        <v>2313</v>
      </c>
      <c r="F1199" s="161" t="s">
        <v>1781</v>
      </c>
      <c r="G1199" s="161">
        <v>2</v>
      </c>
      <c r="H1199" s="161">
        <v>11</v>
      </c>
      <c r="I1199" s="161">
        <v>10</v>
      </c>
      <c r="J1199" s="161">
        <v>86.9</v>
      </c>
      <c r="K1199" s="161">
        <v>14.3</v>
      </c>
      <c r="L1199" s="163">
        <v>-3.3</v>
      </c>
      <c r="M1199" s="163">
        <v>-2.99</v>
      </c>
      <c r="N1199" s="161">
        <v>-2.48</v>
      </c>
      <c r="O1199" s="164" t="s">
        <v>1747</v>
      </c>
    </row>
    <row r="1200" spans="1:15" ht="43.2">
      <c r="A1200" s="161" t="s">
        <v>3520</v>
      </c>
      <c r="B1200" s="161" t="s">
        <v>1743</v>
      </c>
      <c r="C1200" s="161" t="s">
        <v>1786</v>
      </c>
      <c r="D1200" s="162">
        <v>43229</v>
      </c>
      <c r="E1200" s="161" t="s">
        <v>2308</v>
      </c>
      <c r="F1200" s="161" t="s">
        <v>1781</v>
      </c>
      <c r="G1200" s="161">
        <v>4</v>
      </c>
      <c r="H1200" s="161">
        <v>2</v>
      </c>
      <c r="I1200" s="161">
        <v>13.95</v>
      </c>
      <c r="J1200" s="161">
        <v>97.7</v>
      </c>
      <c r="K1200" s="161">
        <v>15.5</v>
      </c>
      <c r="L1200" s="163">
        <v>-1.89</v>
      </c>
      <c r="M1200" s="163">
        <v>-2.4700000000000002</v>
      </c>
      <c r="N1200" s="161">
        <v>-0.5</v>
      </c>
      <c r="O1200" s="164" t="s">
        <v>1760</v>
      </c>
    </row>
    <row r="1201" spans="1:15" ht="43.2">
      <c r="A1201" s="161" t="s">
        <v>3521</v>
      </c>
      <c r="B1201" s="161" t="s">
        <v>1752</v>
      </c>
      <c r="C1201" s="161" t="s">
        <v>1786</v>
      </c>
      <c r="D1201" s="162">
        <v>43333</v>
      </c>
      <c r="E1201" s="161" t="s">
        <v>1907</v>
      </c>
      <c r="F1201" s="161" t="s">
        <v>1784</v>
      </c>
      <c r="G1201" s="161">
        <v>3</v>
      </c>
      <c r="H1201" s="161">
        <v>2</v>
      </c>
      <c r="I1201" s="161">
        <v>12.75</v>
      </c>
      <c r="J1201" s="161">
        <v>96.2</v>
      </c>
      <c r="K1201" s="161">
        <v>15.3</v>
      </c>
      <c r="L1201" s="163">
        <v>-2.56</v>
      </c>
      <c r="M1201" s="163">
        <v>-2.64</v>
      </c>
      <c r="N1201" s="161">
        <v>-1.5</v>
      </c>
      <c r="O1201" s="164" t="s">
        <v>1760</v>
      </c>
    </row>
    <row r="1202" spans="1:15" ht="28.8">
      <c r="A1202" s="161" t="s">
        <v>3522</v>
      </c>
      <c r="B1202" s="161" t="s">
        <v>1743</v>
      </c>
      <c r="C1202" s="161" t="s">
        <v>2055</v>
      </c>
      <c r="D1202" s="162">
        <v>44889</v>
      </c>
      <c r="E1202" s="161" t="s">
        <v>3097</v>
      </c>
      <c r="F1202" s="161" t="s">
        <v>1784</v>
      </c>
      <c r="G1202" s="161">
        <v>5</v>
      </c>
      <c r="H1202" s="161">
        <v>6</v>
      </c>
      <c r="I1202" s="161">
        <v>5.8</v>
      </c>
      <c r="J1202" s="161">
        <v>59</v>
      </c>
      <c r="K1202" s="161">
        <v>14</v>
      </c>
      <c r="L1202" s="163">
        <v>-1.58</v>
      </c>
      <c r="M1202" s="163">
        <v>-2.5099999999999998</v>
      </c>
      <c r="N1202" s="161">
        <v>0.35</v>
      </c>
      <c r="O1202" s="164" t="s">
        <v>1760</v>
      </c>
    </row>
    <row r="1203" spans="1:15" ht="28.8">
      <c r="A1203" s="161" t="s">
        <v>3523</v>
      </c>
      <c r="B1203" s="161" t="s">
        <v>1743</v>
      </c>
      <c r="C1203" s="161" t="s">
        <v>1755</v>
      </c>
      <c r="D1203" s="162">
        <v>44541</v>
      </c>
      <c r="E1203" s="161" t="s">
        <v>3524</v>
      </c>
      <c r="F1203" s="161" t="s">
        <v>1784</v>
      </c>
      <c r="G1203" s="161">
        <v>4</v>
      </c>
      <c r="H1203" s="161">
        <v>5</v>
      </c>
      <c r="I1203" s="161">
        <v>8.3000000000000007</v>
      </c>
      <c r="J1203" s="161">
        <v>72</v>
      </c>
      <c r="K1203" s="161">
        <v>15</v>
      </c>
      <c r="L1203" s="163">
        <v>-1.53</v>
      </c>
      <c r="M1203" s="163">
        <v>-2.61</v>
      </c>
      <c r="N1203" s="161">
        <v>-0.35</v>
      </c>
      <c r="O1203" s="164" t="s">
        <v>1760</v>
      </c>
    </row>
    <row r="1204" spans="1:15" ht="28.8">
      <c r="A1204" s="161" t="s">
        <v>3525</v>
      </c>
      <c r="B1204" s="161" t="s">
        <v>1752</v>
      </c>
      <c r="C1204" s="161" t="s">
        <v>1755</v>
      </c>
      <c r="D1204" s="162">
        <v>44522</v>
      </c>
      <c r="E1204" s="161" t="s">
        <v>3526</v>
      </c>
      <c r="F1204" s="161" t="s">
        <v>1784</v>
      </c>
      <c r="G1204" s="161">
        <v>1</v>
      </c>
      <c r="H1204" s="161">
        <v>4</v>
      </c>
      <c r="I1204" s="161">
        <v>8.0399999999999991</v>
      </c>
      <c r="J1204" s="161">
        <v>72.900000000000006</v>
      </c>
      <c r="K1204" s="161">
        <v>13.5</v>
      </c>
      <c r="L1204" s="163">
        <v>-2.66</v>
      </c>
      <c r="M1204" s="163">
        <v>-3.28</v>
      </c>
      <c r="N1204" s="161">
        <v>-1.48</v>
      </c>
      <c r="O1204" s="164" t="s">
        <v>1760</v>
      </c>
    </row>
    <row r="1205" spans="1:15" ht="43.2">
      <c r="A1205" s="161" t="s">
        <v>3527</v>
      </c>
      <c r="B1205" s="161" t="s">
        <v>1743</v>
      </c>
      <c r="C1205" s="161" t="s">
        <v>1755</v>
      </c>
      <c r="D1205" s="162">
        <v>44502</v>
      </c>
      <c r="E1205" s="161" t="s">
        <v>3528</v>
      </c>
      <c r="F1205" s="161" t="s">
        <v>1784</v>
      </c>
      <c r="G1205" s="161">
        <v>1</v>
      </c>
      <c r="H1205" s="161">
        <v>8</v>
      </c>
      <c r="I1205" s="161">
        <v>7.92</v>
      </c>
      <c r="J1205" s="161">
        <v>74.8</v>
      </c>
      <c r="K1205" s="161">
        <v>13.5</v>
      </c>
      <c r="L1205" s="163">
        <v>-2.16</v>
      </c>
      <c r="M1205" s="163">
        <v>-2.0499999999999998</v>
      </c>
      <c r="N1205" s="161">
        <v>-1.6</v>
      </c>
      <c r="O1205" s="164" t="s">
        <v>1760</v>
      </c>
    </row>
    <row r="1206" spans="1:15" ht="28.8">
      <c r="A1206" s="161" t="s">
        <v>3529</v>
      </c>
      <c r="B1206" s="161" t="s">
        <v>1752</v>
      </c>
      <c r="C1206" s="161" t="s">
        <v>1755</v>
      </c>
      <c r="D1206" s="162">
        <v>44364</v>
      </c>
      <c r="E1206" s="161" t="s">
        <v>3188</v>
      </c>
      <c r="F1206" s="161" t="s">
        <v>1784</v>
      </c>
      <c r="G1206" s="161">
        <v>5</v>
      </c>
      <c r="H1206" s="161">
        <v>6</v>
      </c>
      <c r="I1206" s="161">
        <v>8.9</v>
      </c>
      <c r="J1206" s="161">
        <v>78</v>
      </c>
      <c r="K1206" s="161">
        <v>14</v>
      </c>
      <c r="L1206" s="163">
        <v>-2.54</v>
      </c>
      <c r="M1206" s="163">
        <v>-2.88</v>
      </c>
      <c r="N1206" s="161">
        <v>-1.53</v>
      </c>
      <c r="O1206" s="164" t="s">
        <v>1760</v>
      </c>
    </row>
    <row r="1207" spans="1:15" ht="43.2">
      <c r="A1207" s="161" t="s">
        <v>3530</v>
      </c>
      <c r="B1207" s="161" t="s">
        <v>1743</v>
      </c>
      <c r="C1207" s="161" t="s">
        <v>1744</v>
      </c>
      <c r="D1207" s="162">
        <v>43992</v>
      </c>
      <c r="E1207" s="161" t="s">
        <v>3326</v>
      </c>
      <c r="F1207" s="161" t="s">
        <v>1784</v>
      </c>
      <c r="G1207" s="161">
        <v>1</v>
      </c>
      <c r="H1207" s="161">
        <v>2</v>
      </c>
      <c r="I1207" s="161">
        <v>11.15</v>
      </c>
      <c r="J1207" s="161">
        <v>84.8</v>
      </c>
      <c r="K1207" s="161">
        <v>13.2</v>
      </c>
      <c r="L1207" s="163">
        <v>-1.61</v>
      </c>
      <c r="M1207" s="163">
        <v>-2.5099999999999998</v>
      </c>
      <c r="N1207" s="161">
        <v>-0.19</v>
      </c>
      <c r="O1207" s="164" t="s">
        <v>1760</v>
      </c>
    </row>
    <row r="1208" spans="1:15" ht="28.8">
      <c r="A1208" s="161" t="s">
        <v>3531</v>
      </c>
      <c r="B1208" s="161" t="s">
        <v>1743</v>
      </c>
      <c r="C1208" s="161" t="s">
        <v>1744</v>
      </c>
      <c r="D1208" s="162">
        <v>43992</v>
      </c>
      <c r="E1208" s="161" t="s">
        <v>3532</v>
      </c>
      <c r="F1208" s="161" t="s">
        <v>1784</v>
      </c>
      <c r="G1208" s="161">
        <v>4</v>
      </c>
      <c r="H1208" s="161">
        <v>5</v>
      </c>
      <c r="I1208" s="161">
        <v>10.199999999999999</v>
      </c>
      <c r="J1208" s="161">
        <v>83</v>
      </c>
      <c r="K1208" s="161">
        <v>14</v>
      </c>
      <c r="L1208" s="163">
        <v>-2.36</v>
      </c>
      <c r="M1208" s="163">
        <v>-2.99</v>
      </c>
      <c r="N1208" s="161">
        <v>-0.76</v>
      </c>
      <c r="O1208" s="164" t="s">
        <v>1760</v>
      </c>
    </row>
    <row r="1209" spans="1:15" ht="43.2">
      <c r="A1209" s="161" t="s">
        <v>3533</v>
      </c>
      <c r="B1209" s="161" t="s">
        <v>1752</v>
      </c>
      <c r="C1209" s="161" t="s">
        <v>1749</v>
      </c>
      <c r="D1209" s="162">
        <v>43841</v>
      </c>
      <c r="E1209" s="161" t="s">
        <v>1907</v>
      </c>
      <c r="F1209" s="161" t="s">
        <v>1784</v>
      </c>
      <c r="G1209" s="161">
        <v>3</v>
      </c>
      <c r="H1209" s="161">
        <v>2</v>
      </c>
      <c r="I1209" s="161">
        <v>11</v>
      </c>
      <c r="J1209" s="161">
        <v>90</v>
      </c>
      <c r="K1209" s="161">
        <v>14.5</v>
      </c>
      <c r="L1209" s="163">
        <v>-2.54</v>
      </c>
      <c r="M1209" s="163">
        <v>-2.19</v>
      </c>
      <c r="N1209" s="161">
        <v>-2.0299999999999998</v>
      </c>
      <c r="O1209" s="164" t="s">
        <v>1747</v>
      </c>
    </row>
    <row r="1210" spans="1:15" ht="28.8">
      <c r="A1210" s="161" t="s">
        <v>3534</v>
      </c>
      <c r="B1210" s="161" t="s">
        <v>1752</v>
      </c>
      <c r="C1210" s="161" t="s">
        <v>1749</v>
      </c>
      <c r="D1210" s="162">
        <v>43703</v>
      </c>
      <c r="E1210" s="161" t="s">
        <v>2832</v>
      </c>
      <c r="F1210" s="161" t="s">
        <v>1784</v>
      </c>
      <c r="G1210" s="161">
        <v>2</v>
      </c>
      <c r="H1210" s="161">
        <v>4</v>
      </c>
      <c r="I1210" s="161">
        <v>11.1</v>
      </c>
      <c r="J1210" s="161">
        <v>92.3</v>
      </c>
      <c r="K1210" s="161">
        <v>13.5</v>
      </c>
      <c r="L1210" s="163">
        <v>-2.83</v>
      </c>
      <c r="M1210" s="163">
        <v>-2.2000000000000002</v>
      </c>
      <c r="N1210" s="161">
        <v>-2.4500000000000002</v>
      </c>
      <c r="O1210" s="164" t="s">
        <v>1747</v>
      </c>
    </row>
    <row r="1211" spans="1:15" ht="28.8">
      <c r="A1211" s="161" t="s">
        <v>3535</v>
      </c>
      <c r="B1211" s="161" t="s">
        <v>1752</v>
      </c>
      <c r="C1211" s="161" t="s">
        <v>1749</v>
      </c>
      <c r="D1211" s="162">
        <v>43659</v>
      </c>
      <c r="E1211" s="161" t="s">
        <v>3536</v>
      </c>
      <c r="F1211" s="161" t="s">
        <v>1784</v>
      </c>
      <c r="G1211" s="161">
        <v>3</v>
      </c>
      <c r="H1211" s="161">
        <v>1</v>
      </c>
      <c r="I1211" s="161">
        <v>12</v>
      </c>
      <c r="J1211" s="161">
        <v>91.6</v>
      </c>
      <c r="K1211" s="161">
        <v>14.7</v>
      </c>
      <c r="L1211" s="163">
        <v>-2.35</v>
      </c>
      <c r="M1211" s="163">
        <v>-2.61</v>
      </c>
      <c r="N1211" s="161">
        <v>-1.27</v>
      </c>
      <c r="O1211" s="164" t="s">
        <v>1760</v>
      </c>
    </row>
    <row r="1212" spans="1:15" ht="28.8">
      <c r="A1212" s="161" t="s">
        <v>3537</v>
      </c>
      <c r="B1212" s="161" t="s">
        <v>1752</v>
      </c>
      <c r="C1212" s="161" t="s">
        <v>1786</v>
      </c>
      <c r="D1212" s="162">
        <v>43364</v>
      </c>
      <c r="E1212" s="161" t="s">
        <v>3332</v>
      </c>
      <c r="F1212" s="161" t="s">
        <v>1784</v>
      </c>
      <c r="G1212" s="161">
        <v>5</v>
      </c>
      <c r="H1212" s="161">
        <v>1</v>
      </c>
      <c r="I1212" s="161">
        <v>11.65</v>
      </c>
      <c r="J1212" s="161">
        <v>89.4</v>
      </c>
      <c r="K1212" s="161">
        <v>15</v>
      </c>
      <c r="L1212" s="163">
        <v>-3.19</v>
      </c>
      <c r="M1212" s="163">
        <v>-4.04</v>
      </c>
      <c r="N1212" s="161">
        <v>-1.1299999999999999</v>
      </c>
      <c r="O1212" s="164" t="s">
        <v>1760</v>
      </c>
    </row>
    <row r="1213" spans="1:15" ht="28.8">
      <c r="A1213" s="161" t="s">
        <v>3538</v>
      </c>
      <c r="B1213" s="161" t="s">
        <v>1752</v>
      </c>
      <c r="C1213" s="161" t="s">
        <v>1786</v>
      </c>
      <c r="D1213" s="162">
        <v>43298</v>
      </c>
      <c r="E1213" s="161" t="s">
        <v>1798</v>
      </c>
      <c r="F1213" s="161" t="s">
        <v>1784</v>
      </c>
      <c r="G1213" s="161">
        <v>4</v>
      </c>
      <c r="H1213" s="161">
        <v>5</v>
      </c>
      <c r="I1213" s="161">
        <v>11</v>
      </c>
      <c r="J1213" s="161">
        <v>92.5</v>
      </c>
      <c r="K1213" s="161">
        <v>14.2</v>
      </c>
      <c r="L1213" s="163">
        <v>-3.7</v>
      </c>
      <c r="M1213" s="163">
        <v>-3.55</v>
      </c>
      <c r="N1213" s="161">
        <v>-2.62</v>
      </c>
      <c r="O1213" s="164" t="s">
        <v>1747</v>
      </c>
    </row>
    <row r="1214" spans="1:15" ht="28.8">
      <c r="A1214" s="161" t="s">
        <v>3539</v>
      </c>
      <c r="B1214" s="161" t="s">
        <v>1752</v>
      </c>
      <c r="C1214" s="161" t="s">
        <v>1749</v>
      </c>
      <c r="D1214" s="162">
        <v>43706</v>
      </c>
      <c r="E1214" s="161" t="s">
        <v>3540</v>
      </c>
      <c r="F1214" s="161" t="s">
        <v>1784</v>
      </c>
      <c r="G1214" s="161">
        <v>3</v>
      </c>
      <c r="H1214" s="161">
        <v>5</v>
      </c>
      <c r="I1214" s="161">
        <v>13.2</v>
      </c>
      <c r="J1214" s="161">
        <v>94</v>
      </c>
      <c r="K1214" s="161"/>
      <c r="L1214" s="163">
        <v>-1.46</v>
      </c>
      <c r="M1214" s="163">
        <v>-2.0299999999999998</v>
      </c>
      <c r="N1214" s="161">
        <v>-0.43</v>
      </c>
      <c r="O1214" s="164" t="s">
        <v>1760</v>
      </c>
    </row>
    <row r="1215" spans="1:15" ht="43.2">
      <c r="A1215" s="161" t="s">
        <v>3541</v>
      </c>
      <c r="B1215" s="161" t="s">
        <v>1743</v>
      </c>
      <c r="C1215" s="161" t="s">
        <v>1755</v>
      </c>
      <c r="D1215" s="162">
        <v>44443</v>
      </c>
      <c r="E1215" s="161" t="s">
        <v>3409</v>
      </c>
      <c r="F1215" s="161" t="s">
        <v>1784</v>
      </c>
      <c r="G1215" s="161">
        <v>3</v>
      </c>
      <c r="H1215" s="161">
        <v>2</v>
      </c>
      <c r="I1215" s="161">
        <v>8.4</v>
      </c>
      <c r="J1215" s="161">
        <v>75</v>
      </c>
      <c r="K1215" s="161">
        <v>12.1</v>
      </c>
      <c r="L1215" s="163">
        <v>-2.0099999999999998</v>
      </c>
      <c r="M1215" s="163">
        <v>-2.6</v>
      </c>
      <c r="N1215" s="161">
        <v>-0.96</v>
      </c>
      <c r="O1215" s="164" t="s">
        <v>1760</v>
      </c>
    </row>
    <row r="1216" spans="1:15" ht="28.8">
      <c r="A1216" s="161" t="s">
        <v>3542</v>
      </c>
      <c r="B1216" s="161" t="s">
        <v>1752</v>
      </c>
      <c r="C1216" s="161" t="s">
        <v>1755</v>
      </c>
      <c r="D1216" s="162">
        <v>44370</v>
      </c>
      <c r="E1216" s="161" t="s">
        <v>3543</v>
      </c>
      <c r="F1216" s="161" t="s">
        <v>1784</v>
      </c>
      <c r="G1216" s="161">
        <v>1</v>
      </c>
      <c r="H1216" s="161">
        <v>1</v>
      </c>
      <c r="I1216" s="161">
        <v>8.1999999999999993</v>
      </c>
      <c r="J1216" s="161">
        <v>78.900000000000006</v>
      </c>
      <c r="K1216" s="161">
        <v>14.8</v>
      </c>
      <c r="L1216" s="163">
        <v>-3.25</v>
      </c>
      <c r="M1216" s="163">
        <v>-2.59</v>
      </c>
      <c r="N1216" s="161">
        <v>-2.79</v>
      </c>
      <c r="O1216" s="164" t="s">
        <v>1747</v>
      </c>
    </row>
    <row r="1217" spans="1:15" ht="28.8">
      <c r="A1217" s="161" t="s">
        <v>3544</v>
      </c>
      <c r="B1217" s="161" t="s">
        <v>1752</v>
      </c>
      <c r="C1217" s="161" t="s">
        <v>1744</v>
      </c>
      <c r="D1217" s="162">
        <v>44296</v>
      </c>
      <c r="E1217" s="161" t="s">
        <v>2326</v>
      </c>
      <c r="F1217" s="161" t="s">
        <v>1784</v>
      </c>
      <c r="G1217" s="161">
        <v>7</v>
      </c>
      <c r="H1217" s="161">
        <v>7</v>
      </c>
      <c r="I1217" s="161">
        <v>9.5</v>
      </c>
      <c r="J1217" s="161">
        <v>72.099999999999994</v>
      </c>
      <c r="K1217" s="161"/>
      <c r="L1217" s="163">
        <v>-2.29</v>
      </c>
      <c r="M1217" s="163">
        <v>-5.32</v>
      </c>
      <c r="N1217" s="161">
        <v>0.79</v>
      </c>
      <c r="O1217" s="164" t="s">
        <v>1760</v>
      </c>
    </row>
    <row r="1218" spans="1:15" ht="43.2">
      <c r="A1218" s="161" t="s">
        <v>3545</v>
      </c>
      <c r="B1218" s="161" t="s">
        <v>1752</v>
      </c>
      <c r="C1218" s="161" t="s">
        <v>1744</v>
      </c>
      <c r="D1218" s="162">
        <v>44144</v>
      </c>
      <c r="E1218" s="161" t="s">
        <v>2334</v>
      </c>
      <c r="F1218" s="161" t="s">
        <v>1784</v>
      </c>
      <c r="G1218" s="161">
        <v>1</v>
      </c>
      <c r="H1218" s="161">
        <v>4</v>
      </c>
      <c r="I1218" s="161">
        <v>8.6999999999999993</v>
      </c>
      <c r="J1218" s="161">
        <v>77.5</v>
      </c>
      <c r="K1218" s="161">
        <v>14.5</v>
      </c>
      <c r="L1218" s="163">
        <v>-3.58</v>
      </c>
      <c r="M1218" s="163">
        <v>-4.24</v>
      </c>
      <c r="N1218" s="161">
        <v>-1.87</v>
      </c>
      <c r="O1218" s="164" t="s">
        <v>1760</v>
      </c>
    </row>
    <row r="1219" spans="1:15" ht="28.8">
      <c r="A1219" s="161" t="s">
        <v>3546</v>
      </c>
      <c r="B1219" s="161" t="s">
        <v>1752</v>
      </c>
      <c r="C1219" s="161" t="s">
        <v>1749</v>
      </c>
      <c r="D1219" s="162">
        <v>43909</v>
      </c>
      <c r="E1219" s="161" t="s">
        <v>3547</v>
      </c>
      <c r="F1219" s="161" t="s">
        <v>1784</v>
      </c>
      <c r="G1219" s="161">
        <v>3</v>
      </c>
      <c r="H1219" s="161">
        <v>1</v>
      </c>
      <c r="I1219" s="161">
        <v>10.9</v>
      </c>
      <c r="J1219" s="161">
        <v>87.2</v>
      </c>
      <c r="K1219" s="161">
        <v>14.2</v>
      </c>
      <c r="L1219" s="163">
        <v>-2.41</v>
      </c>
      <c r="M1219" s="163">
        <v>-2.6</v>
      </c>
      <c r="N1219" s="161">
        <v>-1.44</v>
      </c>
      <c r="O1219" s="164" t="s">
        <v>1760</v>
      </c>
    </row>
    <row r="1220" spans="1:15" ht="28.8">
      <c r="A1220" s="161" t="s">
        <v>3548</v>
      </c>
      <c r="B1220" s="161" t="s">
        <v>1743</v>
      </c>
      <c r="C1220" s="161" t="s">
        <v>1749</v>
      </c>
      <c r="D1220" s="162">
        <v>43799</v>
      </c>
      <c r="E1220" s="161" t="s">
        <v>3549</v>
      </c>
      <c r="F1220" s="161" t="s">
        <v>1784</v>
      </c>
      <c r="G1220" s="161">
        <v>4</v>
      </c>
      <c r="H1220" s="161">
        <v>1</v>
      </c>
      <c r="I1220" s="161">
        <v>11.7</v>
      </c>
      <c r="J1220" s="161">
        <v>88.3</v>
      </c>
      <c r="K1220" s="161">
        <v>15.1</v>
      </c>
      <c r="L1220" s="163">
        <v>-1.86</v>
      </c>
      <c r="M1220" s="163">
        <v>-2.56</v>
      </c>
      <c r="N1220" s="161">
        <v>-0.5</v>
      </c>
      <c r="O1220" s="164" t="s">
        <v>1760</v>
      </c>
    </row>
    <row r="1221" spans="1:15" ht="28.8">
      <c r="A1221" s="161" t="s">
        <v>3550</v>
      </c>
      <c r="B1221" s="161" t="s">
        <v>1752</v>
      </c>
      <c r="C1221" s="161" t="s">
        <v>1749</v>
      </c>
      <c r="D1221" s="162">
        <v>43694</v>
      </c>
      <c r="E1221" s="161" t="s">
        <v>2036</v>
      </c>
      <c r="F1221" s="161" t="s">
        <v>1784</v>
      </c>
      <c r="G1221" s="161">
        <v>2</v>
      </c>
      <c r="H1221" s="161">
        <v>4</v>
      </c>
      <c r="I1221" s="161">
        <v>14.6</v>
      </c>
      <c r="J1221" s="161">
        <v>93</v>
      </c>
      <c r="K1221" s="161">
        <v>15.3</v>
      </c>
      <c r="L1221" s="163">
        <v>-0.61</v>
      </c>
      <c r="M1221" s="163">
        <v>-2.0499999999999998</v>
      </c>
      <c r="N1221" s="161">
        <v>0.88</v>
      </c>
      <c r="O1221" s="164" t="s">
        <v>1760</v>
      </c>
    </row>
    <row r="1222" spans="1:15" ht="28.8">
      <c r="A1222" s="161" t="s">
        <v>3551</v>
      </c>
      <c r="B1222" s="161" t="s">
        <v>1752</v>
      </c>
      <c r="C1222" s="161" t="s">
        <v>1749</v>
      </c>
      <c r="D1222" s="162">
        <v>43589</v>
      </c>
      <c r="E1222" s="161" t="s">
        <v>2324</v>
      </c>
      <c r="F1222" s="161" t="s">
        <v>1784</v>
      </c>
      <c r="G1222" s="161">
        <v>3</v>
      </c>
      <c r="H1222" s="161">
        <v>7</v>
      </c>
      <c r="I1222" s="161">
        <v>11.7</v>
      </c>
      <c r="J1222" s="161">
        <v>91.4</v>
      </c>
      <c r="K1222" s="161">
        <v>14.5</v>
      </c>
      <c r="L1222" s="163">
        <v>-2.69</v>
      </c>
      <c r="M1222" s="163">
        <v>-2.87</v>
      </c>
      <c r="N1222" s="161">
        <v>-1.55</v>
      </c>
      <c r="O1222" s="164" t="s">
        <v>1760</v>
      </c>
    </row>
    <row r="1223" spans="1:15" ht="28.8">
      <c r="A1223" s="161" t="s">
        <v>3552</v>
      </c>
      <c r="B1223" s="161" t="s">
        <v>1743</v>
      </c>
      <c r="C1223" s="161" t="s">
        <v>1744</v>
      </c>
      <c r="D1223" s="162">
        <v>44069</v>
      </c>
      <c r="E1223" s="161" t="s">
        <v>3553</v>
      </c>
      <c r="F1223" s="161" t="s">
        <v>1784</v>
      </c>
      <c r="G1223" s="161">
        <v>2</v>
      </c>
      <c r="H1223" s="161">
        <v>1</v>
      </c>
      <c r="I1223" s="161">
        <v>11</v>
      </c>
      <c r="J1223" s="161">
        <v>84.9</v>
      </c>
      <c r="K1223" s="161"/>
      <c r="L1223" s="163">
        <v>-1.52</v>
      </c>
      <c r="M1223" s="163">
        <v>-2.1800000000000002</v>
      </c>
      <c r="N1223" s="161">
        <v>-0.37</v>
      </c>
      <c r="O1223" s="164" t="s">
        <v>1760</v>
      </c>
    </row>
    <row r="1224" spans="1:15" ht="28.8">
      <c r="A1224" s="161" t="s">
        <v>3554</v>
      </c>
      <c r="B1224" s="161" t="s">
        <v>1752</v>
      </c>
      <c r="C1224" s="161" t="s">
        <v>1744</v>
      </c>
      <c r="D1224" s="162">
        <v>44124</v>
      </c>
      <c r="E1224" s="161" t="s">
        <v>2077</v>
      </c>
      <c r="F1224" s="161" t="s">
        <v>1784</v>
      </c>
      <c r="G1224" s="161">
        <v>2</v>
      </c>
      <c r="H1224" s="161">
        <v>4</v>
      </c>
      <c r="I1224" s="161">
        <v>9.3000000000000007</v>
      </c>
      <c r="J1224" s="161">
        <v>72</v>
      </c>
      <c r="K1224" s="161"/>
      <c r="L1224" s="163">
        <v>-1.76</v>
      </c>
      <c r="M1224" s="163">
        <v>-4.3099999999999996</v>
      </c>
      <c r="N1224" s="161">
        <v>0.56999999999999995</v>
      </c>
      <c r="O1224" s="164" t="s">
        <v>1760</v>
      </c>
    </row>
    <row r="1225" spans="1:15" ht="28.8">
      <c r="A1225" s="161" t="s">
        <v>3555</v>
      </c>
      <c r="B1225" s="161" t="s">
        <v>1752</v>
      </c>
      <c r="C1225" s="161" t="s">
        <v>1744</v>
      </c>
      <c r="D1225" s="162">
        <v>43950</v>
      </c>
      <c r="E1225" s="161" t="s">
        <v>3101</v>
      </c>
      <c r="F1225" s="161" t="s">
        <v>1784</v>
      </c>
      <c r="G1225" s="161">
        <v>3</v>
      </c>
      <c r="H1225" s="161">
        <v>4</v>
      </c>
      <c r="I1225" s="161">
        <v>10</v>
      </c>
      <c r="J1225" s="161">
        <v>81.5</v>
      </c>
      <c r="K1225" s="161"/>
      <c r="L1225" s="163">
        <v>-1.9</v>
      </c>
      <c r="M1225" s="163">
        <v>-2.17</v>
      </c>
      <c r="N1225" s="161">
        <v>-1.03</v>
      </c>
      <c r="O1225" s="164" t="s">
        <v>1760</v>
      </c>
    </row>
    <row r="1226" spans="1:15" ht="28.8">
      <c r="A1226" s="161" t="s">
        <v>3556</v>
      </c>
      <c r="B1226" s="161" t="s">
        <v>1743</v>
      </c>
      <c r="C1226" s="161" t="s">
        <v>1755</v>
      </c>
      <c r="D1226" s="162">
        <v>44319</v>
      </c>
      <c r="E1226" s="161" t="s">
        <v>3557</v>
      </c>
      <c r="F1226" s="161" t="s">
        <v>1784</v>
      </c>
      <c r="G1226" s="161">
        <v>4</v>
      </c>
      <c r="H1226" s="161">
        <v>4</v>
      </c>
      <c r="I1226" s="161">
        <v>10</v>
      </c>
      <c r="J1226" s="161">
        <v>67</v>
      </c>
      <c r="K1226" s="161"/>
      <c r="L1226" s="163">
        <v>0.62</v>
      </c>
      <c r="M1226" s="163">
        <v>-3.29</v>
      </c>
      <c r="N1226" s="161">
        <v>2.96</v>
      </c>
      <c r="O1226" s="164" t="s">
        <v>2078</v>
      </c>
    </row>
    <row r="1227" spans="1:15" ht="28.8">
      <c r="A1227" s="161" t="s">
        <v>3558</v>
      </c>
      <c r="B1227" s="161" t="s">
        <v>1743</v>
      </c>
      <c r="C1227" s="161" t="s">
        <v>1744</v>
      </c>
      <c r="D1227" s="162">
        <v>43989</v>
      </c>
      <c r="E1227" s="161" t="s">
        <v>3559</v>
      </c>
      <c r="F1227" s="161" t="s">
        <v>1784</v>
      </c>
      <c r="G1227" s="161">
        <v>3</v>
      </c>
      <c r="H1227" s="161">
        <v>5</v>
      </c>
      <c r="I1227" s="161">
        <v>12.7</v>
      </c>
      <c r="J1227" s="161">
        <v>73.5</v>
      </c>
      <c r="K1227" s="161"/>
      <c r="L1227" s="163">
        <v>0.76</v>
      </c>
      <c r="M1227" s="163">
        <v>-4.0599999999999996</v>
      </c>
      <c r="N1227" s="161">
        <v>3.81</v>
      </c>
      <c r="O1227" s="164" t="s">
        <v>2170</v>
      </c>
    </row>
    <row r="1228" spans="1:15" ht="28.8">
      <c r="A1228" s="161" t="s">
        <v>3560</v>
      </c>
      <c r="B1228" s="161" t="s">
        <v>1752</v>
      </c>
      <c r="C1228" s="161" t="s">
        <v>1755</v>
      </c>
      <c r="D1228" s="162">
        <v>44442</v>
      </c>
      <c r="E1228" s="161" t="s">
        <v>3561</v>
      </c>
      <c r="F1228" s="161" t="s">
        <v>1784</v>
      </c>
      <c r="G1228" s="161">
        <v>2</v>
      </c>
      <c r="H1228" s="161">
        <v>5</v>
      </c>
      <c r="I1228" s="161">
        <v>8.9</v>
      </c>
      <c r="J1228" s="161">
        <v>66</v>
      </c>
      <c r="K1228" s="161"/>
      <c r="L1228" s="163">
        <v>-0.11</v>
      </c>
      <c r="M1228" s="163">
        <v>-2.87</v>
      </c>
      <c r="N1228" s="161">
        <v>2.02</v>
      </c>
      <c r="O1228" s="164" t="s">
        <v>2078</v>
      </c>
    </row>
    <row r="1229" spans="1:15" ht="28.8">
      <c r="A1229" s="161" t="s">
        <v>3562</v>
      </c>
      <c r="B1229" s="161" t="s">
        <v>1743</v>
      </c>
      <c r="C1229" s="161" t="s">
        <v>1744</v>
      </c>
      <c r="D1229" s="162">
        <v>43952</v>
      </c>
      <c r="E1229" s="161" t="s">
        <v>3563</v>
      </c>
      <c r="F1229" s="161" t="s">
        <v>1784</v>
      </c>
      <c r="G1229" s="161">
        <v>2</v>
      </c>
      <c r="H1229" s="161">
        <v>5</v>
      </c>
      <c r="I1229" s="161">
        <v>12</v>
      </c>
      <c r="J1229" s="161">
        <v>78</v>
      </c>
      <c r="K1229" s="161"/>
      <c r="L1229" s="163">
        <v>0.14000000000000001</v>
      </c>
      <c r="M1229" s="163">
        <v>-2.94</v>
      </c>
      <c r="N1229" s="161">
        <v>2.2799999999999998</v>
      </c>
      <c r="O1229" s="164" t="s">
        <v>2078</v>
      </c>
    </row>
    <row r="1230" spans="1:15" ht="28.8">
      <c r="A1230" s="161" t="s">
        <v>3564</v>
      </c>
      <c r="B1230" s="161" t="s">
        <v>1752</v>
      </c>
      <c r="C1230" s="161" t="s">
        <v>2055</v>
      </c>
      <c r="D1230" s="162">
        <v>44740</v>
      </c>
      <c r="E1230" s="161" t="s">
        <v>3565</v>
      </c>
      <c r="F1230" s="161" t="s">
        <v>1784</v>
      </c>
      <c r="G1230" s="161">
        <v>2</v>
      </c>
      <c r="H1230" s="161">
        <v>5</v>
      </c>
      <c r="I1230" s="161">
        <v>3</v>
      </c>
      <c r="J1230" s="161">
        <v>49</v>
      </c>
      <c r="K1230" s="161"/>
      <c r="L1230" s="163">
        <v>-2.66</v>
      </c>
      <c r="M1230" s="163">
        <v>-2.41</v>
      </c>
      <c r="N1230" s="161">
        <v>-0.97</v>
      </c>
      <c r="O1230" s="164" t="s">
        <v>1760</v>
      </c>
    </row>
    <row r="1231" spans="1:15" ht="43.2">
      <c r="A1231" s="161" t="s">
        <v>3566</v>
      </c>
      <c r="B1231" s="161" t="s">
        <v>1752</v>
      </c>
      <c r="C1231" s="161" t="s">
        <v>1744</v>
      </c>
      <c r="D1231" s="162">
        <v>44298</v>
      </c>
      <c r="E1231" s="161" t="s">
        <v>3421</v>
      </c>
      <c r="F1231" s="161" t="s">
        <v>1807</v>
      </c>
      <c r="G1231" s="161">
        <v>11</v>
      </c>
      <c r="H1231" s="161">
        <v>3</v>
      </c>
      <c r="I1231" s="161">
        <v>8.5</v>
      </c>
      <c r="J1231" s="161">
        <v>72</v>
      </c>
      <c r="K1231" s="161"/>
      <c r="L1231" s="163">
        <v>-1.51</v>
      </c>
      <c r="M1231" s="163">
        <v>-2.33</v>
      </c>
      <c r="N1231" s="161">
        <v>-0.52</v>
      </c>
      <c r="O1231" s="164" t="s">
        <v>1760</v>
      </c>
    </row>
    <row r="1232" spans="1:15" ht="43.2">
      <c r="A1232" s="161" t="s">
        <v>3567</v>
      </c>
      <c r="B1232" s="161" t="s">
        <v>1752</v>
      </c>
      <c r="C1232" s="161" t="s">
        <v>1755</v>
      </c>
      <c r="D1232" s="162">
        <v>44449</v>
      </c>
      <c r="E1232" s="161" t="s">
        <v>2345</v>
      </c>
      <c r="F1232" s="161" t="s">
        <v>1807</v>
      </c>
      <c r="G1232" s="161">
        <v>1</v>
      </c>
      <c r="H1232" s="161">
        <v>3</v>
      </c>
      <c r="I1232" s="161">
        <v>8</v>
      </c>
      <c r="J1232" s="161">
        <v>67</v>
      </c>
      <c r="K1232" s="161"/>
      <c r="L1232" s="163">
        <v>-1.02</v>
      </c>
      <c r="M1232" s="163">
        <v>-2.31</v>
      </c>
      <c r="N1232" s="161">
        <v>0.4</v>
      </c>
      <c r="O1232" s="164" t="s">
        <v>1760</v>
      </c>
    </row>
    <row r="1233" spans="1:15" ht="43.2">
      <c r="A1233" s="161" t="s">
        <v>3568</v>
      </c>
      <c r="B1233" s="161" t="s">
        <v>1743</v>
      </c>
      <c r="C1233" s="161" t="s">
        <v>2055</v>
      </c>
      <c r="D1233" s="162">
        <v>44742</v>
      </c>
      <c r="E1233" s="161" t="s">
        <v>2843</v>
      </c>
      <c r="F1233" s="161" t="s">
        <v>1807</v>
      </c>
      <c r="G1233" s="161">
        <v>4</v>
      </c>
      <c r="H1233" s="161">
        <v>4</v>
      </c>
      <c r="I1233" s="161">
        <v>2.8</v>
      </c>
      <c r="J1233" s="161">
        <v>48</v>
      </c>
      <c r="K1233" s="161"/>
      <c r="L1233" s="163">
        <v>-2.8</v>
      </c>
      <c r="M1233" s="163">
        <v>-2.5299999999999998</v>
      </c>
      <c r="N1233" s="161">
        <v>-1.1499999999999999</v>
      </c>
      <c r="O1233" s="164" t="s">
        <v>1760</v>
      </c>
    </row>
    <row r="1234" spans="1:15" ht="43.2">
      <c r="A1234" s="161" t="s">
        <v>3569</v>
      </c>
      <c r="B1234" s="161" t="s">
        <v>1743</v>
      </c>
      <c r="C1234" s="161" t="s">
        <v>1755</v>
      </c>
      <c r="D1234" s="162">
        <v>44512</v>
      </c>
      <c r="E1234" s="161" t="s">
        <v>2957</v>
      </c>
      <c r="F1234" s="161" t="s">
        <v>1807</v>
      </c>
      <c r="G1234" s="161">
        <v>5</v>
      </c>
      <c r="H1234" s="161">
        <v>2</v>
      </c>
      <c r="I1234" s="161">
        <v>6.6</v>
      </c>
      <c r="J1234" s="161">
        <v>62.7</v>
      </c>
      <c r="K1234" s="161"/>
      <c r="L1234" s="163">
        <v>-1.27</v>
      </c>
      <c r="M1234" s="163">
        <v>-2.08</v>
      </c>
      <c r="N1234" s="161">
        <v>0.09</v>
      </c>
      <c r="O1234" s="164" t="s">
        <v>1760</v>
      </c>
    </row>
    <row r="1235" spans="1:15" ht="57.6">
      <c r="A1235" s="161" t="s">
        <v>3570</v>
      </c>
      <c r="B1235" s="161" t="s">
        <v>1752</v>
      </c>
      <c r="C1235" s="161" t="s">
        <v>1744</v>
      </c>
      <c r="D1235" s="162">
        <v>44154</v>
      </c>
      <c r="E1235" s="161" t="s">
        <v>3338</v>
      </c>
      <c r="F1235" s="161" t="s">
        <v>1807</v>
      </c>
      <c r="G1235" s="161">
        <v>7</v>
      </c>
      <c r="H1235" s="161">
        <v>1</v>
      </c>
      <c r="I1235" s="161">
        <v>10.4</v>
      </c>
      <c r="J1235" s="161">
        <v>77.2</v>
      </c>
      <c r="K1235" s="161"/>
      <c r="L1235" s="163">
        <v>-0.64</v>
      </c>
      <c r="M1235" s="163">
        <v>-2.2400000000000002</v>
      </c>
      <c r="N1235" s="161">
        <v>0.55000000000000004</v>
      </c>
      <c r="O1235" s="164" t="s">
        <v>1760</v>
      </c>
    </row>
    <row r="1236" spans="1:15" ht="43.2">
      <c r="A1236" s="161" t="s">
        <v>3571</v>
      </c>
      <c r="B1236" s="161" t="s">
        <v>1743</v>
      </c>
      <c r="C1236" s="161" t="s">
        <v>1749</v>
      </c>
      <c r="D1236" s="162">
        <v>43864</v>
      </c>
      <c r="E1236" s="161" t="s">
        <v>2948</v>
      </c>
      <c r="F1236" s="161" t="s">
        <v>1807</v>
      </c>
      <c r="G1236" s="161">
        <v>8</v>
      </c>
      <c r="H1236" s="161">
        <v>2</v>
      </c>
      <c r="I1236" s="161">
        <v>11.2</v>
      </c>
      <c r="J1236" s="161">
        <v>82.2</v>
      </c>
      <c r="K1236" s="161"/>
      <c r="L1236" s="163">
        <v>-0.85</v>
      </c>
      <c r="M1236" s="163">
        <v>-2.15</v>
      </c>
      <c r="N1236" s="161">
        <v>0.49</v>
      </c>
      <c r="O1236" s="164" t="s">
        <v>1760</v>
      </c>
    </row>
    <row r="1237" spans="1:15" ht="43.2">
      <c r="A1237" s="161" t="s">
        <v>3572</v>
      </c>
      <c r="B1237" s="161" t="s">
        <v>1752</v>
      </c>
      <c r="C1237" s="161" t="s">
        <v>1755</v>
      </c>
      <c r="D1237" s="162">
        <v>44474</v>
      </c>
      <c r="E1237" s="161" t="s">
        <v>2963</v>
      </c>
      <c r="F1237" s="161" t="s">
        <v>1807</v>
      </c>
      <c r="G1237" s="161">
        <v>3</v>
      </c>
      <c r="H1237" s="161">
        <v>2</v>
      </c>
      <c r="I1237" s="161">
        <v>7.2</v>
      </c>
      <c r="J1237" s="161">
        <v>66.5</v>
      </c>
      <c r="K1237" s="161"/>
      <c r="L1237" s="163">
        <v>-1.83</v>
      </c>
      <c r="M1237" s="163">
        <v>-2.2400000000000002</v>
      </c>
      <c r="N1237" s="161">
        <v>-0.7</v>
      </c>
      <c r="O1237" s="164" t="s">
        <v>1760</v>
      </c>
    </row>
    <row r="1238" spans="1:15" ht="43.2">
      <c r="A1238" s="161" t="s">
        <v>3573</v>
      </c>
      <c r="B1238" s="161" t="s">
        <v>1743</v>
      </c>
      <c r="C1238" s="161" t="s">
        <v>1749</v>
      </c>
      <c r="D1238" s="162">
        <v>43604</v>
      </c>
      <c r="E1238" s="161" t="s">
        <v>3262</v>
      </c>
      <c r="F1238" s="161" t="s">
        <v>1807</v>
      </c>
      <c r="G1238" s="161">
        <v>7</v>
      </c>
      <c r="H1238" s="161">
        <v>1</v>
      </c>
      <c r="I1238" s="161">
        <v>8.9</v>
      </c>
      <c r="J1238" s="161">
        <v>87.2</v>
      </c>
      <c r="K1238" s="161"/>
      <c r="L1238" s="163">
        <v>-3.7</v>
      </c>
      <c r="M1238" s="163">
        <v>-2.25</v>
      </c>
      <c r="N1238" s="161">
        <v>-3.46</v>
      </c>
      <c r="O1238" s="164" t="s">
        <v>1790</v>
      </c>
    </row>
    <row r="1239" spans="1:15" ht="43.2">
      <c r="A1239" s="161" t="s">
        <v>3574</v>
      </c>
      <c r="B1239" s="161" t="s">
        <v>1743</v>
      </c>
      <c r="C1239" s="161" t="s">
        <v>1755</v>
      </c>
      <c r="D1239" s="162">
        <v>44443</v>
      </c>
      <c r="E1239" s="161" t="s">
        <v>3575</v>
      </c>
      <c r="F1239" s="161" t="s">
        <v>1807</v>
      </c>
      <c r="G1239" s="161">
        <v>3</v>
      </c>
      <c r="H1239" s="161">
        <v>3</v>
      </c>
      <c r="I1239" s="161">
        <v>8.5</v>
      </c>
      <c r="J1239" s="161">
        <v>62.6</v>
      </c>
      <c r="K1239" s="161"/>
      <c r="L1239" s="163">
        <v>0.1</v>
      </c>
      <c r="M1239" s="163">
        <v>-3.44</v>
      </c>
      <c r="N1239" s="161">
        <v>2.76</v>
      </c>
      <c r="O1239" s="164" t="s">
        <v>2078</v>
      </c>
    </row>
    <row r="1240" spans="1:15" ht="43.2">
      <c r="A1240" s="161" t="s">
        <v>3576</v>
      </c>
      <c r="B1240" s="161" t="s">
        <v>1743</v>
      </c>
      <c r="C1240" s="161" t="s">
        <v>1744</v>
      </c>
      <c r="D1240" s="162">
        <v>44145</v>
      </c>
      <c r="E1240" s="161" t="s">
        <v>3577</v>
      </c>
      <c r="F1240" s="161" t="s">
        <v>1807</v>
      </c>
      <c r="G1240" s="161">
        <v>7</v>
      </c>
      <c r="H1240" s="161">
        <v>1</v>
      </c>
      <c r="I1240" s="161">
        <v>12.2</v>
      </c>
      <c r="J1240" s="161">
        <v>73.8</v>
      </c>
      <c r="K1240" s="161"/>
      <c r="L1240" s="163">
        <v>1.17</v>
      </c>
      <c r="M1240" s="163">
        <v>-2.8</v>
      </c>
      <c r="N1240" s="161">
        <v>3.29</v>
      </c>
      <c r="O1240" s="164" t="s">
        <v>2170</v>
      </c>
    </row>
    <row r="1241" spans="1:15" ht="57.6">
      <c r="A1241" s="161" t="s">
        <v>3578</v>
      </c>
      <c r="B1241" s="161" t="s">
        <v>1752</v>
      </c>
      <c r="C1241" s="161" t="s">
        <v>1755</v>
      </c>
      <c r="D1241" s="162">
        <v>44475</v>
      </c>
      <c r="E1241" s="161" t="s">
        <v>2611</v>
      </c>
      <c r="F1241" s="161" t="s">
        <v>1807</v>
      </c>
      <c r="G1241" s="161">
        <v>1</v>
      </c>
      <c r="H1241" s="161">
        <v>4</v>
      </c>
      <c r="I1241" s="161">
        <v>7.5</v>
      </c>
      <c r="J1241" s="161">
        <v>65</v>
      </c>
      <c r="K1241" s="161"/>
      <c r="L1241" s="163">
        <v>-1.36</v>
      </c>
      <c r="M1241" s="163">
        <v>-2.72</v>
      </c>
      <c r="N1241" s="161">
        <v>0.38</v>
      </c>
      <c r="O1241" s="164" t="s">
        <v>1760</v>
      </c>
    </row>
    <row r="1242" spans="1:15" ht="43.2">
      <c r="A1242" s="161" t="s">
        <v>3579</v>
      </c>
      <c r="B1242" s="161" t="s">
        <v>1752</v>
      </c>
      <c r="C1242" s="161" t="s">
        <v>2055</v>
      </c>
      <c r="D1242" s="162">
        <v>44729</v>
      </c>
      <c r="E1242" s="161" t="s">
        <v>2953</v>
      </c>
      <c r="F1242" s="161" t="s">
        <v>1807</v>
      </c>
      <c r="G1242" s="161">
        <v>8</v>
      </c>
      <c r="H1242" s="161">
        <v>3</v>
      </c>
      <c r="I1242" s="161">
        <v>3</v>
      </c>
      <c r="J1242" s="161">
        <v>48</v>
      </c>
      <c r="K1242" s="161"/>
      <c r="L1242" s="163">
        <v>-1.78</v>
      </c>
      <c r="M1242" s="163">
        <v>-2.14</v>
      </c>
      <c r="N1242" s="161">
        <v>-0.27</v>
      </c>
      <c r="O1242" s="164" t="s">
        <v>1760</v>
      </c>
    </row>
    <row r="1243" spans="1:15" ht="43.2">
      <c r="A1243" s="161" t="s">
        <v>3580</v>
      </c>
      <c r="B1243" s="161" t="s">
        <v>1752</v>
      </c>
      <c r="C1243" s="161" t="s">
        <v>1779</v>
      </c>
      <c r="D1243" s="162">
        <v>43198</v>
      </c>
      <c r="E1243" s="161" t="s">
        <v>3581</v>
      </c>
      <c r="F1243" s="161" t="s">
        <v>1807</v>
      </c>
      <c r="G1243" s="161">
        <v>4</v>
      </c>
      <c r="H1243" s="161">
        <v>1</v>
      </c>
      <c r="I1243" s="161">
        <v>13.5</v>
      </c>
      <c r="J1243" s="161">
        <v>96</v>
      </c>
      <c r="K1243" s="161"/>
      <c r="L1243" s="163">
        <v>-1.7</v>
      </c>
      <c r="M1243" s="163">
        <v>-2.0299999999999998</v>
      </c>
      <c r="N1243" s="161">
        <v>-0.72</v>
      </c>
      <c r="O1243" s="164" t="s">
        <v>1760</v>
      </c>
    </row>
    <row r="1244" spans="1:15" ht="43.2">
      <c r="A1244" s="161" t="s">
        <v>3582</v>
      </c>
      <c r="B1244" s="161" t="s">
        <v>1752</v>
      </c>
      <c r="C1244" s="161" t="s">
        <v>2055</v>
      </c>
      <c r="D1244" s="162">
        <v>44723</v>
      </c>
      <c r="E1244" s="161" t="s">
        <v>3583</v>
      </c>
      <c r="F1244" s="161" t="s">
        <v>1807</v>
      </c>
      <c r="G1244" s="161">
        <v>7</v>
      </c>
      <c r="H1244" s="161">
        <v>1</v>
      </c>
      <c r="I1244" s="161">
        <v>2.8</v>
      </c>
      <c r="J1244" s="161">
        <v>47</v>
      </c>
      <c r="K1244" s="161"/>
      <c r="L1244" s="163">
        <v>-1.76</v>
      </c>
      <c r="M1244" s="163">
        <v>-2.16</v>
      </c>
      <c r="N1244" s="161">
        <v>-0.37</v>
      </c>
      <c r="O1244" s="164" t="s">
        <v>1760</v>
      </c>
    </row>
    <row r="1245" spans="1:15" ht="43.2">
      <c r="A1245" s="161" t="s">
        <v>3584</v>
      </c>
      <c r="B1245" s="161" t="s">
        <v>1752</v>
      </c>
      <c r="C1245" s="161" t="s">
        <v>2055</v>
      </c>
      <c r="D1245" s="162">
        <v>44731</v>
      </c>
      <c r="E1245" s="161" t="s">
        <v>2951</v>
      </c>
      <c r="F1245" s="161" t="s">
        <v>1807</v>
      </c>
      <c r="G1245" s="161">
        <v>2</v>
      </c>
      <c r="H1245" s="161">
        <v>4</v>
      </c>
      <c r="I1245" s="161">
        <v>4.8</v>
      </c>
      <c r="J1245" s="161">
        <v>48</v>
      </c>
      <c r="K1245" s="161"/>
      <c r="L1245" s="163">
        <v>1.4</v>
      </c>
      <c r="M1245" s="163">
        <v>-2.29</v>
      </c>
      <c r="N1245" s="161">
        <v>4.91</v>
      </c>
      <c r="O1245" s="164" t="s">
        <v>2170</v>
      </c>
    </row>
    <row r="1246" spans="1:15" ht="43.2">
      <c r="A1246" s="161" t="s">
        <v>3585</v>
      </c>
      <c r="B1246" s="161" t="s">
        <v>1752</v>
      </c>
      <c r="C1246" s="161" t="s">
        <v>2055</v>
      </c>
      <c r="D1246" s="162">
        <v>44737</v>
      </c>
      <c r="E1246" s="161" t="s">
        <v>2968</v>
      </c>
      <c r="F1246" s="161" t="s">
        <v>1807</v>
      </c>
      <c r="G1246" s="161">
        <v>3</v>
      </c>
      <c r="H1246" s="161">
        <v>1</v>
      </c>
      <c r="I1246" s="161">
        <v>2.8</v>
      </c>
      <c r="J1246" s="161">
        <v>47</v>
      </c>
      <c r="K1246" s="161"/>
      <c r="L1246" s="163">
        <v>-2.9</v>
      </c>
      <c r="M1246" s="163">
        <v>-3.24</v>
      </c>
      <c r="N1246" s="161">
        <v>-0.37</v>
      </c>
      <c r="O1246" s="164" t="s">
        <v>1760</v>
      </c>
    </row>
    <row r="1247" spans="1:15" ht="72">
      <c r="A1247" s="161" t="s">
        <v>3586</v>
      </c>
      <c r="B1247" s="161" t="s">
        <v>1752</v>
      </c>
      <c r="C1247" s="161" t="s">
        <v>1786</v>
      </c>
      <c r="D1247" s="162">
        <v>43298</v>
      </c>
      <c r="E1247" s="161" t="s">
        <v>2970</v>
      </c>
      <c r="F1247" s="161" t="s">
        <v>1746</v>
      </c>
      <c r="G1247" s="161">
        <v>5</v>
      </c>
      <c r="H1247" s="161">
        <v>3</v>
      </c>
      <c r="I1247" s="161">
        <v>9</v>
      </c>
      <c r="J1247" s="161">
        <v>84.2</v>
      </c>
      <c r="K1247" s="161"/>
      <c r="L1247" s="163">
        <v>-4.46</v>
      </c>
      <c r="M1247" s="163">
        <v>-4.45</v>
      </c>
      <c r="N1247" s="161">
        <v>-3.1</v>
      </c>
      <c r="O1247" s="164" t="s">
        <v>1790</v>
      </c>
    </row>
    <row r="1248" spans="1:15" ht="43.2">
      <c r="A1248" s="161" t="s">
        <v>3587</v>
      </c>
      <c r="B1248" s="161" t="s">
        <v>1743</v>
      </c>
      <c r="C1248" s="161" t="s">
        <v>1779</v>
      </c>
      <c r="D1248" s="162">
        <v>43191</v>
      </c>
      <c r="E1248" s="161" t="s">
        <v>3438</v>
      </c>
      <c r="F1248" s="161" t="s">
        <v>1746</v>
      </c>
      <c r="G1248" s="161">
        <v>4</v>
      </c>
      <c r="H1248" s="161">
        <v>6</v>
      </c>
      <c r="I1248" s="161">
        <v>9.1999999999999993</v>
      </c>
      <c r="J1248" s="161">
        <v>86.7</v>
      </c>
      <c r="K1248" s="161"/>
      <c r="L1248" s="163">
        <v>-4.29</v>
      </c>
      <c r="M1248" s="163">
        <v>-4.12</v>
      </c>
      <c r="N1248" s="161">
        <v>-2.77</v>
      </c>
      <c r="O1248" s="164" t="s">
        <v>1747</v>
      </c>
    </row>
    <row r="1249" spans="1:15" ht="28.8">
      <c r="A1249" s="161" t="s">
        <v>3588</v>
      </c>
      <c r="B1249" s="161" t="s">
        <v>1743</v>
      </c>
      <c r="C1249" s="161" t="s">
        <v>1749</v>
      </c>
      <c r="D1249" s="162">
        <v>43645</v>
      </c>
      <c r="E1249" s="161" t="s">
        <v>2354</v>
      </c>
      <c r="F1249" s="161" t="s">
        <v>1746</v>
      </c>
      <c r="G1249" s="161">
        <v>1</v>
      </c>
      <c r="H1249" s="161">
        <v>7</v>
      </c>
      <c r="I1249" s="161">
        <v>8.9</v>
      </c>
      <c r="J1249" s="161">
        <v>83</v>
      </c>
      <c r="K1249" s="161"/>
      <c r="L1249" s="163">
        <v>-3.55</v>
      </c>
      <c r="M1249" s="163">
        <v>-3.27</v>
      </c>
      <c r="N1249" s="161">
        <v>-2.19</v>
      </c>
      <c r="O1249" s="164" t="s">
        <v>1747</v>
      </c>
    </row>
    <row r="1250" spans="1:15" ht="28.8">
      <c r="A1250" s="161" t="s">
        <v>3589</v>
      </c>
      <c r="B1250" s="161" t="s">
        <v>1743</v>
      </c>
      <c r="C1250" s="161" t="s">
        <v>1779</v>
      </c>
      <c r="D1250" s="162">
        <v>43180</v>
      </c>
      <c r="E1250" s="161" t="s">
        <v>1764</v>
      </c>
      <c r="F1250" s="161" t="s">
        <v>1746</v>
      </c>
      <c r="G1250" s="161">
        <v>4</v>
      </c>
      <c r="H1250" s="161">
        <v>7</v>
      </c>
      <c r="I1250" s="161">
        <v>12.6</v>
      </c>
      <c r="J1250" s="161">
        <v>94</v>
      </c>
      <c r="K1250" s="161"/>
      <c r="L1250" s="163">
        <v>-2.0299999999999998</v>
      </c>
      <c r="M1250" s="163">
        <v>-2.34</v>
      </c>
      <c r="N1250" s="161">
        <v>-0.9</v>
      </c>
      <c r="O1250" s="164" t="s">
        <v>1760</v>
      </c>
    </row>
    <row r="1251" spans="1:15" ht="43.2">
      <c r="A1251" s="161" t="s">
        <v>3590</v>
      </c>
      <c r="B1251" s="161" t="s">
        <v>1752</v>
      </c>
      <c r="C1251" s="161" t="s">
        <v>1744</v>
      </c>
      <c r="D1251" s="162">
        <v>43986</v>
      </c>
      <c r="E1251" s="161" t="s">
        <v>2376</v>
      </c>
      <c r="F1251" s="161" t="s">
        <v>1746</v>
      </c>
      <c r="G1251" s="161">
        <v>4</v>
      </c>
      <c r="H1251" s="161">
        <v>1</v>
      </c>
      <c r="I1251" s="161">
        <v>12.9</v>
      </c>
      <c r="J1251" s="161">
        <v>80.599999999999994</v>
      </c>
      <c r="K1251" s="161"/>
      <c r="L1251" s="163">
        <v>0.49</v>
      </c>
      <c r="M1251" s="163">
        <v>-2.42</v>
      </c>
      <c r="N1251" s="161">
        <v>2.33</v>
      </c>
      <c r="O1251" s="164" t="s">
        <v>2078</v>
      </c>
    </row>
    <row r="1252" spans="1:15" ht="43.2">
      <c r="A1252" s="161" t="s">
        <v>3591</v>
      </c>
      <c r="B1252" s="161" t="s">
        <v>1743</v>
      </c>
      <c r="C1252" s="161" t="s">
        <v>1755</v>
      </c>
      <c r="D1252" s="162">
        <v>44329</v>
      </c>
      <c r="E1252" s="161" t="s">
        <v>3592</v>
      </c>
      <c r="F1252" s="161" t="s">
        <v>1746</v>
      </c>
      <c r="G1252" s="161">
        <v>1</v>
      </c>
      <c r="H1252" s="161">
        <v>7</v>
      </c>
      <c r="I1252" s="161">
        <v>10</v>
      </c>
      <c r="J1252" s="161">
        <v>70</v>
      </c>
      <c r="K1252" s="161"/>
      <c r="L1252" s="163">
        <v>0.68</v>
      </c>
      <c r="M1252" s="163">
        <v>-2.0299999999999998</v>
      </c>
      <c r="N1252" s="161">
        <v>2.15</v>
      </c>
      <c r="O1252" s="164" t="s">
        <v>2078</v>
      </c>
    </row>
    <row r="1253" spans="1:15" ht="43.2">
      <c r="A1253" s="161" t="s">
        <v>3593</v>
      </c>
      <c r="B1253" s="161" t="s">
        <v>1743</v>
      </c>
      <c r="C1253" s="161" t="s">
        <v>1755</v>
      </c>
      <c r="D1253" s="162">
        <v>44319</v>
      </c>
      <c r="E1253" s="161" t="s">
        <v>2398</v>
      </c>
      <c r="F1253" s="161" t="s">
        <v>1769</v>
      </c>
      <c r="G1253" s="161">
        <v>4</v>
      </c>
      <c r="H1253" s="161">
        <v>1</v>
      </c>
      <c r="I1253" s="161">
        <v>9.5</v>
      </c>
      <c r="J1253" s="161">
        <v>65</v>
      </c>
      <c r="K1253" s="161"/>
      <c r="L1253" s="163">
        <v>0.2</v>
      </c>
      <c r="M1253" s="163">
        <v>-4.04</v>
      </c>
      <c r="N1253" s="161">
        <v>3.05</v>
      </c>
      <c r="O1253" s="164" t="s">
        <v>2170</v>
      </c>
    </row>
    <row r="1254" spans="1:15" ht="57.6">
      <c r="A1254" s="161" t="s">
        <v>3594</v>
      </c>
      <c r="B1254" s="161" t="s">
        <v>1743</v>
      </c>
      <c r="C1254" s="161" t="s">
        <v>2055</v>
      </c>
      <c r="D1254" s="162">
        <v>44735</v>
      </c>
      <c r="E1254" s="161" t="s">
        <v>3456</v>
      </c>
      <c r="F1254" s="161" t="s">
        <v>1769</v>
      </c>
      <c r="G1254" s="161">
        <v>2</v>
      </c>
      <c r="H1254" s="161">
        <v>1</v>
      </c>
      <c r="I1254" s="161">
        <v>4.8</v>
      </c>
      <c r="J1254" s="161">
        <v>48</v>
      </c>
      <c r="K1254" s="161"/>
      <c r="L1254" s="163">
        <v>1.49</v>
      </c>
      <c r="M1254" s="163">
        <v>-2.09</v>
      </c>
      <c r="N1254" s="161">
        <v>4.72</v>
      </c>
      <c r="O1254" s="164" t="s">
        <v>2170</v>
      </c>
    </row>
    <row r="1255" spans="1:15" ht="43.2">
      <c r="A1255" s="161" t="s">
        <v>3595</v>
      </c>
      <c r="B1255" s="161" t="s">
        <v>1743</v>
      </c>
      <c r="C1255" s="161" t="s">
        <v>1744</v>
      </c>
      <c r="D1255" s="162">
        <v>43956</v>
      </c>
      <c r="E1255" s="161" t="s">
        <v>3459</v>
      </c>
      <c r="F1255" s="161" t="s">
        <v>1769</v>
      </c>
      <c r="G1255" s="161">
        <v>1</v>
      </c>
      <c r="H1255" s="161">
        <v>2</v>
      </c>
      <c r="I1255" s="161">
        <v>10.5</v>
      </c>
      <c r="J1255" s="161">
        <v>86</v>
      </c>
      <c r="K1255" s="161">
        <v>15</v>
      </c>
      <c r="L1255" s="163">
        <v>-2.37</v>
      </c>
      <c r="M1255" s="163">
        <v>-2.56</v>
      </c>
      <c r="N1255" s="161">
        <v>-1.19</v>
      </c>
      <c r="O1255" s="164" t="s">
        <v>1760</v>
      </c>
    </row>
    <row r="1256" spans="1:15" ht="43.2">
      <c r="A1256" s="161" t="s">
        <v>3596</v>
      </c>
      <c r="B1256" s="161" t="s">
        <v>1752</v>
      </c>
      <c r="C1256" s="161" t="s">
        <v>1744</v>
      </c>
      <c r="D1256" s="162">
        <v>44112</v>
      </c>
      <c r="E1256" s="161" t="s">
        <v>2158</v>
      </c>
      <c r="F1256" s="161" t="s">
        <v>1769</v>
      </c>
      <c r="G1256" s="161">
        <v>1</v>
      </c>
      <c r="H1256" s="161">
        <v>2</v>
      </c>
      <c r="I1256" s="161">
        <v>10</v>
      </c>
      <c r="J1256" s="161">
        <v>84</v>
      </c>
      <c r="K1256" s="161">
        <v>13</v>
      </c>
      <c r="L1256" s="163">
        <v>-2.65</v>
      </c>
      <c r="M1256" s="163">
        <v>-2.69</v>
      </c>
      <c r="N1256" s="161">
        <v>-1.67</v>
      </c>
      <c r="O1256" s="164" t="s">
        <v>1760</v>
      </c>
    </row>
    <row r="1257" spans="1:15" ht="43.2">
      <c r="A1257" s="161" t="s">
        <v>3597</v>
      </c>
      <c r="B1257" s="161" t="s">
        <v>1743</v>
      </c>
      <c r="C1257" s="161" t="s">
        <v>1749</v>
      </c>
      <c r="D1257" s="162">
        <v>43664</v>
      </c>
      <c r="E1257" s="161" t="s">
        <v>2999</v>
      </c>
      <c r="F1257" s="161" t="s">
        <v>1769</v>
      </c>
      <c r="G1257" s="161">
        <v>8</v>
      </c>
      <c r="H1257" s="161">
        <v>5</v>
      </c>
      <c r="I1257" s="161">
        <v>11.2</v>
      </c>
      <c r="J1257" s="161">
        <v>91</v>
      </c>
      <c r="K1257" s="161">
        <v>15</v>
      </c>
      <c r="L1257" s="163">
        <v>-2.67</v>
      </c>
      <c r="M1257" s="163">
        <v>-2.59</v>
      </c>
      <c r="N1257" s="161">
        <v>-1.62</v>
      </c>
      <c r="O1257" s="164" t="s">
        <v>1760</v>
      </c>
    </row>
    <row r="1258" spans="1:15" ht="43.2">
      <c r="A1258" s="161" t="s">
        <v>3598</v>
      </c>
      <c r="B1258" s="161" t="s">
        <v>1752</v>
      </c>
      <c r="C1258" s="161" t="s">
        <v>1749</v>
      </c>
      <c r="D1258" s="162">
        <v>43647</v>
      </c>
      <c r="E1258" s="161" t="s">
        <v>2412</v>
      </c>
      <c r="F1258" s="161" t="s">
        <v>1769</v>
      </c>
      <c r="G1258" s="161">
        <v>4</v>
      </c>
      <c r="H1258" s="161">
        <v>8</v>
      </c>
      <c r="I1258" s="161">
        <v>12.6</v>
      </c>
      <c r="J1258" s="161">
        <v>94.4</v>
      </c>
      <c r="K1258" s="161">
        <v>15</v>
      </c>
      <c r="L1258" s="163">
        <v>-2</v>
      </c>
      <c r="M1258" s="163">
        <v>-2.19</v>
      </c>
      <c r="N1258" s="161">
        <v>-1.1000000000000001</v>
      </c>
      <c r="O1258" s="164" t="s">
        <v>1760</v>
      </c>
    </row>
    <row r="1259" spans="1:15" ht="43.2">
      <c r="A1259" s="161" t="s">
        <v>3599</v>
      </c>
      <c r="B1259" s="161" t="s">
        <v>1743</v>
      </c>
      <c r="C1259" s="161" t="s">
        <v>1744</v>
      </c>
      <c r="D1259" s="162">
        <v>44125</v>
      </c>
      <c r="E1259" s="161" t="s">
        <v>1924</v>
      </c>
      <c r="F1259" s="161" t="s">
        <v>1769</v>
      </c>
      <c r="G1259" s="161">
        <v>4</v>
      </c>
      <c r="H1259" s="161">
        <v>8</v>
      </c>
      <c r="I1259" s="161">
        <v>9.1</v>
      </c>
      <c r="J1259" s="161">
        <v>84.5</v>
      </c>
      <c r="K1259" s="161"/>
      <c r="L1259" s="163">
        <v>-3.01</v>
      </c>
      <c r="M1259" s="163">
        <v>-2.08</v>
      </c>
      <c r="N1259" s="161">
        <v>-2.5</v>
      </c>
      <c r="O1259" s="164" t="s">
        <v>1747</v>
      </c>
    </row>
    <row r="1260" spans="1:15" ht="43.2">
      <c r="A1260" s="161" t="s">
        <v>3600</v>
      </c>
      <c r="B1260" s="161" t="s">
        <v>1743</v>
      </c>
      <c r="C1260" s="161" t="s">
        <v>2055</v>
      </c>
      <c r="D1260" s="162">
        <v>44768</v>
      </c>
      <c r="E1260" s="161" t="s">
        <v>1771</v>
      </c>
      <c r="F1260" s="161" t="s">
        <v>1769</v>
      </c>
      <c r="G1260" s="161">
        <v>2</v>
      </c>
      <c r="H1260" s="161">
        <v>8</v>
      </c>
      <c r="I1260" s="161">
        <v>5</v>
      </c>
      <c r="J1260" s="161">
        <v>66.5</v>
      </c>
      <c r="K1260" s="161"/>
      <c r="L1260" s="163">
        <v>-4.38</v>
      </c>
      <c r="M1260" s="163">
        <v>-2.25</v>
      </c>
      <c r="N1260" s="161">
        <v>-4.4400000000000004</v>
      </c>
      <c r="O1260" s="164" t="s">
        <v>1790</v>
      </c>
    </row>
    <row r="1261" spans="1:15" ht="43.2">
      <c r="A1261" s="161" t="s">
        <v>3601</v>
      </c>
      <c r="B1261" s="161" t="s">
        <v>1743</v>
      </c>
      <c r="C1261" s="161" t="s">
        <v>1744</v>
      </c>
      <c r="D1261" s="162">
        <v>44256</v>
      </c>
      <c r="E1261" s="161" t="s">
        <v>3463</v>
      </c>
      <c r="F1261" s="161" t="s">
        <v>1769</v>
      </c>
      <c r="G1261" s="161">
        <v>2</v>
      </c>
      <c r="H1261" s="161">
        <v>10</v>
      </c>
      <c r="I1261" s="161">
        <v>9</v>
      </c>
      <c r="J1261" s="161">
        <v>78</v>
      </c>
      <c r="K1261" s="161">
        <v>15</v>
      </c>
      <c r="L1261" s="163">
        <v>-2.5499999999999998</v>
      </c>
      <c r="M1261" s="163">
        <v>-3.33</v>
      </c>
      <c r="N1261" s="161">
        <v>-0.85</v>
      </c>
      <c r="O1261" s="164" t="s">
        <v>1760</v>
      </c>
    </row>
    <row r="1262" spans="1:15" ht="43.2">
      <c r="A1262" s="161" t="s">
        <v>3602</v>
      </c>
      <c r="B1262" s="161" t="s">
        <v>1743</v>
      </c>
      <c r="C1262" s="161" t="s">
        <v>1749</v>
      </c>
      <c r="D1262" s="162">
        <v>43700</v>
      </c>
      <c r="E1262" s="161" t="s">
        <v>2219</v>
      </c>
      <c r="F1262" s="161" t="s">
        <v>1769</v>
      </c>
      <c r="G1262" s="161">
        <v>1</v>
      </c>
      <c r="H1262" s="161">
        <v>11</v>
      </c>
      <c r="I1262" s="161">
        <v>11.2</v>
      </c>
      <c r="J1262" s="161">
        <v>87.2</v>
      </c>
      <c r="K1262" s="161">
        <v>15</v>
      </c>
      <c r="L1262" s="163">
        <v>-2.59</v>
      </c>
      <c r="M1262" s="163">
        <v>-3.36</v>
      </c>
      <c r="N1262" s="161">
        <v>-0.73</v>
      </c>
      <c r="O1262" s="164" t="s">
        <v>1760</v>
      </c>
    </row>
    <row r="1263" spans="1:15" ht="43.2">
      <c r="A1263" s="161" t="s">
        <v>3603</v>
      </c>
      <c r="B1263" s="161" t="s">
        <v>1743</v>
      </c>
      <c r="C1263" s="161" t="s">
        <v>1786</v>
      </c>
      <c r="D1263" s="162">
        <v>43293</v>
      </c>
      <c r="E1263" s="161" t="s">
        <v>2408</v>
      </c>
      <c r="F1263" s="161" t="s">
        <v>1769</v>
      </c>
      <c r="G1263" s="161">
        <v>8</v>
      </c>
      <c r="H1263" s="161">
        <v>1</v>
      </c>
      <c r="I1263" s="161">
        <v>12.1</v>
      </c>
      <c r="J1263" s="161">
        <v>92.3</v>
      </c>
      <c r="K1263" s="161">
        <v>16</v>
      </c>
      <c r="L1263" s="163">
        <v>-2.91</v>
      </c>
      <c r="M1263" s="163">
        <v>-3.52</v>
      </c>
      <c r="N1263" s="161">
        <v>-1</v>
      </c>
      <c r="O1263" s="164" t="s">
        <v>1760</v>
      </c>
    </row>
    <row r="1264" spans="1:15" ht="72">
      <c r="A1264" s="161" t="s">
        <v>3604</v>
      </c>
      <c r="B1264" s="161" t="s">
        <v>1752</v>
      </c>
      <c r="C1264" s="161" t="s">
        <v>1749</v>
      </c>
      <c r="D1264" s="162">
        <v>43717</v>
      </c>
      <c r="E1264" s="161" t="s">
        <v>2885</v>
      </c>
      <c r="F1264" s="161" t="s">
        <v>1774</v>
      </c>
      <c r="G1264" s="161">
        <v>4</v>
      </c>
      <c r="H1264" s="161">
        <v>7</v>
      </c>
      <c r="I1264" s="161">
        <v>10.5</v>
      </c>
      <c r="J1264" s="161">
        <v>85.5</v>
      </c>
      <c r="K1264" s="161"/>
      <c r="L1264" s="163">
        <v>-3.32</v>
      </c>
      <c r="M1264" s="163">
        <v>-4.13</v>
      </c>
      <c r="N1264" s="161">
        <v>-1.27</v>
      </c>
      <c r="O1264" s="164" t="s">
        <v>1760</v>
      </c>
    </row>
    <row r="1265" spans="1:15" ht="43.2">
      <c r="A1265" s="161" t="s">
        <v>3605</v>
      </c>
      <c r="B1265" s="161" t="s">
        <v>1752</v>
      </c>
      <c r="C1265" s="161" t="s">
        <v>1749</v>
      </c>
      <c r="D1265" s="162">
        <v>43669</v>
      </c>
      <c r="E1265" s="161" t="s">
        <v>3143</v>
      </c>
      <c r="F1265" s="161" t="s">
        <v>1774</v>
      </c>
      <c r="G1265" s="161">
        <v>2</v>
      </c>
      <c r="H1265" s="161">
        <v>5</v>
      </c>
      <c r="I1265" s="161">
        <v>10.9</v>
      </c>
      <c r="J1265" s="161">
        <v>90.5</v>
      </c>
      <c r="K1265" s="161"/>
      <c r="L1265" s="163">
        <v>-3.14</v>
      </c>
      <c r="M1265" s="163">
        <v>-3.08</v>
      </c>
      <c r="N1265" s="161">
        <v>-2.1</v>
      </c>
      <c r="O1265" s="164" t="s">
        <v>1747</v>
      </c>
    </row>
    <row r="1266" spans="1:15" ht="43.2">
      <c r="A1266" s="161" t="s">
        <v>3606</v>
      </c>
      <c r="B1266" s="161" t="s">
        <v>1743</v>
      </c>
      <c r="C1266" s="161" t="s">
        <v>1744</v>
      </c>
      <c r="D1266" s="162">
        <v>44312</v>
      </c>
      <c r="E1266" s="161" t="s">
        <v>3040</v>
      </c>
      <c r="F1266" s="161" t="s">
        <v>1774</v>
      </c>
      <c r="G1266" s="161">
        <v>1</v>
      </c>
      <c r="H1266" s="161">
        <v>8</v>
      </c>
      <c r="I1266" s="161">
        <v>7.4</v>
      </c>
      <c r="J1266" s="161">
        <v>76.5</v>
      </c>
      <c r="K1266" s="161"/>
      <c r="L1266" s="163">
        <v>-3.89</v>
      </c>
      <c r="M1266" s="163">
        <v>-3.4</v>
      </c>
      <c r="N1266" s="161">
        <v>-2.82</v>
      </c>
      <c r="O1266" s="164" t="s">
        <v>1747</v>
      </c>
    </row>
    <row r="1267" spans="1:15" ht="43.2">
      <c r="A1267" s="161" t="s">
        <v>3607</v>
      </c>
      <c r="B1267" s="161" t="s">
        <v>1752</v>
      </c>
      <c r="C1267" s="161" t="s">
        <v>1786</v>
      </c>
      <c r="D1267" s="162">
        <v>43334</v>
      </c>
      <c r="E1267" s="161" t="s">
        <v>2509</v>
      </c>
      <c r="F1267" s="161" t="s">
        <v>1777</v>
      </c>
      <c r="G1267" s="161">
        <v>2</v>
      </c>
      <c r="H1267" s="161">
        <v>10</v>
      </c>
      <c r="I1267" s="161">
        <v>12.8</v>
      </c>
      <c r="J1267" s="161">
        <v>95</v>
      </c>
      <c r="K1267" s="161"/>
      <c r="L1267" s="163">
        <v>-2.59</v>
      </c>
      <c r="M1267" s="163">
        <v>-3.01</v>
      </c>
      <c r="N1267" s="161">
        <v>-1.18</v>
      </c>
      <c r="O1267" s="164" t="s">
        <v>1760</v>
      </c>
    </row>
    <row r="1268" spans="1:15" ht="43.2">
      <c r="A1268" s="161" t="s">
        <v>3608</v>
      </c>
      <c r="B1268" s="161" t="s">
        <v>1743</v>
      </c>
      <c r="C1268" s="161" t="s">
        <v>1755</v>
      </c>
      <c r="D1268" s="162">
        <v>44624</v>
      </c>
      <c r="E1268" s="161" t="s">
        <v>3157</v>
      </c>
      <c r="F1268" s="161" t="s">
        <v>1777</v>
      </c>
      <c r="G1268" s="161">
        <v>1</v>
      </c>
      <c r="H1268" s="161">
        <v>13</v>
      </c>
      <c r="I1268" s="161">
        <v>6.1</v>
      </c>
      <c r="J1268" s="161">
        <v>66.5</v>
      </c>
      <c r="K1268" s="161">
        <v>12</v>
      </c>
      <c r="L1268" s="163">
        <v>-3.78</v>
      </c>
      <c r="M1268" s="163">
        <v>-4.01</v>
      </c>
      <c r="N1268" s="161">
        <v>-2.23</v>
      </c>
      <c r="O1268" s="164" t="s">
        <v>1747</v>
      </c>
    </row>
    <row r="1269" spans="1:15" ht="43.2">
      <c r="A1269" s="161" t="s">
        <v>3609</v>
      </c>
      <c r="B1269" s="161" t="s">
        <v>1752</v>
      </c>
      <c r="C1269" s="161" t="s">
        <v>1749</v>
      </c>
      <c r="D1269" s="162">
        <v>43790</v>
      </c>
      <c r="E1269" s="161" t="s">
        <v>3478</v>
      </c>
      <c r="F1269" s="161" t="s">
        <v>1777</v>
      </c>
      <c r="G1269" s="161">
        <v>2</v>
      </c>
      <c r="H1269" s="161">
        <v>9</v>
      </c>
      <c r="I1269" s="161">
        <v>9.6</v>
      </c>
      <c r="J1269" s="161">
        <v>88.5</v>
      </c>
      <c r="K1269" s="161">
        <v>13</v>
      </c>
      <c r="L1269" s="163">
        <v>-3.79</v>
      </c>
      <c r="M1269" s="163">
        <v>-2.91</v>
      </c>
      <c r="N1269" s="161">
        <v>-3.43</v>
      </c>
      <c r="O1269" s="164" t="s">
        <v>1790</v>
      </c>
    </row>
    <row r="1270" spans="1:15" ht="43.2">
      <c r="A1270" s="161" t="s">
        <v>3610</v>
      </c>
      <c r="B1270" s="161" t="s">
        <v>1752</v>
      </c>
      <c r="C1270" s="161" t="s">
        <v>1744</v>
      </c>
      <c r="D1270" s="162">
        <v>44169</v>
      </c>
      <c r="E1270" s="161" t="s">
        <v>2898</v>
      </c>
      <c r="F1270" s="161" t="s">
        <v>1777</v>
      </c>
      <c r="G1270" s="161">
        <v>5</v>
      </c>
      <c r="H1270" s="161">
        <v>1</v>
      </c>
      <c r="I1270" s="161">
        <v>8.3000000000000007</v>
      </c>
      <c r="J1270" s="161">
        <v>80.5</v>
      </c>
      <c r="K1270" s="161">
        <v>13.5</v>
      </c>
      <c r="L1270" s="163">
        <v>-3.94</v>
      </c>
      <c r="M1270" s="163">
        <v>-3.39</v>
      </c>
      <c r="N1270" s="161">
        <v>-3.16</v>
      </c>
      <c r="O1270" s="164" t="s">
        <v>1790</v>
      </c>
    </row>
    <row r="1271" spans="1:15" ht="57.6">
      <c r="A1271" s="161" t="s">
        <v>3611</v>
      </c>
      <c r="B1271" s="161" t="s">
        <v>1743</v>
      </c>
      <c r="C1271" s="161" t="s">
        <v>1744</v>
      </c>
      <c r="D1271" s="162">
        <v>44104</v>
      </c>
      <c r="E1271" s="161" t="s">
        <v>3153</v>
      </c>
      <c r="F1271" s="161" t="s">
        <v>1777</v>
      </c>
      <c r="G1271" s="161">
        <v>4</v>
      </c>
      <c r="H1271" s="161">
        <v>2</v>
      </c>
      <c r="I1271" s="161">
        <v>8.8000000000000007</v>
      </c>
      <c r="J1271" s="161">
        <v>77.599999999999994</v>
      </c>
      <c r="K1271" s="161">
        <v>12.5</v>
      </c>
      <c r="L1271" s="163">
        <v>-3.34</v>
      </c>
      <c r="M1271" s="163">
        <v>-4.07</v>
      </c>
      <c r="N1271" s="161">
        <v>-1.18</v>
      </c>
      <c r="O1271" s="164" t="s">
        <v>1760</v>
      </c>
    </row>
    <row r="1272" spans="1:15" ht="43.2">
      <c r="A1272" s="161" t="s">
        <v>3612</v>
      </c>
      <c r="B1272" s="161" t="s">
        <v>1743</v>
      </c>
      <c r="C1272" s="161" t="s">
        <v>1755</v>
      </c>
      <c r="D1272" s="162">
        <v>44326</v>
      </c>
      <c r="E1272" s="161" t="s">
        <v>1891</v>
      </c>
      <c r="F1272" s="161" t="s">
        <v>1777</v>
      </c>
      <c r="G1272" s="161">
        <v>1</v>
      </c>
      <c r="H1272" s="161">
        <v>13</v>
      </c>
      <c r="I1272" s="161">
        <v>9.4</v>
      </c>
      <c r="J1272" s="161">
        <v>78.900000000000006</v>
      </c>
      <c r="K1272" s="161">
        <v>16</v>
      </c>
      <c r="L1272" s="163">
        <v>-1.78</v>
      </c>
      <c r="M1272" s="163">
        <v>-2.29</v>
      </c>
      <c r="N1272" s="161">
        <v>-0.71</v>
      </c>
      <c r="O1272" s="164" t="s">
        <v>1760</v>
      </c>
    </row>
    <row r="1273" spans="1:15" ht="43.2">
      <c r="A1273" s="161" t="s">
        <v>3613</v>
      </c>
      <c r="B1273" s="161" t="s">
        <v>1752</v>
      </c>
      <c r="C1273" s="161" t="s">
        <v>1749</v>
      </c>
      <c r="D1273" s="162">
        <v>43892</v>
      </c>
      <c r="E1273" s="161" t="s">
        <v>3379</v>
      </c>
      <c r="F1273" s="161" t="s">
        <v>1777</v>
      </c>
      <c r="G1273" s="161">
        <v>3</v>
      </c>
      <c r="H1273" s="161">
        <v>15</v>
      </c>
      <c r="I1273" s="161">
        <v>12</v>
      </c>
      <c r="J1273" s="161">
        <v>89</v>
      </c>
      <c r="K1273" s="161">
        <v>16</v>
      </c>
      <c r="L1273" s="163">
        <v>-1.78</v>
      </c>
      <c r="M1273" s="163">
        <v>-2.39</v>
      </c>
      <c r="N1273" s="161">
        <v>-0.66</v>
      </c>
      <c r="O1273" s="164" t="s">
        <v>1760</v>
      </c>
    </row>
    <row r="1274" spans="1:15" ht="57.6">
      <c r="A1274" s="161" t="s">
        <v>3614</v>
      </c>
      <c r="B1274" s="161" t="s">
        <v>1752</v>
      </c>
      <c r="C1274" s="161" t="s">
        <v>1744</v>
      </c>
      <c r="D1274" s="162">
        <v>44004</v>
      </c>
      <c r="E1274" s="161" t="s">
        <v>2569</v>
      </c>
      <c r="F1274" s="161" t="s">
        <v>2190</v>
      </c>
      <c r="G1274" s="161">
        <v>3</v>
      </c>
      <c r="H1274" s="161">
        <v>1</v>
      </c>
      <c r="I1274" s="161">
        <v>10.5</v>
      </c>
      <c r="J1274" s="161">
        <v>87.3</v>
      </c>
      <c r="K1274" s="161"/>
      <c r="L1274" s="163">
        <v>-2.5499999999999998</v>
      </c>
      <c r="M1274" s="163">
        <v>-2.4700000000000002</v>
      </c>
      <c r="N1274" s="161">
        <v>-1.76</v>
      </c>
      <c r="O1274" s="164" t="s">
        <v>1760</v>
      </c>
    </row>
    <row r="1275" spans="1:15" ht="43.2">
      <c r="A1275" s="161" t="s">
        <v>3615</v>
      </c>
      <c r="B1275" s="161" t="s">
        <v>1752</v>
      </c>
      <c r="C1275" s="161" t="s">
        <v>1744</v>
      </c>
      <c r="D1275" s="162">
        <v>44051</v>
      </c>
      <c r="E1275" s="161" t="s">
        <v>2777</v>
      </c>
      <c r="F1275" s="161" t="s">
        <v>2190</v>
      </c>
      <c r="G1275" s="161">
        <v>1</v>
      </c>
      <c r="H1275" s="161">
        <v>2</v>
      </c>
      <c r="I1275" s="161">
        <v>11</v>
      </c>
      <c r="J1275" s="161">
        <v>85.2</v>
      </c>
      <c r="K1275" s="161">
        <v>14</v>
      </c>
      <c r="L1275" s="163">
        <v>-2.0099999999999998</v>
      </c>
      <c r="M1275" s="163">
        <v>-2.62</v>
      </c>
      <c r="N1275" s="161">
        <v>-0.79</v>
      </c>
      <c r="O1275" s="164" t="s">
        <v>1760</v>
      </c>
    </row>
    <row r="1276" spans="1:15" ht="43.2">
      <c r="A1276" s="161" t="s">
        <v>3616</v>
      </c>
      <c r="B1276" s="161" t="s">
        <v>1752</v>
      </c>
      <c r="C1276" s="161" t="s">
        <v>1744</v>
      </c>
      <c r="D1276" s="162">
        <v>44217</v>
      </c>
      <c r="E1276" s="161" t="s">
        <v>2287</v>
      </c>
      <c r="F1276" s="161" t="s">
        <v>2190</v>
      </c>
      <c r="G1276" s="161">
        <v>5</v>
      </c>
      <c r="H1276" s="161">
        <v>2</v>
      </c>
      <c r="I1276" s="161">
        <v>14.1</v>
      </c>
      <c r="J1276" s="161">
        <v>83.5</v>
      </c>
      <c r="K1276" s="161"/>
      <c r="L1276" s="163">
        <v>0.69</v>
      </c>
      <c r="M1276" s="163">
        <v>-2.1800000000000002</v>
      </c>
      <c r="N1276" s="161">
        <v>2.58</v>
      </c>
      <c r="O1276" s="164" t="s">
        <v>2078</v>
      </c>
    </row>
    <row r="1277" spans="1:15" ht="43.2">
      <c r="A1277" s="161" t="s">
        <v>3617</v>
      </c>
      <c r="B1277" s="161" t="s">
        <v>1752</v>
      </c>
      <c r="C1277" s="161" t="s">
        <v>1755</v>
      </c>
      <c r="D1277" s="162">
        <v>44651</v>
      </c>
      <c r="E1277" s="161" t="s">
        <v>2816</v>
      </c>
      <c r="F1277" s="161" t="s">
        <v>2190</v>
      </c>
      <c r="G1277" s="161">
        <v>3</v>
      </c>
      <c r="H1277" s="161">
        <v>4</v>
      </c>
      <c r="I1277" s="161">
        <v>6.7</v>
      </c>
      <c r="J1277" s="161">
        <v>67</v>
      </c>
      <c r="K1277" s="161"/>
      <c r="L1277" s="163">
        <v>-3.65</v>
      </c>
      <c r="M1277" s="163">
        <v>-4.49</v>
      </c>
      <c r="N1277" s="161">
        <v>-1.8</v>
      </c>
      <c r="O1277" s="164" t="s">
        <v>1760</v>
      </c>
    </row>
    <row r="1278" spans="1:15" ht="43.2">
      <c r="A1278" s="161" t="s">
        <v>3618</v>
      </c>
      <c r="B1278" s="161" t="s">
        <v>1743</v>
      </c>
      <c r="C1278" s="161" t="s">
        <v>1786</v>
      </c>
      <c r="D1278" s="162">
        <v>43378</v>
      </c>
      <c r="E1278" s="161" t="s">
        <v>3074</v>
      </c>
      <c r="F1278" s="161" t="s">
        <v>2190</v>
      </c>
      <c r="G1278" s="161">
        <v>1</v>
      </c>
      <c r="H1278" s="161">
        <v>6</v>
      </c>
      <c r="I1278" s="161">
        <v>11</v>
      </c>
      <c r="J1278" s="161">
        <v>95</v>
      </c>
      <c r="K1278" s="161"/>
      <c r="L1278" s="163">
        <v>-3.43</v>
      </c>
      <c r="M1278" s="163">
        <v>-2.68</v>
      </c>
      <c r="N1278" s="161">
        <v>-2.72</v>
      </c>
      <c r="O1278" s="164" t="s">
        <v>1747</v>
      </c>
    </row>
    <row r="1279" spans="1:15" ht="43.2">
      <c r="A1279" s="161" t="s">
        <v>3619</v>
      </c>
      <c r="B1279" s="161" t="s">
        <v>1743</v>
      </c>
      <c r="C1279" s="161" t="s">
        <v>1786</v>
      </c>
      <c r="D1279" s="162">
        <v>43466</v>
      </c>
      <c r="E1279" s="161" t="s">
        <v>3076</v>
      </c>
      <c r="F1279" s="161" t="s">
        <v>2190</v>
      </c>
      <c r="G1279" s="161">
        <v>8</v>
      </c>
      <c r="H1279" s="161">
        <v>3</v>
      </c>
      <c r="I1279" s="161">
        <v>11.1</v>
      </c>
      <c r="J1279" s="161">
        <v>92.8</v>
      </c>
      <c r="K1279" s="161"/>
      <c r="L1279" s="163">
        <v>-3.2</v>
      </c>
      <c r="M1279" s="163">
        <v>-2.87</v>
      </c>
      <c r="N1279" s="161">
        <v>-2.13</v>
      </c>
      <c r="O1279" s="164" t="s">
        <v>1747</v>
      </c>
    </row>
    <row r="1280" spans="1:15" ht="43.2">
      <c r="A1280" s="161" t="s">
        <v>3620</v>
      </c>
      <c r="B1280" s="161" t="s">
        <v>1752</v>
      </c>
      <c r="C1280" s="161" t="s">
        <v>1786</v>
      </c>
      <c r="D1280" s="162">
        <v>43519</v>
      </c>
      <c r="E1280" s="161" t="s">
        <v>3166</v>
      </c>
      <c r="F1280" s="161" t="s">
        <v>2190</v>
      </c>
      <c r="G1280" s="161">
        <v>3</v>
      </c>
      <c r="H1280" s="161">
        <v>2</v>
      </c>
      <c r="I1280" s="161">
        <v>12.9</v>
      </c>
      <c r="J1280" s="161">
        <v>93.7</v>
      </c>
      <c r="K1280" s="161"/>
      <c r="L1280" s="163">
        <v>-2.13</v>
      </c>
      <c r="M1280" s="163">
        <v>-2.68</v>
      </c>
      <c r="N1280" s="161">
        <v>-0.8</v>
      </c>
      <c r="O1280" s="164" t="s">
        <v>1760</v>
      </c>
    </row>
    <row r="1281" spans="1:15" ht="43.2">
      <c r="A1281" s="161" t="s">
        <v>3621</v>
      </c>
      <c r="B1281" s="161" t="s">
        <v>1752</v>
      </c>
      <c r="C1281" s="161" t="s">
        <v>1749</v>
      </c>
      <c r="D1281" s="162">
        <v>43586</v>
      </c>
      <c r="E1281" s="161" t="s">
        <v>3164</v>
      </c>
      <c r="F1281" s="161" t="s">
        <v>2190</v>
      </c>
      <c r="G1281" s="161">
        <v>4</v>
      </c>
      <c r="H1281" s="161">
        <v>6</v>
      </c>
      <c r="I1281" s="161">
        <v>16.7</v>
      </c>
      <c r="J1281" s="161">
        <v>95.2</v>
      </c>
      <c r="K1281" s="161"/>
      <c r="L1281" s="163">
        <v>0.06</v>
      </c>
      <c r="M1281" s="163">
        <v>-2.09</v>
      </c>
      <c r="N1281" s="161">
        <v>2.0299999999999998</v>
      </c>
      <c r="O1281" s="164" t="s">
        <v>2078</v>
      </c>
    </row>
    <row r="1282" spans="1:15" ht="43.2">
      <c r="A1282" s="161" t="s">
        <v>3622</v>
      </c>
      <c r="B1282" s="161" t="s">
        <v>1752</v>
      </c>
      <c r="C1282" s="161" t="s">
        <v>1749</v>
      </c>
      <c r="D1282" s="162">
        <v>43759</v>
      </c>
      <c r="E1282" s="161" t="s">
        <v>3623</v>
      </c>
      <c r="F1282" s="161" t="s">
        <v>2190</v>
      </c>
      <c r="G1282" s="161">
        <v>1</v>
      </c>
      <c r="H1282" s="161">
        <v>4</v>
      </c>
      <c r="I1282" s="161">
        <v>11.6</v>
      </c>
      <c r="J1282" s="161">
        <v>90.5</v>
      </c>
      <c r="K1282" s="161"/>
      <c r="L1282" s="163">
        <v>-2.41</v>
      </c>
      <c r="M1282" s="163">
        <v>-2.56</v>
      </c>
      <c r="N1282" s="161">
        <v>-1.45</v>
      </c>
      <c r="O1282" s="164" t="s">
        <v>1760</v>
      </c>
    </row>
    <row r="1283" spans="1:15" ht="43.2">
      <c r="A1283" s="161" t="s">
        <v>3624</v>
      </c>
      <c r="B1283" s="161" t="s">
        <v>1743</v>
      </c>
      <c r="C1283" s="161" t="s">
        <v>1744</v>
      </c>
      <c r="D1283" s="162">
        <v>43958</v>
      </c>
      <c r="E1283" s="161" t="s">
        <v>3625</v>
      </c>
      <c r="F1283" s="161" t="s">
        <v>2190</v>
      </c>
      <c r="G1283" s="161">
        <v>2</v>
      </c>
      <c r="H1283" s="161">
        <v>4</v>
      </c>
      <c r="I1283" s="161">
        <v>10.199999999999999</v>
      </c>
      <c r="J1283" s="161">
        <v>82</v>
      </c>
      <c r="K1283" s="161"/>
      <c r="L1283" s="163">
        <v>-2.6</v>
      </c>
      <c r="M1283" s="163">
        <v>-3.58</v>
      </c>
      <c r="N1283" s="161">
        <v>-0.51</v>
      </c>
      <c r="O1283" s="164" t="s">
        <v>1760</v>
      </c>
    </row>
    <row r="1284" spans="1:15" ht="43.2">
      <c r="A1284" s="161" t="s">
        <v>3626</v>
      </c>
      <c r="B1284" s="161" t="s">
        <v>1752</v>
      </c>
      <c r="C1284" s="161" t="s">
        <v>1744</v>
      </c>
      <c r="D1284" s="162">
        <v>43971</v>
      </c>
      <c r="E1284" s="161" t="s">
        <v>3627</v>
      </c>
      <c r="F1284" s="161" t="s">
        <v>2190</v>
      </c>
      <c r="G1284" s="161">
        <v>4</v>
      </c>
      <c r="H1284" s="161">
        <v>4</v>
      </c>
      <c r="I1284" s="161">
        <v>10.7</v>
      </c>
      <c r="J1284" s="161">
        <v>88.6</v>
      </c>
      <c r="K1284" s="161"/>
      <c r="L1284" s="163">
        <v>-2.5</v>
      </c>
      <c r="M1284" s="163">
        <v>-2.12</v>
      </c>
      <c r="N1284" s="161">
        <v>-2.04</v>
      </c>
      <c r="O1284" s="164" t="s">
        <v>1747</v>
      </c>
    </row>
    <row r="1285" spans="1:15" ht="57.6">
      <c r="A1285" s="161" t="s">
        <v>3628</v>
      </c>
      <c r="B1285" s="161" t="s">
        <v>1752</v>
      </c>
      <c r="C1285" s="161" t="s">
        <v>1744</v>
      </c>
      <c r="D1285" s="162">
        <v>43979</v>
      </c>
      <c r="E1285" s="161" t="s">
        <v>3629</v>
      </c>
      <c r="F1285" s="161" t="s">
        <v>1781</v>
      </c>
      <c r="G1285" s="161">
        <v>8</v>
      </c>
      <c r="H1285" s="161">
        <v>14</v>
      </c>
      <c r="I1285" s="161">
        <v>10.8</v>
      </c>
      <c r="J1285" s="161">
        <v>88.5</v>
      </c>
      <c r="K1285" s="161"/>
      <c r="L1285" s="163">
        <v>-2.4</v>
      </c>
      <c r="M1285" s="163">
        <v>-2.11</v>
      </c>
      <c r="N1285" s="161">
        <v>-1.89</v>
      </c>
      <c r="O1285" s="164" t="s">
        <v>1760</v>
      </c>
    </row>
    <row r="1286" spans="1:15" ht="43.2">
      <c r="A1286" s="161" t="s">
        <v>3630</v>
      </c>
      <c r="B1286" s="161" t="s">
        <v>1743</v>
      </c>
      <c r="C1286" s="161" t="s">
        <v>1744</v>
      </c>
      <c r="D1286" s="162">
        <v>44145</v>
      </c>
      <c r="E1286" s="161" t="s">
        <v>3309</v>
      </c>
      <c r="F1286" s="161" t="s">
        <v>1781</v>
      </c>
      <c r="G1286" s="161"/>
      <c r="H1286" s="161">
        <v>3</v>
      </c>
      <c r="I1286" s="161">
        <v>10.1</v>
      </c>
      <c r="J1286" s="161">
        <v>84.2</v>
      </c>
      <c r="K1286" s="161"/>
      <c r="L1286" s="163">
        <v>-2.0099999999999998</v>
      </c>
      <c r="M1286" s="163">
        <v>-2.0099999999999998</v>
      </c>
      <c r="N1286" s="161">
        <v>-1.18</v>
      </c>
      <c r="O1286" s="164" t="s">
        <v>1760</v>
      </c>
    </row>
    <row r="1287" spans="1:15" ht="43.2">
      <c r="A1287" s="161" t="s">
        <v>3631</v>
      </c>
      <c r="B1287" s="161" t="s">
        <v>1752</v>
      </c>
      <c r="C1287" s="161" t="s">
        <v>1744</v>
      </c>
      <c r="D1287" s="162">
        <v>44154</v>
      </c>
      <c r="E1287" s="161" t="s">
        <v>2926</v>
      </c>
      <c r="F1287" s="161" t="s">
        <v>1781</v>
      </c>
      <c r="G1287" s="161"/>
      <c r="H1287" s="161">
        <v>3</v>
      </c>
      <c r="I1287" s="161">
        <v>9.3000000000000007</v>
      </c>
      <c r="J1287" s="161">
        <v>83.5</v>
      </c>
      <c r="K1287" s="161"/>
      <c r="L1287" s="163">
        <v>-3.12</v>
      </c>
      <c r="M1287" s="163">
        <v>-2.59</v>
      </c>
      <c r="N1287" s="161">
        <v>-2.4700000000000002</v>
      </c>
      <c r="O1287" s="164" t="s">
        <v>1747</v>
      </c>
    </row>
    <row r="1288" spans="1:15" ht="57.6">
      <c r="A1288" s="161" t="s">
        <v>3632</v>
      </c>
      <c r="B1288" s="161" t="s">
        <v>1752</v>
      </c>
      <c r="C1288" s="161" t="s">
        <v>2055</v>
      </c>
      <c r="D1288" s="162">
        <v>44863</v>
      </c>
      <c r="E1288" s="161" t="s">
        <v>1780</v>
      </c>
      <c r="F1288" s="161" t="s">
        <v>1781</v>
      </c>
      <c r="G1288" s="161">
        <v>3</v>
      </c>
      <c r="H1288" s="161">
        <v>10</v>
      </c>
      <c r="I1288" s="161">
        <v>8.5</v>
      </c>
      <c r="J1288" s="161">
        <v>65</v>
      </c>
      <c r="K1288" s="161"/>
      <c r="L1288" s="163">
        <v>0.14000000000000001</v>
      </c>
      <c r="M1288" s="163">
        <v>-2.06</v>
      </c>
      <c r="N1288" s="161">
        <v>1.85</v>
      </c>
      <c r="O1288" s="164" t="s">
        <v>1757</v>
      </c>
    </row>
    <row r="1289" spans="1:15" ht="43.2">
      <c r="A1289" s="166" t="s">
        <v>3633</v>
      </c>
      <c r="B1289" s="161" t="s">
        <v>1752</v>
      </c>
      <c r="C1289" s="161" t="s">
        <v>2055</v>
      </c>
      <c r="D1289" s="162">
        <v>44796</v>
      </c>
      <c r="E1289" s="161" t="s">
        <v>2822</v>
      </c>
      <c r="F1289" s="161" t="s">
        <v>1781</v>
      </c>
      <c r="G1289" s="161">
        <v>2</v>
      </c>
      <c r="H1289" s="161">
        <v>12</v>
      </c>
      <c r="I1289" s="161">
        <v>7.9</v>
      </c>
      <c r="J1289" s="161">
        <v>68</v>
      </c>
      <c r="K1289" s="161"/>
      <c r="L1289" s="163">
        <v>-1.21</v>
      </c>
      <c r="M1289" s="163">
        <v>-2.0099999999999998</v>
      </c>
      <c r="N1289" s="161">
        <v>-0.1</v>
      </c>
      <c r="O1289" s="164" t="s">
        <v>1760</v>
      </c>
    </row>
    <row r="1290" spans="1:15" ht="78">
      <c r="A1290" s="167" t="s">
        <v>3634</v>
      </c>
      <c r="B1290" s="126" t="s">
        <v>37</v>
      </c>
      <c r="C1290" s="168"/>
      <c r="D1290" s="127">
        <v>43959</v>
      </c>
      <c r="E1290" s="128" t="s">
        <v>41</v>
      </c>
      <c r="F1290" s="129" t="s">
        <v>42</v>
      </c>
      <c r="G1290" s="130">
        <v>4</v>
      </c>
      <c r="H1290" s="130">
        <v>6</v>
      </c>
      <c r="I1290" s="130">
        <v>14.1</v>
      </c>
      <c r="J1290" s="130">
        <v>106</v>
      </c>
      <c r="K1290" s="130">
        <v>14</v>
      </c>
      <c r="L1290" s="131">
        <v>-1.9990802219999999</v>
      </c>
      <c r="M1290" s="131">
        <v>0.16798569939999999</v>
      </c>
      <c r="N1290" s="131">
        <v>-0.1364179714</v>
      </c>
      <c r="O1290" s="132" t="str">
        <f t="shared" ref="O1290:O1353" si="0">IF(D1290&gt;0,IF(E1290&gt;0,IF(L1290&lt;-3,"Gz.Brk",IF(L1290&lt;-2,"Gz.Krg",IF(L1290&lt;=1,"Normal",IF(L1290&lt;=2,"R.Gz.Lbh",IF(L1290&lt;=3,"Gz.Lbh","Obesitas")))))," "),"")</f>
        <v>Normal</v>
      </c>
    </row>
    <row r="1291" spans="1:15" ht="78">
      <c r="A1291" s="167" t="s">
        <v>3635</v>
      </c>
      <c r="B1291" s="126" t="s">
        <v>37</v>
      </c>
      <c r="C1291" s="168"/>
      <c r="D1291" s="127">
        <v>44008</v>
      </c>
      <c r="E1291" s="128" t="s">
        <v>47</v>
      </c>
      <c r="F1291" s="129" t="s">
        <v>42</v>
      </c>
      <c r="G1291" s="133">
        <v>3</v>
      </c>
      <c r="H1291" s="133">
        <v>6</v>
      </c>
      <c r="I1291" s="130">
        <v>13.7</v>
      </c>
      <c r="J1291" s="130">
        <v>97.4</v>
      </c>
      <c r="K1291" s="130">
        <v>15</v>
      </c>
      <c r="L1291" s="131">
        <v>3.4063682630000001</v>
      </c>
      <c r="M1291" s="131">
        <v>1.957193097</v>
      </c>
      <c r="N1291" s="131">
        <v>2.0086995970000001</v>
      </c>
      <c r="O1291" s="132" t="str">
        <f t="shared" si="0"/>
        <v>Obesitas</v>
      </c>
    </row>
    <row r="1292" spans="1:15" ht="78">
      <c r="A1292" s="167" t="s">
        <v>3636</v>
      </c>
      <c r="B1292" s="130" t="s">
        <v>48</v>
      </c>
      <c r="C1292" s="168"/>
      <c r="D1292" s="169">
        <v>44011</v>
      </c>
      <c r="E1292" s="128" t="s">
        <v>50</v>
      </c>
      <c r="F1292" s="129" t="s">
        <v>42</v>
      </c>
      <c r="G1292" s="130">
        <v>4</v>
      </c>
      <c r="H1292" s="130">
        <v>6</v>
      </c>
      <c r="I1292" s="130">
        <v>14.4</v>
      </c>
      <c r="J1292" s="130">
        <v>103</v>
      </c>
      <c r="K1292" s="130">
        <v>14.5</v>
      </c>
      <c r="L1292" s="131">
        <v>0.94510909880000005</v>
      </c>
      <c r="M1292" s="131">
        <v>-0.1715433133</v>
      </c>
      <c r="N1292" s="131">
        <v>-1.359514176</v>
      </c>
      <c r="O1292" s="132" t="str">
        <f t="shared" si="0"/>
        <v>Normal</v>
      </c>
    </row>
    <row r="1293" spans="1:15" ht="78">
      <c r="A1293" s="167" t="s">
        <v>3637</v>
      </c>
      <c r="B1293" s="130" t="s">
        <v>37</v>
      </c>
      <c r="C1293" s="168"/>
      <c r="D1293" s="169">
        <v>44082</v>
      </c>
      <c r="E1293" s="128" t="s">
        <v>54</v>
      </c>
      <c r="F1293" s="129" t="s">
        <v>42</v>
      </c>
      <c r="G1293" s="130">
        <v>1</v>
      </c>
      <c r="H1293" s="130">
        <v>6</v>
      </c>
      <c r="I1293" s="130">
        <v>11.1</v>
      </c>
      <c r="J1293" s="130">
        <v>93.2</v>
      </c>
      <c r="K1293" s="130">
        <v>14</v>
      </c>
      <c r="L1293" s="131">
        <v>2.5028789699999998</v>
      </c>
      <c r="M1293" s="131">
        <v>1.5591474940000001</v>
      </c>
      <c r="N1293" s="131">
        <v>0.60965601390000002</v>
      </c>
      <c r="O1293" s="132" t="str">
        <f t="shared" si="0"/>
        <v>Gz.Lbh</v>
      </c>
    </row>
    <row r="1294" spans="1:15" ht="78">
      <c r="A1294" s="167" t="s">
        <v>3638</v>
      </c>
      <c r="B1294" s="130" t="s">
        <v>48</v>
      </c>
      <c r="C1294" s="168"/>
      <c r="D1294" s="169">
        <v>44083</v>
      </c>
      <c r="E1294" s="128" t="s">
        <v>58</v>
      </c>
      <c r="F1294" s="129" t="s">
        <v>42</v>
      </c>
      <c r="G1294" s="130">
        <v>3</v>
      </c>
      <c r="H1294" s="130">
        <v>6</v>
      </c>
      <c r="I1294" s="130">
        <v>12.5</v>
      </c>
      <c r="J1294" s="130">
        <v>94</v>
      </c>
      <c r="K1294" s="130">
        <v>14</v>
      </c>
      <c r="L1294" s="131">
        <v>-1.6977755329999999</v>
      </c>
      <c r="M1294" s="131">
        <v>-1.146861656</v>
      </c>
      <c r="N1294" s="131">
        <v>0.1749311181</v>
      </c>
      <c r="O1294" s="132" t="str">
        <f t="shared" si="0"/>
        <v>Normal</v>
      </c>
    </row>
    <row r="1295" spans="1:15" ht="78">
      <c r="A1295" s="167" t="s">
        <v>3639</v>
      </c>
      <c r="B1295" s="130" t="s">
        <v>37</v>
      </c>
      <c r="C1295" s="168"/>
      <c r="D1295" s="169">
        <v>44108</v>
      </c>
      <c r="E1295" s="128" t="s">
        <v>61</v>
      </c>
      <c r="F1295" s="129" t="s">
        <v>42</v>
      </c>
      <c r="G1295" s="130">
        <v>1</v>
      </c>
      <c r="H1295" s="130">
        <v>6</v>
      </c>
      <c r="I1295" s="130">
        <v>15.9</v>
      </c>
      <c r="J1295" s="130">
        <v>100.5</v>
      </c>
      <c r="K1295" s="130">
        <v>17</v>
      </c>
      <c r="L1295" s="131">
        <v>-1.673123524</v>
      </c>
      <c r="M1295" s="131">
        <v>0.16798569939999999</v>
      </c>
      <c r="N1295" s="131">
        <v>3.1039614869999999</v>
      </c>
      <c r="O1295" s="132" t="str">
        <f t="shared" si="0"/>
        <v>Normal</v>
      </c>
    </row>
    <row r="1296" spans="1:15" ht="78">
      <c r="A1296" s="167" t="s">
        <v>3640</v>
      </c>
      <c r="B1296" s="130" t="s">
        <v>37</v>
      </c>
      <c r="C1296" s="168"/>
      <c r="D1296" s="169">
        <v>44155</v>
      </c>
      <c r="E1296" s="128" t="s">
        <v>64</v>
      </c>
      <c r="F1296" s="129" t="s">
        <v>42</v>
      </c>
      <c r="G1296" s="130">
        <v>1</v>
      </c>
      <c r="H1296" s="130">
        <v>6</v>
      </c>
      <c r="I1296" s="130">
        <v>14.1</v>
      </c>
      <c r="J1296" s="130">
        <v>106</v>
      </c>
      <c r="K1296" s="130">
        <v>14</v>
      </c>
      <c r="L1296" s="131">
        <v>-1.7961859739999999</v>
      </c>
      <c r="M1296" s="131">
        <v>-2.4370645</v>
      </c>
      <c r="N1296" s="131">
        <v>-1.284648689</v>
      </c>
      <c r="O1296" s="132" t="str">
        <f t="shared" si="0"/>
        <v>Normal</v>
      </c>
    </row>
    <row r="1297" spans="1:15" ht="78">
      <c r="A1297" s="167" t="s">
        <v>3641</v>
      </c>
      <c r="B1297" s="130" t="s">
        <v>37</v>
      </c>
      <c r="C1297" s="168"/>
      <c r="D1297" s="169">
        <v>44273</v>
      </c>
      <c r="E1297" s="128" t="s">
        <v>67</v>
      </c>
      <c r="F1297" s="129" t="s">
        <v>42</v>
      </c>
      <c r="G1297" s="130">
        <v>4</v>
      </c>
      <c r="H1297" s="130">
        <v>6</v>
      </c>
      <c r="I1297" s="130">
        <v>14.8</v>
      </c>
      <c r="J1297" s="130">
        <v>97.6</v>
      </c>
      <c r="K1297" s="130">
        <v>17</v>
      </c>
      <c r="L1297" s="131">
        <v>0.8752717955</v>
      </c>
      <c r="M1297" s="131">
        <v>-0.72017569319999997</v>
      </c>
      <c r="N1297" s="131">
        <v>-0.45449538610000001</v>
      </c>
      <c r="O1297" s="132" t="str">
        <f t="shared" si="0"/>
        <v>Normal</v>
      </c>
    </row>
    <row r="1298" spans="1:15" ht="78">
      <c r="A1298" s="167" t="s">
        <v>3642</v>
      </c>
      <c r="B1298" s="130" t="s">
        <v>37</v>
      </c>
      <c r="C1298" s="168"/>
      <c r="D1298" s="169">
        <v>44284</v>
      </c>
      <c r="E1298" s="128" t="s">
        <v>71</v>
      </c>
      <c r="F1298" s="129" t="s">
        <v>42</v>
      </c>
      <c r="G1298" s="130">
        <v>3</v>
      </c>
      <c r="H1298" s="130">
        <v>6</v>
      </c>
      <c r="I1298" s="130">
        <v>17.2</v>
      </c>
      <c r="J1298" s="130">
        <v>103</v>
      </c>
      <c r="K1298" s="130">
        <v>17</v>
      </c>
      <c r="L1298" s="131">
        <v>-1.9990802219999999</v>
      </c>
      <c r="M1298" s="131">
        <v>-2.028164699</v>
      </c>
      <c r="N1298" s="131">
        <v>3.1039614869999999</v>
      </c>
      <c r="O1298" s="132" t="str">
        <f t="shared" si="0"/>
        <v>Normal</v>
      </c>
    </row>
    <row r="1299" spans="1:15" ht="78">
      <c r="A1299" s="167" t="s">
        <v>3643</v>
      </c>
      <c r="B1299" s="130" t="s">
        <v>37</v>
      </c>
      <c r="C1299" s="168"/>
      <c r="D1299" s="169">
        <v>44317</v>
      </c>
      <c r="E1299" s="128" t="s">
        <v>74</v>
      </c>
      <c r="F1299" s="129" t="s">
        <v>42</v>
      </c>
      <c r="G1299" s="130">
        <v>3</v>
      </c>
      <c r="H1299" s="130">
        <v>6</v>
      </c>
      <c r="I1299" s="134">
        <v>9.1999999999999993</v>
      </c>
      <c r="J1299" s="134">
        <v>80</v>
      </c>
      <c r="K1299" s="130">
        <v>16</v>
      </c>
      <c r="L1299" s="131">
        <v>0.25332594419999999</v>
      </c>
      <c r="M1299" s="131">
        <v>-0.2328013323</v>
      </c>
      <c r="N1299" s="131">
        <v>-1.562722312</v>
      </c>
      <c r="O1299" s="132" t="str">
        <f t="shared" si="0"/>
        <v>Normal</v>
      </c>
    </row>
    <row r="1300" spans="1:15" ht="78">
      <c r="A1300" s="167" t="s">
        <v>3644</v>
      </c>
      <c r="B1300" s="130" t="s">
        <v>48</v>
      </c>
      <c r="C1300" s="168"/>
      <c r="D1300" s="169">
        <v>44345</v>
      </c>
      <c r="E1300" s="128" t="s">
        <v>76</v>
      </c>
      <c r="F1300" s="129" t="s">
        <v>42</v>
      </c>
      <c r="G1300" s="130">
        <v>1</v>
      </c>
      <c r="H1300" s="130">
        <v>6</v>
      </c>
      <c r="I1300" s="134">
        <v>7.08</v>
      </c>
      <c r="J1300" s="134">
        <v>72</v>
      </c>
      <c r="K1300" s="130">
        <v>15</v>
      </c>
      <c r="L1300" s="131">
        <v>2.927690938E-2</v>
      </c>
      <c r="M1300" s="131">
        <v>-0.13194324290000001</v>
      </c>
      <c r="N1300" s="131">
        <v>-0.2498828012</v>
      </c>
      <c r="O1300" s="132" t="str">
        <f t="shared" si="0"/>
        <v>Normal</v>
      </c>
    </row>
    <row r="1301" spans="1:15" ht="78">
      <c r="A1301" s="167" t="s">
        <v>3645</v>
      </c>
      <c r="B1301" s="130" t="s">
        <v>48</v>
      </c>
      <c r="C1301" s="168"/>
      <c r="D1301" s="169">
        <v>44412</v>
      </c>
      <c r="E1301" s="128" t="s">
        <v>79</v>
      </c>
      <c r="F1301" s="129" t="s">
        <v>42</v>
      </c>
      <c r="G1301" s="130">
        <v>4</v>
      </c>
      <c r="H1301" s="130">
        <v>6</v>
      </c>
      <c r="I1301" s="134">
        <v>14.2</v>
      </c>
      <c r="J1301" s="134">
        <v>86.1</v>
      </c>
      <c r="K1301" s="130">
        <v>17</v>
      </c>
      <c r="L1301" s="131">
        <v>1.836764821</v>
      </c>
      <c r="M1301" s="131">
        <v>-0.66677972630000004</v>
      </c>
      <c r="N1301" s="131">
        <v>-1.6157209269999999</v>
      </c>
      <c r="O1301" s="132" t="str">
        <f t="shared" si="0"/>
        <v>R.Gz.Lbh</v>
      </c>
    </row>
    <row r="1302" spans="1:15" ht="78">
      <c r="A1302" s="167" t="s">
        <v>3646</v>
      </c>
      <c r="B1302" s="130" t="s">
        <v>37</v>
      </c>
      <c r="C1302" s="168"/>
      <c r="D1302" s="169">
        <v>44436</v>
      </c>
      <c r="E1302" s="128" t="s">
        <v>82</v>
      </c>
      <c r="F1302" s="129" t="s">
        <v>42</v>
      </c>
      <c r="G1302" s="130">
        <v>4</v>
      </c>
      <c r="H1302" s="130">
        <v>6</v>
      </c>
      <c r="I1302" s="130">
        <v>14.8</v>
      </c>
      <c r="J1302" s="130">
        <v>97.6</v>
      </c>
      <c r="K1302" s="130">
        <v>16</v>
      </c>
      <c r="L1302" s="131">
        <v>-0.85889886150000005</v>
      </c>
      <c r="M1302" s="131">
        <v>-6.6601742980000003E-2</v>
      </c>
      <c r="N1302" s="131">
        <v>-0.72565268390000004</v>
      </c>
      <c r="O1302" s="132" t="str">
        <f t="shared" si="0"/>
        <v>Normal</v>
      </c>
    </row>
    <row r="1303" spans="1:15" ht="78">
      <c r="A1303" s="167" t="s">
        <v>3647</v>
      </c>
      <c r="B1303" s="130" t="s">
        <v>37</v>
      </c>
      <c r="C1303" s="168"/>
      <c r="D1303" s="169">
        <v>44508</v>
      </c>
      <c r="E1303" s="128" t="s">
        <v>86</v>
      </c>
      <c r="F1303" s="129" t="s">
        <v>42</v>
      </c>
      <c r="G1303" s="130">
        <v>4</v>
      </c>
      <c r="H1303" s="130">
        <v>6</v>
      </c>
      <c r="I1303" s="130">
        <v>13.3</v>
      </c>
      <c r="J1303" s="130">
        <v>90.5</v>
      </c>
      <c r="K1303" s="130">
        <v>16</v>
      </c>
      <c r="L1303" s="131">
        <v>-1.7605402960000001</v>
      </c>
      <c r="M1303" s="131">
        <v>-2.6106485589999999</v>
      </c>
      <c r="N1303" s="131">
        <v>-1.5120086109999999</v>
      </c>
      <c r="O1303" s="132" t="str">
        <f t="shared" si="0"/>
        <v>Normal</v>
      </c>
    </row>
    <row r="1304" spans="1:15" ht="78">
      <c r="A1304" s="167" t="s">
        <v>3648</v>
      </c>
      <c r="B1304" s="130" t="s">
        <v>37</v>
      </c>
      <c r="C1304" s="168"/>
      <c r="D1304" s="169">
        <v>44518</v>
      </c>
      <c r="E1304" s="128" t="s">
        <v>89</v>
      </c>
      <c r="F1304" s="129" t="s">
        <v>42</v>
      </c>
      <c r="G1304" s="130">
        <v>3</v>
      </c>
      <c r="H1304" s="130">
        <v>6</v>
      </c>
      <c r="I1304" s="130">
        <v>18.100000000000001</v>
      </c>
      <c r="J1304" s="130">
        <v>100.5</v>
      </c>
      <c r="K1304" s="130">
        <v>19.5</v>
      </c>
      <c r="L1304" s="131">
        <v>-1.0100177100000001</v>
      </c>
      <c r="M1304" s="131">
        <v>-0.63809569300000002</v>
      </c>
      <c r="N1304" s="131">
        <v>0.78849130909999998</v>
      </c>
      <c r="O1304" s="132" t="str">
        <f t="shared" si="0"/>
        <v>Normal</v>
      </c>
    </row>
    <row r="1305" spans="1:15" ht="78">
      <c r="A1305" s="167" t="s">
        <v>3649</v>
      </c>
      <c r="B1305" s="130" t="s">
        <v>37</v>
      </c>
      <c r="C1305" s="168"/>
      <c r="D1305" s="169">
        <v>44573</v>
      </c>
      <c r="E1305" s="128" t="s">
        <v>93</v>
      </c>
      <c r="F1305" s="129" t="s">
        <v>42</v>
      </c>
      <c r="G1305" s="130">
        <v>4</v>
      </c>
      <c r="H1305" s="130">
        <v>6</v>
      </c>
      <c r="I1305" s="130">
        <v>9.1</v>
      </c>
      <c r="J1305" s="135">
        <v>74</v>
      </c>
      <c r="K1305" s="130">
        <v>17</v>
      </c>
      <c r="L1305" s="131">
        <v>0.82031681919999999</v>
      </c>
      <c r="M1305" s="131">
        <v>-0.2165070029</v>
      </c>
      <c r="N1305" s="131">
        <v>0.42800933759999998</v>
      </c>
      <c r="O1305" s="132" t="str">
        <f t="shared" si="0"/>
        <v>Normal</v>
      </c>
    </row>
    <row r="1306" spans="1:15" ht="78">
      <c r="A1306" s="167" t="s">
        <v>3650</v>
      </c>
      <c r="B1306" s="130" t="s">
        <v>48</v>
      </c>
      <c r="C1306" s="168"/>
      <c r="D1306" s="169">
        <v>44597</v>
      </c>
      <c r="E1306" s="128" t="s">
        <v>97</v>
      </c>
      <c r="F1306" s="129" t="s">
        <v>42</v>
      </c>
      <c r="G1306" s="130">
        <v>1</v>
      </c>
      <c r="H1306" s="130">
        <v>6</v>
      </c>
      <c r="I1306" s="130">
        <v>11</v>
      </c>
      <c r="J1306" s="136">
        <v>73</v>
      </c>
      <c r="K1306" s="130">
        <v>14</v>
      </c>
      <c r="L1306" s="131">
        <v>0.73156299400000002</v>
      </c>
      <c r="M1306" s="131">
        <v>-7.1479191299999995E-2</v>
      </c>
      <c r="N1306" s="131">
        <v>-1.7636182540000001</v>
      </c>
      <c r="O1306" s="132" t="str">
        <f t="shared" si="0"/>
        <v>Normal</v>
      </c>
    </row>
    <row r="1307" spans="1:15" ht="78">
      <c r="A1307" s="167" t="s">
        <v>3651</v>
      </c>
      <c r="B1307" s="130" t="s">
        <v>37</v>
      </c>
      <c r="C1307" s="168"/>
      <c r="D1307" s="169">
        <v>44669</v>
      </c>
      <c r="E1307" s="128" t="s">
        <v>101</v>
      </c>
      <c r="F1307" s="129" t="s">
        <v>42</v>
      </c>
      <c r="G1307" s="130">
        <v>1</v>
      </c>
      <c r="H1307" s="130">
        <v>6</v>
      </c>
      <c r="I1307" s="130">
        <v>11.4</v>
      </c>
      <c r="J1307" s="136">
        <v>80</v>
      </c>
      <c r="K1307" s="130">
        <v>15</v>
      </c>
      <c r="L1307" s="131">
        <v>0.19009242570000001</v>
      </c>
      <c r="M1307" s="131">
        <v>-4.8998490569999997E-2</v>
      </c>
      <c r="N1307" s="131">
        <v>-0.61260610800000004</v>
      </c>
      <c r="O1307" s="132" t="str">
        <f t="shared" si="0"/>
        <v>Normal</v>
      </c>
    </row>
    <row r="1308" spans="1:15" ht="78">
      <c r="A1308" s="167" t="s">
        <v>3652</v>
      </c>
      <c r="B1308" s="130" t="s">
        <v>37</v>
      </c>
      <c r="C1308" s="168"/>
      <c r="D1308" s="169">
        <v>44666</v>
      </c>
      <c r="E1308" s="128" t="s">
        <v>104</v>
      </c>
      <c r="F1308" s="129" t="s">
        <v>42</v>
      </c>
      <c r="G1308" s="130">
        <v>1</v>
      </c>
      <c r="H1308" s="130">
        <v>6</v>
      </c>
      <c r="I1308" s="136">
        <v>10.5</v>
      </c>
      <c r="J1308" s="135">
        <v>75</v>
      </c>
      <c r="K1308" s="130">
        <v>16</v>
      </c>
      <c r="L1308" s="131">
        <v>0.90715708500000003</v>
      </c>
      <c r="M1308" s="131">
        <v>1.449226288</v>
      </c>
      <c r="N1308" s="131">
        <v>-1.528880316</v>
      </c>
      <c r="O1308" s="132" t="str">
        <f t="shared" si="0"/>
        <v>Normal</v>
      </c>
    </row>
    <row r="1309" spans="1:15" ht="78">
      <c r="A1309" s="167" t="s">
        <v>3653</v>
      </c>
      <c r="B1309" s="130" t="s">
        <v>106</v>
      </c>
      <c r="C1309" s="168"/>
      <c r="D1309" s="169">
        <v>44735</v>
      </c>
      <c r="E1309" s="128" t="s">
        <v>108</v>
      </c>
      <c r="F1309" s="129" t="s">
        <v>42</v>
      </c>
      <c r="G1309" s="130">
        <v>2</v>
      </c>
      <c r="H1309" s="130">
        <v>6</v>
      </c>
      <c r="I1309" s="136">
        <v>9.6999999999999993</v>
      </c>
      <c r="J1309" s="137">
        <v>68</v>
      </c>
      <c r="K1309" s="130">
        <v>19.5</v>
      </c>
      <c r="L1309" s="131">
        <v>-0.54007168579999998</v>
      </c>
      <c r="M1309" s="131">
        <v>-0.61257111799999997</v>
      </c>
      <c r="N1309" s="131">
        <v>-0.54852103389999995</v>
      </c>
      <c r="O1309" s="132" t="str">
        <f t="shared" si="0"/>
        <v>Normal</v>
      </c>
    </row>
    <row r="1310" spans="1:15" ht="78">
      <c r="A1310" s="167" t="s">
        <v>3654</v>
      </c>
      <c r="B1310" s="130" t="s">
        <v>37</v>
      </c>
      <c r="C1310" s="168"/>
      <c r="D1310" s="169">
        <v>44758</v>
      </c>
      <c r="E1310" s="128" t="s">
        <v>111</v>
      </c>
      <c r="F1310" s="129" t="s">
        <v>42</v>
      </c>
      <c r="G1310" s="130">
        <v>3</v>
      </c>
      <c r="H1310" s="130">
        <v>6</v>
      </c>
      <c r="I1310" s="136">
        <v>12</v>
      </c>
      <c r="J1310" s="137">
        <v>73</v>
      </c>
      <c r="K1310" s="130">
        <v>17</v>
      </c>
      <c r="L1310" s="131">
        <v>-2.0395403179999998</v>
      </c>
      <c r="M1310" s="131">
        <v>-2.2349008700000002</v>
      </c>
      <c r="N1310" s="131">
        <v>-1.656654831</v>
      </c>
      <c r="O1310" s="132" t="str">
        <f t="shared" si="0"/>
        <v>Gz.Krg</v>
      </c>
    </row>
    <row r="1311" spans="1:15" ht="78">
      <c r="A1311" s="167" t="s">
        <v>3655</v>
      </c>
      <c r="B1311" s="130" t="s">
        <v>37</v>
      </c>
      <c r="C1311" s="168"/>
      <c r="D1311" s="169">
        <v>44814</v>
      </c>
      <c r="E1311" s="128" t="s">
        <v>115</v>
      </c>
      <c r="F1311" s="129" t="s">
        <v>42</v>
      </c>
      <c r="G1311" s="130">
        <v>2</v>
      </c>
      <c r="H1311" s="130">
        <v>6</v>
      </c>
      <c r="I1311" s="136">
        <v>10.5</v>
      </c>
      <c r="J1311" s="137">
        <v>62</v>
      </c>
      <c r="K1311" s="130">
        <v>13</v>
      </c>
      <c r="L1311" s="131">
        <v>-0.31585767450000002</v>
      </c>
      <c r="M1311" s="131">
        <v>-0.93537593600000002</v>
      </c>
      <c r="N1311" s="131">
        <v>0.2413076026</v>
      </c>
      <c r="O1311" s="132" t="str">
        <f t="shared" si="0"/>
        <v>Normal</v>
      </c>
    </row>
    <row r="1312" spans="1:15" ht="78">
      <c r="A1312" s="167" t="s">
        <v>3656</v>
      </c>
      <c r="B1312" s="130" t="s">
        <v>37</v>
      </c>
      <c r="C1312" s="168"/>
      <c r="D1312" s="169">
        <v>44826</v>
      </c>
      <c r="E1312" s="128" t="s">
        <v>118</v>
      </c>
      <c r="F1312" s="129" t="s">
        <v>42</v>
      </c>
      <c r="G1312" s="130">
        <v>2</v>
      </c>
      <c r="H1312" s="130">
        <v>6</v>
      </c>
      <c r="I1312" s="136">
        <v>10.7</v>
      </c>
      <c r="J1312" s="135">
        <v>75</v>
      </c>
      <c r="K1312" s="130">
        <v>17</v>
      </c>
      <c r="L1312" s="131">
        <v>-0.26600147190000001</v>
      </c>
      <c r="M1312" s="131">
        <v>-0.82626249829999998</v>
      </c>
      <c r="N1312" s="131">
        <v>1.3609944460000001</v>
      </c>
      <c r="O1312" s="132" t="str">
        <f t="shared" si="0"/>
        <v>Normal</v>
      </c>
    </row>
    <row r="1313" spans="1:15" ht="78">
      <c r="A1313" s="167" t="s">
        <v>3657</v>
      </c>
      <c r="B1313" s="130" t="s">
        <v>48</v>
      </c>
      <c r="C1313" s="168"/>
      <c r="D1313" s="169">
        <v>44826</v>
      </c>
      <c r="E1313" s="128" t="s">
        <v>121</v>
      </c>
      <c r="F1313" s="129" t="s">
        <v>42</v>
      </c>
      <c r="G1313" s="130">
        <v>4</v>
      </c>
      <c r="H1313" s="130">
        <v>6</v>
      </c>
      <c r="I1313" s="130">
        <v>11.1</v>
      </c>
      <c r="J1313" s="130">
        <v>84</v>
      </c>
      <c r="K1313" s="130">
        <v>13.5</v>
      </c>
      <c r="L1313" s="131">
        <v>1.0156607790000001</v>
      </c>
      <c r="M1313" s="131">
        <v>5.2242879409999998E-2</v>
      </c>
      <c r="N1313" s="131">
        <v>-0.43498788640000002</v>
      </c>
      <c r="O1313" s="132" t="str">
        <f t="shared" si="0"/>
        <v>R.Gz.Lbh</v>
      </c>
    </row>
    <row r="1314" spans="1:15" ht="78">
      <c r="A1314" s="167" t="s">
        <v>3658</v>
      </c>
      <c r="B1314" s="130" t="s">
        <v>48</v>
      </c>
      <c r="C1314" s="168"/>
      <c r="D1314" s="169">
        <v>44843</v>
      </c>
      <c r="E1314" s="128" t="s">
        <v>124</v>
      </c>
      <c r="F1314" s="129" t="s">
        <v>42</v>
      </c>
      <c r="G1314" s="130">
        <v>4</v>
      </c>
      <c r="H1314" s="130">
        <v>6</v>
      </c>
      <c r="I1314" s="130">
        <v>14.3</v>
      </c>
      <c r="J1314" s="130">
        <v>88.5</v>
      </c>
      <c r="K1314" s="130">
        <v>16.5</v>
      </c>
      <c r="L1314" s="131">
        <v>-1.0444861320000001</v>
      </c>
      <c r="M1314" s="131">
        <v>-1.7368095429999999</v>
      </c>
      <c r="N1314" s="131">
        <v>-1.288739219</v>
      </c>
      <c r="O1314" s="132" t="str">
        <f t="shared" si="0"/>
        <v>Normal</v>
      </c>
    </row>
    <row r="1315" spans="1:15" ht="78">
      <c r="A1315" s="167" t="s">
        <v>3659</v>
      </c>
      <c r="B1315" s="130" t="s">
        <v>48</v>
      </c>
      <c r="C1315" s="168"/>
      <c r="D1315" s="169">
        <v>44917</v>
      </c>
      <c r="E1315" s="128" t="s">
        <v>127</v>
      </c>
      <c r="F1315" s="129" t="s">
        <v>42</v>
      </c>
      <c r="G1315" s="130">
        <v>3</v>
      </c>
      <c r="H1315" s="130">
        <v>6</v>
      </c>
      <c r="I1315" s="130">
        <v>8.1</v>
      </c>
      <c r="J1315" s="130">
        <v>78.400000000000006</v>
      </c>
      <c r="K1315" s="130">
        <v>12</v>
      </c>
      <c r="L1315" s="131">
        <v>-1.10514954</v>
      </c>
      <c r="M1315" s="131">
        <v>-2.7124677770000001</v>
      </c>
      <c r="N1315" s="131">
        <v>1.6463544740000001E-3</v>
      </c>
      <c r="O1315" s="132" t="str">
        <f t="shared" si="0"/>
        <v>Normal</v>
      </c>
    </row>
    <row r="1316" spans="1:15" ht="78">
      <c r="A1316" s="167" t="s">
        <v>3660</v>
      </c>
      <c r="B1316" s="130" t="s">
        <v>48</v>
      </c>
      <c r="C1316" s="168"/>
      <c r="D1316" s="169">
        <v>44994</v>
      </c>
      <c r="E1316" s="128" t="s">
        <v>130</v>
      </c>
      <c r="F1316" s="129" t="s">
        <v>42</v>
      </c>
      <c r="G1316" s="130">
        <v>3</v>
      </c>
      <c r="H1316" s="130">
        <v>6</v>
      </c>
      <c r="I1316" s="130">
        <v>12.7</v>
      </c>
      <c r="J1316" s="130">
        <v>83</v>
      </c>
      <c r="K1316" s="130">
        <v>18</v>
      </c>
      <c r="L1316" s="131">
        <v>0.62883266670000004</v>
      </c>
      <c r="M1316" s="131">
        <v>7.9583967229999997E-2</v>
      </c>
      <c r="N1316" s="131">
        <v>-1.2990833610000001</v>
      </c>
      <c r="O1316" s="132" t="str">
        <f t="shared" si="0"/>
        <v>Normal</v>
      </c>
    </row>
    <row r="1317" spans="1:15" ht="78">
      <c r="A1317" s="167" t="s">
        <v>3661</v>
      </c>
      <c r="B1317" s="130" t="s">
        <v>37</v>
      </c>
      <c r="C1317" s="168"/>
      <c r="D1317" s="169">
        <v>45032</v>
      </c>
      <c r="E1317" s="128" t="s">
        <v>134</v>
      </c>
      <c r="F1317" s="129" t="s">
        <v>42</v>
      </c>
      <c r="G1317" s="130">
        <v>1</v>
      </c>
      <c r="H1317" s="130">
        <v>6</v>
      </c>
      <c r="I1317" s="130">
        <v>13</v>
      </c>
      <c r="J1317" s="130">
        <v>83</v>
      </c>
      <c r="K1317" s="130">
        <v>17</v>
      </c>
      <c r="L1317" s="131">
        <v>0.83451937580000002</v>
      </c>
      <c r="M1317" s="131">
        <v>0.68840943809999999</v>
      </c>
      <c r="N1317" s="131">
        <v>4.0682224939999996</v>
      </c>
      <c r="O1317" s="132" t="str">
        <f t="shared" si="0"/>
        <v>Normal</v>
      </c>
    </row>
    <row r="1318" spans="1:15" ht="78">
      <c r="A1318" s="167" t="s">
        <v>3662</v>
      </c>
      <c r="B1318" s="130" t="s">
        <v>37</v>
      </c>
      <c r="C1318" s="168"/>
      <c r="D1318" s="169">
        <v>45058</v>
      </c>
      <c r="E1318" s="128" t="s">
        <v>138</v>
      </c>
      <c r="F1318" s="129" t="s">
        <v>42</v>
      </c>
      <c r="G1318" s="130">
        <v>3</v>
      </c>
      <c r="H1318" s="130">
        <v>6</v>
      </c>
      <c r="I1318" s="130">
        <v>11.1</v>
      </c>
      <c r="J1318" s="130">
        <v>79.099999999999994</v>
      </c>
      <c r="K1318" s="130">
        <v>16</v>
      </c>
      <c r="L1318" s="131">
        <v>-0.16036189570000001</v>
      </c>
      <c r="M1318" s="131">
        <v>-0.36773832950000002</v>
      </c>
      <c r="N1318" s="131">
        <v>3.0429888840000001</v>
      </c>
      <c r="O1318" s="132" t="str">
        <f t="shared" si="0"/>
        <v>Normal</v>
      </c>
    </row>
    <row r="1319" spans="1:15" ht="78">
      <c r="A1319" s="167" t="s">
        <v>3663</v>
      </c>
      <c r="B1319" s="130" t="s">
        <v>48</v>
      </c>
      <c r="C1319" s="168"/>
      <c r="D1319" s="169">
        <v>45100</v>
      </c>
      <c r="E1319" s="128" t="s">
        <v>142</v>
      </c>
      <c r="F1319" s="129" t="s">
        <v>42</v>
      </c>
      <c r="G1319" s="130">
        <v>4</v>
      </c>
      <c r="H1319" s="130">
        <v>6</v>
      </c>
      <c r="I1319" s="130">
        <v>12.7</v>
      </c>
      <c r="J1319" s="130">
        <v>83</v>
      </c>
      <c r="K1319" s="130">
        <v>18</v>
      </c>
      <c r="L1319" s="131">
        <v>-0.92917421820000001</v>
      </c>
      <c r="M1319" s="131">
        <v>-0.1075737725</v>
      </c>
      <c r="N1319" s="131">
        <v>3.1039614869999999</v>
      </c>
      <c r="O1319" s="132" t="str">
        <f t="shared" si="0"/>
        <v>Normal</v>
      </c>
    </row>
    <row r="1320" spans="1:15" ht="78">
      <c r="A1320" s="167" t="s">
        <v>3664</v>
      </c>
      <c r="B1320" s="130" t="s">
        <v>48</v>
      </c>
      <c r="C1320" s="168"/>
      <c r="D1320" s="169">
        <v>45117</v>
      </c>
      <c r="E1320" s="128" t="s">
        <v>145</v>
      </c>
      <c r="F1320" s="129" t="s">
        <v>42</v>
      </c>
      <c r="G1320" s="130">
        <v>4</v>
      </c>
      <c r="H1320" s="130">
        <v>6</v>
      </c>
      <c r="I1320" s="130">
        <v>10.76</v>
      </c>
      <c r="J1320" s="130">
        <v>84.5</v>
      </c>
      <c r="K1320" s="130">
        <v>15</v>
      </c>
      <c r="L1320" s="131">
        <v>1.5097884909999999</v>
      </c>
      <c r="M1320" s="131">
        <v>0.1367919615</v>
      </c>
      <c r="N1320" s="131">
        <v>-1.284648689</v>
      </c>
      <c r="O1320" s="132" t="str">
        <f t="shared" si="0"/>
        <v>R.Gz.Lbh</v>
      </c>
    </row>
    <row r="1321" spans="1:15" ht="78">
      <c r="A1321" s="167" t="s">
        <v>3665</v>
      </c>
      <c r="B1321" s="130" t="s">
        <v>37</v>
      </c>
      <c r="C1321" s="168"/>
      <c r="D1321" s="169">
        <v>45156</v>
      </c>
      <c r="E1321" s="128" t="s">
        <v>149</v>
      </c>
      <c r="F1321" s="129" t="s">
        <v>42</v>
      </c>
      <c r="G1321" s="130">
        <v>3</v>
      </c>
      <c r="H1321" s="130">
        <v>6</v>
      </c>
      <c r="I1321" s="130">
        <v>9.4499999999999993</v>
      </c>
      <c r="J1321" s="130">
        <v>78</v>
      </c>
      <c r="K1321" s="130">
        <v>14</v>
      </c>
      <c r="L1321" s="131">
        <v>-1.9882001659999999</v>
      </c>
      <c r="M1321" s="131">
        <v>-1.1101762749999999</v>
      </c>
      <c r="N1321" s="131">
        <v>-1.97729029</v>
      </c>
      <c r="O1321" s="132" t="str">
        <f t="shared" si="0"/>
        <v>Normal</v>
      </c>
    </row>
    <row r="1322" spans="1:15" ht="78">
      <c r="A1322" s="167" t="s">
        <v>3666</v>
      </c>
      <c r="B1322" s="130" t="s">
        <v>37</v>
      </c>
      <c r="C1322" s="168"/>
      <c r="D1322" s="169">
        <v>45173</v>
      </c>
      <c r="E1322" s="128" t="s">
        <v>153</v>
      </c>
      <c r="F1322" s="129" t="s">
        <v>42</v>
      </c>
      <c r="G1322" s="130">
        <v>4</v>
      </c>
      <c r="H1322" s="130">
        <v>6</v>
      </c>
      <c r="I1322" s="130">
        <v>9.81</v>
      </c>
      <c r="J1322" s="130">
        <v>76.8</v>
      </c>
      <c r="K1322" s="130">
        <v>15.5</v>
      </c>
      <c r="L1322" s="131">
        <v>1.528914103E-2</v>
      </c>
      <c r="M1322" s="131">
        <v>-0.3133050946</v>
      </c>
      <c r="N1322" s="131">
        <v>0.32543580290000002</v>
      </c>
      <c r="O1322" s="132" t="str">
        <f t="shared" si="0"/>
        <v>Normal</v>
      </c>
    </row>
    <row r="1323" spans="1:15" ht="78">
      <c r="A1323" s="167" t="s">
        <v>3667</v>
      </c>
      <c r="B1323" s="130" t="s">
        <v>48</v>
      </c>
      <c r="C1323" s="168"/>
      <c r="D1323" s="169">
        <v>45259</v>
      </c>
      <c r="E1323" s="128"/>
      <c r="F1323" s="129" t="s">
        <v>42</v>
      </c>
      <c r="G1323" s="130">
        <v>2</v>
      </c>
      <c r="H1323" s="130">
        <v>6</v>
      </c>
      <c r="I1323" s="130">
        <v>12.7</v>
      </c>
      <c r="J1323" s="130">
        <v>88.5</v>
      </c>
      <c r="K1323" s="130">
        <v>17</v>
      </c>
      <c r="L1323" s="131">
        <v>-0.62439422590000004</v>
      </c>
      <c r="M1323" s="131">
        <v>-0.44386636089999998</v>
      </c>
      <c r="N1323" s="131">
        <v>-0.54481594249999998</v>
      </c>
      <c r="O1323" s="132" t="str">
        <f t="shared" si="0"/>
        <v xml:space="preserve"> </v>
      </c>
    </row>
    <row r="1324" spans="1:15" ht="78">
      <c r="A1324" s="167" t="s">
        <v>3668</v>
      </c>
      <c r="B1324" s="130" t="s">
        <v>48</v>
      </c>
      <c r="C1324" s="168"/>
      <c r="D1324" s="169">
        <v>45281</v>
      </c>
      <c r="E1324" s="128" t="s">
        <v>157</v>
      </c>
      <c r="F1324" s="129" t="s">
        <v>42</v>
      </c>
      <c r="G1324" s="130">
        <v>1</v>
      </c>
      <c r="H1324" s="130">
        <v>6</v>
      </c>
      <c r="I1324" s="130">
        <v>14.3</v>
      </c>
      <c r="J1324" s="130">
        <v>78.400000000000006</v>
      </c>
      <c r="K1324" s="130">
        <v>17</v>
      </c>
      <c r="L1324" s="131">
        <v>-1.3171745909999999</v>
      </c>
      <c r="M1324" s="131">
        <v>-0.43918188689999998</v>
      </c>
      <c r="N1324" s="131">
        <v>-1.642726482</v>
      </c>
      <c r="O1324" s="132" t="str">
        <f t="shared" si="0"/>
        <v>Normal</v>
      </c>
    </row>
    <row r="1325" spans="1:15" ht="78">
      <c r="A1325" s="167" t="s">
        <v>3669</v>
      </c>
      <c r="B1325" s="130" t="s">
        <v>37</v>
      </c>
      <c r="C1325" s="168"/>
      <c r="D1325" s="169">
        <v>45352</v>
      </c>
      <c r="E1325" s="128" t="s">
        <v>160</v>
      </c>
      <c r="F1325" s="129" t="s">
        <v>42</v>
      </c>
      <c r="G1325" s="130">
        <v>1</v>
      </c>
      <c r="H1325" s="130">
        <v>6</v>
      </c>
      <c r="I1325" s="130">
        <v>8.59</v>
      </c>
      <c r="J1325" s="130">
        <v>83</v>
      </c>
      <c r="K1325" s="130">
        <v>15</v>
      </c>
      <c r="L1325" s="131">
        <v>-0.54484065140000004</v>
      </c>
      <c r="M1325" s="131">
        <v>24.162095220000001</v>
      </c>
      <c r="N1325" s="131">
        <v>-1.955509267E-2</v>
      </c>
      <c r="O1325" s="132" t="str">
        <f t="shared" si="0"/>
        <v>Normal</v>
      </c>
    </row>
    <row r="1326" spans="1:15" ht="78">
      <c r="A1326" s="167" t="s">
        <v>3670</v>
      </c>
      <c r="B1326" s="130" t="s">
        <v>48</v>
      </c>
      <c r="C1326" s="168"/>
      <c r="D1326" s="169">
        <v>45385</v>
      </c>
      <c r="E1326" s="128" t="s">
        <v>164</v>
      </c>
      <c r="F1326" s="129" t="s">
        <v>42</v>
      </c>
      <c r="G1326" s="130">
        <v>4</v>
      </c>
      <c r="H1326" s="130">
        <v>6</v>
      </c>
      <c r="I1326" s="130">
        <v>9.81</v>
      </c>
      <c r="J1326" s="130">
        <v>74.5</v>
      </c>
      <c r="K1326" s="130">
        <v>16.5</v>
      </c>
      <c r="L1326" s="131">
        <v>-1.519655771</v>
      </c>
      <c r="M1326" s="131">
        <v>20.42641995</v>
      </c>
      <c r="N1326" s="131">
        <v>-1.632755814</v>
      </c>
      <c r="O1326" s="132" t="str">
        <f t="shared" si="0"/>
        <v>Normal</v>
      </c>
    </row>
    <row r="1327" spans="1:15" ht="78">
      <c r="A1327" s="167" t="s">
        <v>3671</v>
      </c>
      <c r="B1327" s="130" t="s">
        <v>37</v>
      </c>
      <c r="C1327" s="168"/>
      <c r="D1327" s="169">
        <v>45390</v>
      </c>
      <c r="E1327" s="128" t="s">
        <v>168</v>
      </c>
      <c r="F1327" s="129" t="s">
        <v>42</v>
      </c>
      <c r="G1327" s="130">
        <v>3</v>
      </c>
      <c r="H1327" s="130">
        <v>6</v>
      </c>
      <c r="I1327" s="130">
        <v>9.75</v>
      </c>
      <c r="J1327" s="130">
        <v>75</v>
      </c>
      <c r="K1327" s="130">
        <v>15</v>
      </c>
      <c r="L1327" s="131">
        <v>-1.489707004</v>
      </c>
      <c r="M1327" s="131">
        <v>18.310755539999999</v>
      </c>
      <c r="N1327" s="131">
        <v>-0.22259590439999999</v>
      </c>
      <c r="O1327" s="132" t="str">
        <f t="shared" si="0"/>
        <v>Normal</v>
      </c>
    </row>
    <row r="1328" spans="1:15" ht="78">
      <c r="A1328" s="167" t="s">
        <v>3672</v>
      </c>
      <c r="B1328" s="130" t="s">
        <v>48</v>
      </c>
      <c r="C1328" s="168"/>
      <c r="D1328" s="169">
        <v>45413</v>
      </c>
      <c r="E1328" s="128" t="s">
        <v>172</v>
      </c>
      <c r="F1328" s="129" t="s">
        <v>42</v>
      </c>
      <c r="G1328" s="130">
        <v>2</v>
      </c>
      <c r="H1328" s="130">
        <v>6</v>
      </c>
      <c r="I1328" s="130">
        <v>9.11</v>
      </c>
      <c r="J1328" s="130">
        <v>73.5</v>
      </c>
      <c r="K1328" s="130">
        <v>14.5</v>
      </c>
      <c r="L1328" s="131">
        <v>-0.20231924970000001</v>
      </c>
      <c r="M1328" s="131">
        <v>-0.4935024529</v>
      </c>
      <c r="N1328" s="131">
        <v>-1.359514176</v>
      </c>
      <c r="O1328" s="132" t="str">
        <f t="shared" si="0"/>
        <v>Normal</v>
      </c>
    </row>
    <row r="1329" spans="1:15" ht="78">
      <c r="A1329" s="167" t="s">
        <v>3673</v>
      </c>
      <c r="B1329" s="130" t="s">
        <v>48</v>
      </c>
      <c r="C1329" s="168"/>
      <c r="D1329" s="169">
        <v>45458</v>
      </c>
      <c r="E1329" s="128" t="s">
        <v>175</v>
      </c>
      <c r="F1329" s="129" t="s">
        <v>42</v>
      </c>
      <c r="G1329" s="130">
        <v>4</v>
      </c>
      <c r="H1329" s="130">
        <v>6</v>
      </c>
      <c r="I1329" s="130">
        <v>9.1</v>
      </c>
      <c r="J1329" s="130">
        <v>72</v>
      </c>
      <c r="K1329" s="130">
        <v>14.5</v>
      </c>
      <c r="L1329" s="131">
        <v>22.01848541</v>
      </c>
      <c r="M1329" s="131">
        <v>-1.088480882</v>
      </c>
      <c r="N1329" s="131">
        <v>-0.4854593888</v>
      </c>
      <c r="O1329" s="132" t="str">
        <f t="shared" si="0"/>
        <v>Obesitas</v>
      </c>
    </row>
    <row r="1330" spans="1:15" ht="78">
      <c r="A1330" s="167" t="s">
        <v>3674</v>
      </c>
      <c r="B1330" s="130" t="s">
        <v>48</v>
      </c>
      <c r="C1330" s="168"/>
      <c r="D1330" s="169">
        <v>45533</v>
      </c>
      <c r="E1330" s="128" t="s">
        <v>177</v>
      </c>
      <c r="F1330" s="129" t="s">
        <v>42</v>
      </c>
      <c r="G1330" s="130">
        <v>2</v>
      </c>
      <c r="H1330" s="130">
        <v>6</v>
      </c>
      <c r="I1330" s="130">
        <v>6.31</v>
      </c>
      <c r="J1330" s="130">
        <v>62.5</v>
      </c>
      <c r="K1330" s="130">
        <v>14</v>
      </c>
      <c r="L1330" s="131">
        <v>-0.41446511489999999</v>
      </c>
      <c r="M1330" s="131">
        <v>-1.7137424299999999</v>
      </c>
      <c r="N1330" s="131">
        <v>-0.40550525770000001</v>
      </c>
      <c r="O1330" s="132" t="str">
        <f t="shared" si="0"/>
        <v>Normal</v>
      </c>
    </row>
    <row r="1331" spans="1:15" ht="78">
      <c r="A1331" s="167" t="s">
        <v>3675</v>
      </c>
      <c r="B1331" s="130" t="s">
        <v>37</v>
      </c>
      <c r="C1331" s="168"/>
      <c r="D1331" s="169">
        <v>45542</v>
      </c>
      <c r="E1331" s="128" t="s">
        <v>181</v>
      </c>
      <c r="F1331" s="129" t="s">
        <v>42</v>
      </c>
      <c r="G1331" s="130">
        <v>4</v>
      </c>
      <c r="H1331" s="130">
        <v>6</v>
      </c>
      <c r="I1331" s="130">
        <v>5.22</v>
      </c>
      <c r="J1331" s="130">
        <v>61.8</v>
      </c>
      <c r="K1331" s="130">
        <v>12.5</v>
      </c>
      <c r="L1331" s="131">
        <v>-0.23378554970000001</v>
      </c>
      <c r="M1331" s="131">
        <v>-1.0932046070000001</v>
      </c>
      <c r="N1331" s="131">
        <v>-0.43498788640000002</v>
      </c>
      <c r="O1331" s="132" t="str">
        <f t="shared" si="0"/>
        <v>Normal</v>
      </c>
    </row>
    <row r="1332" spans="1:15" ht="78">
      <c r="A1332" s="167" t="s">
        <v>3676</v>
      </c>
      <c r="B1332" s="130" t="s">
        <v>48</v>
      </c>
      <c r="C1332" s="168"/>
      <c r="D1332" s="169">
        <v>45540</v>
      </c>
      <c r="E1332" s="128" t="s">
        <v>185</v>
      </c>
      <c r="F1332" s="129" t="s">
        <v>42</v>
      </c>
      <c r="G1332" s="130">
        <v>2</v>
      </c>
      <c r="H1332" s="130">
        <v>6</v>
      </c>
      <c r="I1332" s="130">
        <v>7</v>
      </c>
      <c r="J1332" s="130">
        <v>65.5</v>
      </c>
      <c r="K1332" s="130">
        <v>14</v>
      </c>
      <c r="L1332" s="131">
        <v>-2.0472580169999999</v>
      </c>
      <c r="M1332" s="131">
        <v>1.957193097</v>
      </c>
      <c r="N1332" s="131">
        <v>-1.288739219</v>
      </c>
      <c r="O1332" s="132" t="str">
        <f t="shared" si="0"/>
        <v>Gz.Krg</v>
      </c>
    </row>
    <row r="1333" spans="1:15" ht="78">
      <c r="A1333" s="167" t="s">
        <v>3677</v>
      </c>
      <c r="B1333" s="130" t="s">
        <v>48</v>
      </c>
      <c r="C1333" s="168"/>
      <c r="D1333" s="169">
        <v>45597</v>
      </c>
      <c r="E1333" s="128" t="s">
        <v>188</v>
      </c>
      <c r="F1333" s="129" t="s">
        <v>42</v>
      </c>
      <c r="G1333" s="130">
        <v>2</v>
      </c>
      <c r="H1333" s="130">
        <v>6</v>
      </c>
      <c r="I1333" s="130">
        <v>5.59</v>
      </c>
      <c r="J1333" s="130">
        <v>61</v>
      </c>
      <c r="K1333" s="130">
        <v>13</v>
      </c>
      <c r="L1333" s="131">
        <v>-0.48256738030000002</v>
      </c>
      <c r="M1333" s="131">
        <v>-0.1715433133</v>
      </c>
      <c r="N1333" s="131">
        <v>1.6463544740000001E-3</v>
      </c>
      <c r="O1333" s="132" t="str">
        <f t="shared" si="0"/>
        <v>Normal</v>
      </c>
    </row>
    <row r="1334" spans="1:15" ht="78">
      <c r="A1334" s="167" t="s">
        <v>3678</v>
      </c>
      <c r="B1334" s="130" t="s">
        <v>48</v>
      </c>
      <c r="C1334" s="168"/>
      <c r="D1334" s="169">
        <v>45576</v>
      </c>
      <c r="E1334" s="128" t="s">
        <v>192</v>
      </c>
      <c r="F1334" s="129" t="s">
        <v>42</v>
      </c>
      <c r="G1334" s="130">
        <v>1</v>
      </c>
      <c r="H1334" s="130">
        <v>6</v>
      </c>
      <c r="I1334" s="130">
        <v>5.75</v>
      </c>
      <c r="J1334" s="130">
        <v>61</v>
      </c>
      <c r="K1334" s="130">
        <v>14</v>
      </c>
      <c r="L1334" s="131">
        <v>-1.7706991249999999</v>
      </c>
      <c r="M1334" s="131">
        <v>1.5591474940000001</v>
      </c>
      <c r="N1334" s="131">
        <v>-1.2990833610000001</v>
      </c>
      <c r="O1334" s="132" t="str">
        <f t="shared" si="0"/>
        <v>Normal</v>
      </c>
    </row>
    <row r="1335" spans="1:15" ht="78">
      <c r="A1335" s="167" t="s">
        <v>3679</v>
      </c>
      <c r="B1335" s="130" t="s">
        <v>37</v>
      </c>
      <c r="C1335" s="168"/>
      <c r="D1335" s="169">
        <v>45607</v>
      </c>
      <c r="E1335" s="128" t="s">
        <v>196</v>
      </c>
      <c r="F1335" s="129" t="s">
        <v>42</v>
      </c>
      <c r="G1335" s="130">
        <v>2</v>
      </c>
      <c r="H1335" s="130">
        <v>6</v>
      </c>
      <c r="I1335" s="130">
        <v>5.53</v>
      </c>
      <c r="J1335" s="130">
        <v>61.3</v>
      </c>
      <c r="K1335" s="130">
        <v>14</v>
      </c>
      <c r="L1335" s="138">
        <f>IF(E1335&gt;=1,AJ1335-((V1335-$BH1335)*(AJ1335-$BC1335)),"")</f>
        <v>0</v>
      </c>
      <c r="M1335" s="131">
        <v>-1.1936717379999999</v>
      </c>
      <c r="N1335" s="131">
        <v>4.0682224939999996</v>
      </c>
      <c r="O1335" s="132" t="str">
        <f t="shared" si="0"/>
        <v>Normal</v>
      </c>
    </row>
    <row r="1336" spans="1:15" ht="78">
      <c r="A1336" s="167" t="s">
        <v>3680</v>
      </c>
      <c r="B1336" s="126" t="s">
        <v>48</v>
      </c>
      <c r="C1336" s="168"/>
      <c r="D1336" s="139" t="s">
        <v>215</v>
      </c>
      <c r="E1336" s="140" t="s">
        <v>218</v>
      </c>
      <c r="F1336" s="170" t="s">
        <v>220</v>
      </c>
      <c r="G1336" s="136">
        <v>1</v>
      </c>
      <c r="H1336" s="136">
        <v>3</v>
      </c>
      <c r="I1336" s="136">
        <v>16.8</v>
      </c>
      <c r="J1336" s="136">
        <v>107</v>
      </c>
      <c r="K1336" s="136">
        <v>16</v>
      </c>
      <c r="L1336" s="131">
        <v>-0.45859293080000002</v>
      </c>
      <c r="M1336" s="131">
        <v>-0.30357252229999998</v>
      </c>
      <c r="N1336" s="131">
        <v>3.0429888840000001</v>
      </c>
      <c r="O1336" s="132" t="str">
        <f t="shared" si="0"/>
        <v>Normal</v>
      </c>
    </row>
    <row r="1337" spans="1:15" ht="78">
      <c r="A1337" s="167" t="s">
        <v>3681</v>
      </c>
      <c r="B1337" s="126" t="s">
        <v>48</v>
      </c>
      <c r="C1337" s="168"/>
      <c r="D1337" s="139" t="s">
        <v>224</v>
      </c>
      <c r="E1337" s="140" t="s">
        <v>227</v>
      </c>
      <c r="F1337" s="170" t="s">
        <v>220</v>
      </c>
      <c r="G1337" s="141">
        <v>4</v>
      </c>
      <c r="H1337" s="142">
        <v>3</v>
      </c>
      <c r="I1337" s="136">
        <v>16.600000000000001</v>
      </c>
      <c r="J1337" s="136">
        <v>106</v>
      </c>
      <c r="K1337" s="136">
        <v>18</v>
      </c>
      <c r="L1337" s="131">
        <v>-0.53531100799999998</v>
      </c>
      <c r="M1337" s="131">
        <v>-0.50128580060000005</v>
      </c>
      <c r="N1337" s="131">
        <v>-0.40550525770000001</v>
      </c>
      <c r="O1337" s="132" t="str">
        <f t="shared" si="0"/>
        <v>Normal</v>
      </c>
    </row>
    <row r="1338" spans="1:15" ht="78">
      <c r="A1338" s="167" t="s">
        <v>3682</v>
      </c>
      <c r="B1338" s="126" t="s">
        <v>48</v>
      </c>
      <c r="C1338" s="168"/>
      <c r="D1338" s="139" t="s">
        <v>229</v>
      </c>
      <c r="E1338" s="143" t="s">
        <v>232</v>
      </c>
      <c r="F1338" s="170" t="s">
        <v>220</v>
      </c>
      <c r="G1338" s="144">
        <v>4</v>
      </c>
      <c r="H1338" s="135">
        <v>3</v>
      </c>
      <c r="I1338" s="136">
        <v>15.2</v>
      </c>
      <c r="J1338" s="136">
        <v>106</v>
      </c>
      <c r="K1338" s="136">
        <v>16</v>
      </c>
      <c r="L1338" s="131">
        <v>-1.1936717379999999</v>
      </c>
      <c r="M1338" s="131">
        <v>-0.4935024529</v>
      </c>
      <c r="N1338" s="131">
        <v>-1.477688428</v>
      </c>
      <c r="O1338" s="132" t="str">
        <f t="shared" si="0"/>
        <v>Normal</v>
      </c>
    </row>
    <row r="1339" spans="1:15" ht="78">
      <c r="A1339" s="167" t="s">
        <v>3683</v>
      </c>
      <c r="B1339" s="126" t="s">
        <v>37</v>
      </c>
      <c r="C1339" s="168"/>
      <c r="D1339" s="139" t="s">
        <v>234</v>
      </c>
      <c r="E1339" s="145" t="s">
        <v>237</v>
      </c>
      <c r="F1339" s="170" t="s">
        <v>220</v>
      </c>
      <c r="G1339" s="142">
        <v>3</v>
      </c>
      <c r="H1339" s="142">
        <v>3</v>
      </c>
      <c r="I1339" s="136">
        <v>20</v>
      </c>
      <c r="J1339" s="136">
        <v>102</v>
      </c>
      <c r="K1339" s="136">
        <v>19</v>
      </c>
      <c r="L1339" s="131">
        <v>0.99940678630000002</v>
      </c>
      <c r="M1339" s="131">
        <v>-1.088480882</v>
      </c>
      <c r="N1339" s="131">
        <v>2.673140783</v>
      </c>
      <c r="O1339" s="132" t="str">
        <f t="shared" si="0"/>
        <v>Normal</v>
      </c>
    </row>
    <row r="1340" spans="1:15" ht="78">
      <c r="A1340" s="167" t="s">
        <v>3684</v>
      </c>
      <c r="B1340" s="126" t="s">
        <v>37</v>
      </c>
      <c r="C1340" s="168"/>
      <c r="D1340" s="139" t="s">
        <v>239</v>
      </c>
      <c r="E1340" s="145" t="s">
        <v>241</v>
      </c>
      <c r="F1340" s="170" t="s">
        <v>220</v>
      </c>
      <c r="G1340" s="142">
        <v>1</v>
      </c>
      <c r="H1340" s="142">
        <v>3</v>
      </c>
      <c r="I1340" s="136">
        <v>13.2</v>
      </c>
      <c r="J1340" s="136">
        <v>98.6</v>
      </c>
      <c r="K1340" s="136">
        <v>18</v>
      </c>
      <c r="L1340" s="131">
        <v>-1.94988527</v>
      </c>
      <c r="M1340" s="131">
        <v>-1.7137424299999999</v>
      </c>
      <c r="N1340" s="131">
        <v>-1.350682076</v>
      </c>
      <c r="O1340" s="132" t="str">
        <f t="shared" si="0"/>
        <v>Normal</v>
      </c>
    </row>
    <row r="1341" spans="1:15" ht="78">
      <c r="A1341" s="167" t="s">
        <v>3685</v>
      </c>
      <c r="B1341" s="126" t="s">
        <v>37</v>
      </c>
      <c r="C1341" s="168"/>
      <c r="D1341" s="139" t="s">
        <v>243</v>
      </c>
      <c r="E1341" s="143" t="s">
        <v>199</v>
      </c>
      <c r="F1341" s="170" t="s">
        <v>220</v>
      </c>
      <c r="G1341" s="144">
        <v>1</v>
      </c>
      <c r="H1341" s="135">
        <v>3</v>
      </c>
      <c r="I1341" s="136">
        <v>16.5</v>
      </c>
      <c r="J1341" s="136">
        <v>101</v>
      </c>
      <c r="K1341" s="136">
        <v>17</v>
      </c>
      <c r="L1341" s="131">
        <v>-0.25267726270000002</v>
      </c>
      <c r="M1341" s="131">
        <v>-1.0932046070000001</v>
      </c>
      <c r="N1341" s="131">
        <v>0.70475696840000002</v>
      </c>
      <c r="O1341" s="132" t="str">
        <f t="shared" si="0"/>
        <v>Normal</v>
      </c>
    </row>
    <row r="1342" spans="1:15" ht="78">
      <c r="A1342" s="167" t="s">
        <v>3686</v>
      </c>
      <c r="B1342" s="126" t="s">
        <v>48</v>
      </c>
      <c r="C1342" s="168"/>
      <c r="D1342" s="139" t="s">
        <v>247</v>
      </c>
      <c r="E1342" s="143" t="s">
        <v>250</v>
      </c>
      <c r="F1342" s="170" t="s">
        <v>220</v>
      </c>
      <c r="G1342" s="144">
        <v>1</v>
      </c>
      <c r="H1342" s="135">
        <v>3</v>
      </c>
      <c r="I1342" s="136">
        <v>26.5</v>
      </c>
      <c r="J1342" s="136">
        <v>114</v>
      </c>
      <c r="K1342" s="136">
        <v>21</v>
      </c>
      <c r="L1342" s="131">
        <v>3.4063682630000001</v>
      </c>
      <c r="M1342" s="131">
        <v>1.957193097</v>
      </c>
      <c r="N1342" s="131">
        <v>3.21922263</v>
      </c>
      <c r="O1342" s="132" t="str">
        <f t="shared" si="0"/>
        <v>Obesitas</v>
      </c>
    </row>
    <row r="1343" spans="1:15" ht="78">
      <c r="A1343" s="167" t="s">
        <v>3687</v>
      </c>
      <c r="B1343" s="126" t="s">
        <v>37</v>
      </c>
      <c r="C1343" s="168"/>
      <c r="D1343" s="139" t="s">
        <v>251</v>
      </c>
      <c r="E1343" s="143" t="s">
        <v>254</v>
      </c>
      <c r="F1343" s="170" t="s">
        <v>220</v>
      </c>
      <c r="G1343" s="144">
        <v>2</v>
      </c>
      <c r="H1343" s="135">
        <v>3</v>
      </c>
      <c r="I1343" s="136">
        <v>18.600000000000001</v>
      </c>
      <c r="J1343" s="136">
        <v>103</v>
      </c>
      <c r="K1343" s="136">
        <v>19</v>
      </c>
      <c r="L1343" s="131">
        <v>0.94510909880000005</v>
      </c>
      <c r="M1343" s="131">
        <v>-0.1715433133</v>
      </c>
      <c r="N1343" s="131">
        <v>1.620049241</v>
      </c>
      <c r="O1343" s="132" t="str">
        <f t="shared" si="0"/>
        <v>Normal</v>
      </c>
    </row>
    <row r="1344" spans="1:15" ht="78">
      <c r="A1344" s="167" t="s">
        <v>3688</v>
      </c>
      <c r="B1344" s="126" t="s">
        <v>37</v>
      </c>
      <c r="C1344" s="168"/>
      <c r="D1344" s="139" t="s">
        <v>256</v>
      </c>
      <c r="E1344" s="143" t="s">
        <v>259</v>
      </c>
      <c r="F1344" s="159" t="s">
        <v>220</v>
      </c>
      <c r="G1344" s="144">
        <v>2</v>
      </c>
      <c r="H1344" s="135">
        <v>3</v>
      </c>
      <c r="I1344" s="136">
        <v>22.7</v>
      </c>
      <c r="J1344" s="136">
        <v>110</v>
      </c>
      <c r="K1344" s="136">
        <v>19</v>
      </c>
      <c r="L1344" s="131">
        <v>2.5028789699999998</v>
      </c>
      <c r="M1344" s="131">
        <v>1.5591474940000001</v>
      </c>
      <c r="N1344" s="131">
        <v>2.2023930209999998</v>
      </c>
      <c r="O1344" s="132" t="str">
        <f t="shared" si="0"/>
        <v>Gz.Lbh</v>
      </c>
    </row>
    <row r="1345" spans="1:15" ht="78">
      <c r="A1345" s="167" t="s">
        <v>3689</v>
      </c>
      <c r="B1345" s="126" t="s">
        <v>48</v>
      </c>
      <c r="C1345" s="168"/>
      <c r="D1345" s="139" t="s">
        <v>261</v>
      </c>
      <c r="E1345" s="143" t="s">
        <v>264</v>
      </c>
      <c r="F1345" s="159" t="s">
        <v>220</v>
      </c>
      <c r="G1345" s="144">
        <v>4</v>
      </c>
      <c r="H1345" s="135">
        <v>3</v>
      </c>
      <c r="I1345" s="136">
        <v>13.2</v>
      </c>
      <c r="J1345" s="136">
        <v>98.5</v>
      </c>
      <c r="K1345" s="136">
        <v>15</v>
      </c>
      <c r="L1345" s="131">
        <v>-1.6977755329999999</v>
      </c>
      <c r="M1345" s="131">
        <v>-1.146861656</v>
      </c>
      <c r="N1345" s="131">
        <v>-1.582626654</v>
      </c>
      <c r="O1345" s="132" t="str">
        <f t="shared" si="0"/>
        <v>Normal</v>
      </c>
    </row>
    <row r="1346" spans="1:15" ht="78">
      <c r="A1346" s="167" t="s">
        <v>3690</v>
      </c>
      <c r="B1346" s="126" t="s">
        <v>48</v>
      </c>
      <c r="C1346" s="168"/>
      <c r="D1346" s="139" t="s">
        <v>266</v>
      </c>
      <c r="E1346" s="143" t="s">
        <v>269</v>
      </c>
      <c r="F1346" s="159" t="s">
        <v>220</v>
      </c>
      <c r="G1346" s="144">
        <v>4</v>
      </c>
      <c r="H1346" s="135">
        <v>3</v>
      </c>
      <c r="I1346" s="136">
        <v>12.8</v>
      </c>
      <c r="J1346" s="136">
        <v>102</v>
      </c>
      <c r="K1346" s="136">
        <v>15</v>
      </c>
      <c r="L1346" s="131">
        <v>-1.673123524</v>
      </c>
      <c r="M1346" s="131">
        <v>0.16798569939999999</v>
      </c>
      <c r="N1346" s="131">
        <v>-2.740118823</v>
      </c>
      <c r="O1346" s="132" t="str">
        <f t="shared" si="0"/>
        <v>Normal</v>
      </c>
    </row>
    <row r="1347" spans="1:15" ht="78">
      <c r="A1347" s="167" t="s">
        <v>3691</v>
      </c>
      <c r="B1347" s="126" t="s">
        <v>48</v>
      </c>
      <c r="C1347" s="168"/>
      <c r="D1347" s="139" t="s">
        <v>271</v>
      </c>
      <c r="E1347" s="143" t="s">
        <v>274</v>
      </c>
      <c r="F1347" s="159" t="s">
        <v>220</v>
      </c>
      <c r="G1347" s="144">
        <v>2</v>
      </c>
      <c r="H1347" s="135">
        <v>3</v>
      </c>
      <c r="I1347" s="136">
        <v>12.5</v>
      </c>
      <c r="J1347" s="136">
        <v>91</v>
      </c>
      <c r="K1347" s="136">
        <v>14</v>
      </c>
      <c r="L1347" s="131">
        <v>-1.7961859739999999</v>
      </c>
      <c r="M1347" s="131">
        <v>-2.4370645</v>
      </c>
      <c r="N1347" s="131">
        <v>-0.62767310880000005</v>
      </c>
      <c r="O1347" s="132" t="str">
        <f t="shared" si="0"/>
        <v>Normal</v>
      </c>
    </row>
    <row r="1348" spans="1:15" ht="78">
      <c r="A1348" s="167" t="s">
        <v>3692</v>
      </c>
      <c r="B1348" s="126" t="s">
        <v>48</v>
      </c>
      <c r="C1348" s="168"/>
      <c r="D1348" s="139" t="s">
        <v>277</v>
      </c>
      <c r="E1348" s="143" t="s">
        <v>280</v>
      </c>
      <c r="F1348" s="159" t="s">
        <v>220</v>
      </c>
      <c r="G1348" s="144">
        <v>4</v>
      </c>
      <c r="H1348" s="135">
        <v>3</v>
      </c>
      <c r="I1348" s="136">
        <v>16.5</v>
      </c>
      <c r="J1348" s="136">
        <v>95.2</v>
      </c>
      <c r="K1348" s="136">
        <v>19</v>
      </c>
      <c r="L1348" s="131">
        <v>0.8752717955</v>
      </c>
      <c r="M1348" s="131">
        <v>-0.72017569319999997</v>
      </c>
      <c r="N1348" s="131">
        <v>2.0086995970000001</v>
      </c>
      <c r="O1348" s="132" t="str">
        <f t="shared" si="0"/>
        <v>Normal</v>
      </c>
    </row>
    <row r="1349" spans="1:15" ht="78">
      <c r="A1349" s="167" t="s">
        <v>3693</v>
      </c>
      <c r="B1349" s="126" t="s">
        <v>48</v>
      </c>
      <c r="C1349" s="168"/>
      <c r="D1349" s="139" t="s">
        <v>282</v>
      </c>
      <c r="E1349" s="143" t="s">
        <v>285</v>
      </c>
      <c r="F1349" s="159" t="s">
        <v>220</v>
      </c>
      <c r="G1349" s="144">
        <v>2</v>
      </c>
      <c r="H1349" s="135">
        <v>3</v>
      </c>
      <c r="I1349" s="136">
        <v>11.6</v>
      </c>
      <c r="J1349" s="136">
        <v>90</v>
      </c>
      <c r="K1349" s="136">
        <v>15</v>
      </c>
      <c r="L1349" s="131">
        <v>-1.9990802219999999</v>
      </c>
      <c r="M1349" s="131">
        <v>-2.028164699</v>
      </c>
      <c r="N1349" s="131">
        <v>-1.359514176</v>
      </c>
      <c r="O1349" s="132" t="str">
        <f t="shared" si="0"/>
        <v>Normal</v>
      </c>
    </row>
    <row r="1350" spans="1:15" ht="78">
      <c r="A1350" s="167" t="s">
        <v>3694</v>
      </c>
      <c r="B1350" s="126" t="s">
        <v>48</v>
      </c>
      <c r="C1350" s="168"/>
      <c r="D1350" s="139" t="s">
        <v>287</v>
      </c>
      <c r="E1350" s="143" t="s">
        <v>290</v>
      </c>
      <c r="F1350" s="159" t="s">
        <v>220</v>
      </c>
      <c r="G1350" s="144">
        <v>1</v>
      </c>
      <c r="H1350" s="135">
        <v>3</v>
      </c>
      <c r="I1350" s="136">
        <v>15</v>
      </c>
      <c r="J1350" s="136">
        <v>96</v>
      </c>
      <c r="K1350" s="136">
        <v>17</v>
      </c>
      <c r="L1350" s="131">
        <v>0.25332594419999999</v>
      </c>
      <c r="M1350" s="131">
        <v>-0.2328013323</v>
      </c>
      <c r="N1350" s="131">
        <v>0.60965601390000002</v>
      </c>
      <c r="O1350" s="132" t="str">
        <f t="shared" si="0"/>
        <v>Normal</v>
      </c>
    </row>
    <row r="1351" spans="1:15" ht="78">
      <c r="A1351" s="167" t="s">
        <v>3695</v>
      </c>
      <c r="B1351" s="126" t="s">
        <v>48</v>
      </c>
      <c r="C1351" s="168"/>
      <c r="D1351" s="139" t="s">
        <v>293</v>
      </c>
      <c r="E1351" s="143" t="s">
        <v>296</v>
      </c>
      <c r="F1351" s="159" t="s">
        <v>220</v>
      </c>
      <c r="G1351" s="144">
        <v>3</v>
      </c>
      <c r="H1351" s="135">
        <v>3</v>
      </c>
      <c r="I1351" s="146">
        <v>14.5</v>
      </c>
      <c r="J1351" s="137">
        <v>96</v>
      </c>
      <c r="K1351" s="137">
        <v>16</v>
      </c>
      <c r="L1351" s="131">
        <v>2.927690938E-2</v>
      </c>
      <c r="M1351" s="131">
        <v>-0.13194324290000001</v>
      </c>
      <c r="N1351" s="131">
        <v>0.1749311181</v>
      </c>
      <c r="O1351" s="132" t="str">
        <f t="shared" si="0"/>
        <v>Normal</v>
      </c>
    </row>
    <row r="1352" spans="1:15" ht="78">
      <c r="A1352" s="167" t="s">
        <v>3696</v>
      </c>
      <c r="B1352" s="126" t="s">
        <v>37</v>
      </c>
      <c r="C1352" s="168"/>
      <c r="D1352" s="139" t="s">
        <v>298</v>
      </c>
      <c r="E1352" s="143" t="s">
        <v>301</v>
      </c>
      <c r="F1352" s="159" t="s">
        <v>220</v>
      </c>
      <c r="G1352" s="144">
        <v>3</v>
      </c>
      <c r="H1352" s="135">
        <v>3</v>
      </c>
      <c r="I1352" s="136">
        <v>16.7</v>
      </c>
      <c r="J1352" s="136">
        <v>90.6</v>
      </c>
      <c r="K1352" s="136">
        <v>18</v>
      </c>
      <c r="L1352" s="131">
        <v>1.836764821</v>
      </c>
      <c r="M1352" s="131">
        <v>-0.66677972630000004</v>
      </c>
      <c r="N1352" s="131">
        <v>3.1039614869999999</v>
      </c>
      <c r="O1352" s="132" t="str">
        <f t="shared" si="0"/>
        <v>R.Gz.Lbh</v>
      </c>
    </row>
    <row r="1353" spans="1:15" ht="78">
      <c r="A1353" s="167" t="s">
        <v>3697</v>
      </c>
      <c r="B1353" s="126" t="s">
        <v>48</v>
      </c>
      <c r="C1353" s="168"/>
      <c r="D1353" s="139" t="s">
        <v>303</v>
      </c>
      <c r="E1353" s="143" t="s">
        <v>306</v>
      </c>
      <c r="F1353" s="159" t="s">
        <v>220</v>
      </c>
      <c r="G1353" s="144">
        <v>3</v>
      </c>
      <c r="H1353" s="135">
        <v>3</v>
      </c>
      <c r="I1353" s="136">
        <v>12.3</v>
      </c>
      <c r="J1353" s="136">
        <v>93</v>
      </c>
      <c r="K1353" s="136">
        <v>15</v>
      </c>
      <c r="L1353" s="131">
        <v>-0.85889886150000005</v>
      </c>
      <c r="M1353" s="131">
        <v>-6.6601742980000003E-2</v>
      </c>
      <c r="N1353" s="131">
        <v>-1.284648689</v>
      </c>
      <c r="O1353" s="132" t="str">
        <f t="shared" si="0"/>
        <v>Normal</v>
      </c>
    </row>
    <row r="1354" spans="1:15" ht="78">
      <c r="A1354" s="167" t="s">
        <v>3698</v>
      </c>
      <c r="B1354" s="126" t="s">
        <v>48</v>
      </c>
      <c r="C1354" s="168"/>
      <c r="D1354" s="139" t="s">
        <v>308</v>
      </c>
      <c r="E1354" s="143" t="s">
        <v>311</v>
      </c>
      <c r="F1354" s="159" t="s">
        <v>220</v>
      </c>
      <c r="G1354" s="144">
        <v>4</v>
      </c>
      <c r="H1354" s="135">
        <v>3</v>
      </c>
      <c r="I1354" s="146">
        <v>10.8</v>
      </c>
      <c r="J1354" s="137">
        <v>83</v>
      </c>
      <c r="K1354" s="137">
        <v>15</v>
      </c>
      <c r="L1354" s="131">
        <v>-1.7605402960000001</v>
      </c>
      <c r="M1354" s="131">
        <v>-2.6106485589999999</v>
      </c>
      <c r="N1354" s="131">
        <v>-0.45449538610000001</v>
      </c>
      <c r="O1354" s="132" t="str">
        <f t="shared" ref="O1354:O1417" si="1">IF(D1354&gt;0,IF(E1354&gt;0,IF(L1354&lt;-3,"Gz.Brk",IF(L1354&lt;-2,"Gz.Krg",IF(L1354&lt;=1,"Normal",IF(L1354&lt;=2,"R.Gz.Lbh",IF(L1354&lt;=3,"Gz.Lbh","Obesitas")))))," "),"")</f>
        <v>Normal</v>
      </c>
    </row>
    <row r="1355" spans="1:15" ht="78">
      <c r="A1355" s="167" t="s">
        <v>3699</v>
      </c>
      <c r="B1355" s="126" t="s">
        <v>37</v>
      </c>
      <c r="C1355" s="168"/>
      <c r="D1355" s="139" t="s">
        <v>313</v>
      </c>
      <c r="E1355" s="143" t="s">
        <v>254</v>
      </c>
      <c r="F1355" s="159" t="s">
        <v>220</v>
      </c>
      <c r="G1355" s="144">
        <v>2</v>
      </c>
      <c r="H1355" s="135">
        <v>3</v>
      </c>
      <c r="I1355" s="146">
        <v>12.5</v>
      </c>
      <c r="J1355" s="137">
        <v>90</v>
      </c>
      <c r="K1355" s="137">
        <v>15</v>
      </c>
      <c r="L1355" s="131">
        <v>-0.1110899299</v>
      </c>
      <c r="M1355" s="131">
        <v>-0.15524046990000001</v>
      </c>
      <c r="N1355" s="131">
        <v>-0.1364179714</v>
      </c>
      <c r="O1355" s="132" t="str">
        <f t="shared" si="1"/>
        <v>Normal</v>
      </c>
    </row>
    <row r="1356" spans="1:15" ht="78">
      <c r="A1356" s="167" t="s">
        <v>3700</v>
      </c>
      <c r="B1356" s="126" t="s">
        <v>48</v>
      </c>
      <c r="C1356" s="168"/>
      <c r="D1356" s="139" t="s">
        <v>316</v>
      </c>
      <c r="E1356" s="143" t="s">
        <v>319</v>
      </c>
      <c r="F1356" s="159" t="s">
        <v>220</v>
      </c>
      <c r="G1356" s="144">
        <v>2</v>
      </c>
      <c r="H1356" s="135">
        <v>3</v>
      </c>
      <c r="I1356" s="146">
        <v>11.1</v>
      </c>
      <c r="J1356" s="137">
        <v>88.5</v>
      </c>
      <c r="K1356" s="137">
        <v>15</v>
      </c>
      <c r="L1356" s="131">
        <v>-1.2789824540000001</v>
      </c>
      <c r="M1356" s="131">
        <v>-0.5170808321</v>
      </c>
      <c r="N1356" s="131">
        <v>-1.562722312</v>
      </c>
      <c r="O1356" s="132" t="str">
        <f t="shared" si="1"/>
        <v>Normal</v>
      </c>
    </row>
    <row r="1357" spans="1:15" ht="78">
      <c r="A1357" s="167" t="s">
        <v>3701</v>
      </c>
      <c r="B1357" s="126" t="s">
        <v>48</v>
      </c>
      <c r="C1357" s="168"/>
      <c r="D1357" s="139" t="s">
        <v>321</v>
      </c>
      <c r="E1357" s="143" t="s">
        <v>324</v>
      </c>
      <c r="F1357" s="159" t="s">
        <v>220</v>
      </c>
      <c r="G1357" s="144">
        <v>2</v>
      </c>
      <c r="H1357" s="135">
        <v>3</v>
      </c>
      <c r="I1357" s="146">
        <v>12.5</v>
      </c>
      <c r="J1357" s="137">
        <v>89.4</v>
      </c>
      <c r="K1357" s="137">
        <v>15</v>
      </c>
      <c r="L1357" s="131">
        <v>-0.19080336279999999</v>
      </c>
      <c r="M1357" s="131">
        <v>-0.1165801786</v>
      </c>
      <c r="N1357" s="131">
        <v>-0.2498828012</v>
      </c>
      <c r="O1357" s="132" t="str">
        <f t="shared" si="1"/>
        <v>Normal</v>
      </c>
    </row>
    <row r="1358" spans="1:15" ht="78">
      <c r="A1358" s="167" t="s">
        <v>3702</v>
      </c>
      <c r="B1358" s="126" t="s">
        <v>37</v>
      </c>
      <c r="C1358" s="168"/>
      <c r="D1358" s="139" t="s">
        <v>326</v>
      </c>
      <c r="E1358" s="143" t="s">
        <v>329</v>
      </c>
      <c r="F1358" s="159" t="s">
        <v>220</v>
      </c>
      <c r="G1358" s="144">
        <v>2</v>
      </c>
      <c r="H1358" s="135">
        <v>3</v>
      </c>
      <c r="I1358" s="146">
        <v>8.6999999999999993</v>
      </c>
      <c r="J1358" s="137">
        <v>79.5</v>
      </c>
      <c r="K1358" s="137">
        <v>11</v>
      </c>
      <c r="L1358" s="131">
        <v>-1.9952293699999999</v>
      </c>
      <c r="M1358" s="131">
        <v>-1.611842266</v>
      </c>
      <c r="N1358" s="131">
        <v>-1.6157209269999999</v>
      </c>
      <c r="O1358" s="132" t="str">
        <f t="shared" si="1"/>
        <v>Normal</v>
      </c>
    </row>
    <row r="1359" spans="1:15" ht="78">
      <c r="A1359" s="167" t="s">
        <v>3703</v>
      </c>
      <c r="B1359" s="126" t="s">
        <v>48</v>
      </c>
      <c r="C1359" s="168"/>
      <c r="D1359" s="139" t="s">
        <v>331</v>
      </c>
      <c r="E1359" s="143" t="s">
        <v>264</v>
      </c>
      <c r="F1359" s="159" t="s">
        <v>220</v>
      </c>
      <c r="G1359" s="144">
        <v>4</v>
      </c>
      <c r="H1359" s="135">
        <v>3</v>
      </c>
      <c r="I1359" s="146">
        <v>11</v>
      </c>
      <c r="J1359" s="137">
        <v>85.6</v>
      </c>
      <c r="K1359" s="137">
        <v>15</v>
      </c>
      <c r="L1359" s="131">
        <v>-0.51068246880000001</v>
      </c>
      <c r="M1359" s="131">
        <v>-1.494761457E-3</v>
      </c>
      <c r="N1359" s="131">
        <v>-0.72565268390000004</v>
      </c>
      <c r="O1359" s="132" t="str">
        <f t="shared" si="1"/>
        <v>Normal</v>
      </c>
    </row>
    <row r="1360" spans="1:15" ht="78">
      <c r="A1360" s="167" t="s">
        <v>3704</v>
      </c>
      <c r="B1360" s="126" t="s">
        <v>48</v>
      </c>
      <c r="C1360" s="168"/>
      <c r="D1360" s="139" t="s">
        <v>334</v>
      </c>
      <c r="E1360" s="143" t="s">
        <v>337</v>
      </c>
      <c r="F1360" s="159" t="s">
        <v>220</v>
      </c>
      <c r="G1360" s="144">
        <v>2</v>
      </c>
      <c r="H1360" s="135">
        <v>3</v>
      </c>
      <c r="I1360" s="146">
        <v>8.6</v>
      </c>
      <c r="J1360" s="137">
        <v>76</v>
      </c>
      <c r="K1360" s="137">
        <v>15</v>
      </c>
      <c r="L1360" s="131">
        <v>-2.6068234729999999</v>
      </c>
      <c r="M1360" s="131">
        <v>-3.1592619970000002</v>
      </c>
      <c r="N1360" s="131">
        <v>-1.5120086109999999</v>
      </c>
      <c r="O1360" s="132" t="str">
        <f t="shared" si="1"/>
        <v>Gz.Krg</v>
      </c>
    </row>
    <row r="1361" spans="1:15" ht="78">
      <c r="A1361" s="167" t="s">
        <v>3705</v>
      </c>
      <c r="B1361" s="126" t="s">
        <v>37</v>
      </c>
      <c r="C1361" s="168"/>
      <c r="D1361" s="139" t="s">
        <v>340</v>
      </c>
      <c r="E1361" s="143" t="s">
        <v>343</v>
      </c>
      <c r="F1361" s="159" t="s">
        <v>220</v>
      </c>
      <c r="G1361" s="144">
        <v>1</v>
      </c>
      <c r="H1361" s="135">
        <v>3</v>
      </c>
      <c r="I1361" s="146">
        <v>12</v>
      </c>
      <c r="J1361" s="137">
        <v>85</v>
      </c>
      <c r="K1361" s="137">
        <v>17</v>
      </c>
      <c r="L1361" s="131">
        <v>0.8617657071</v>
      </c>
      <c r="M1361" s="131">
        <v>0.48012069689999998</v>
      </c>
      <c r="N1361" s="131">
        <v>0.78849130909999998</v>
      </c>
      <c r="O1361" s="132" t="str">
        <f t="shared" si="1"/>
        <v>Normal</v>
      </c>
    </row>
    <row r="1362" spans="1:15" ht="78">
      <c r="A1362" s="167" t="s">
        <v>3706</v>
      </c>
      <c r="B1362" s="126" t="s">
        <v>48</v>
      </c>
      <c r="C1362" s="168"/>
      <c r="D1362" s="139" t="s">
        <v>345</v>
      </c>
      <c r="E1362" s="143" t="s">
        <v>348</v>
      </c>
      <c r="F1362" s="159" t="s">
        <v>220</v>
      </c>
      <c r="G1362" s="144">
        <v>1</v>
      </c>
      <c r="H1362" s="135">
        <v>3</v>
      </c>
      <c r="I1362" s="146">
        <v>12.4</v>
      </c>
      <c r="J1362" s="137">
        <v>87</v>
      </c>
      <c r="K1362" s="137">
        <v>16</v>
      </c>
      <c r="L1362" s="131">
        <v>0.93171893159999997</v>
      </c>
      <c r="M1362" s="131">
        <v>1.3071904299999999</v>
      </c>
      <c r="N1362" s="131">
        <v>0.42800933759999998</v>
      </c>
      <c r="O1362" s="132" t="str">
        <f t="shared" si="1"/>
        <v>Normal</v>
      </c>
    </row>
    <row r="1363" spans="1:15" ht="78">
      <c r="A1363" s="167" t="s">
        <v>3707</v>
      </c>
      <c r="B1363" s="126" t="s">
        <v>48</v>
      </c>
      <c r="C1363" s="168"/>
      <c r="D1363" s="139" t="s">
        <v>350</v>
      </c>
      <c r="E1363" s="143" t="s">
        <v>352</v>
      </c>
      <c r="F1363" s="159" t="s">
        <v>220</v>
      </c>
      <c r="G1363" s="144">
        <v>1</v>
      </c>
      <c r="H1363" s="135">
        <v>3</v>
      </c>
      <c r="I1363" s="146">
        <v>9.6</v>
      </c>
      <c r="J1363" s="137">
        <v>83</v>
      </c>
      <c r="K1363" s="137">
        <v>15</v>
      </c>
      <c r="L1363" s="131">
        <v>-1.3433487980000001</v>
      </c>
      <c r="M1363" s="131">
        <v>-0.1065275455</v>
      </c>
      <c r="N1363" s="131">
        <v>-1.7636182540000001</v>
      </c>
      <c r="O1363" s="132" t="str">
        <f t="shared" si="1"/>
        <v>Normal</v>
      </c>
    </row>
    <row r="1364" spans="1:15" ht="78">
      <c r="A1364" s="167" t="s">
        <v>3708</v>
      </c>
      <c r="B1364" s="126" t="s">
        <v>48</v>
      </c>
      <c r="C1364" s="168"/>
      <c r="D1364" s="139" t="s">
        <v>354</v>
      </c>
      <c r="E1364" s="143" t="s">
        <v>357</v>
      </c>
      <c r="F1364" s="159" t="s">
        <v>220</v>
      </c>
      <c r="G1364" s="144">
        <v>3</v>
      </c>
      <c r="H1364" s="135">
        <v>3</v>
      </c>
      <c r="I1364" s="146">
        <v>9.6</v>
      </c>
      <c r="J1364" s="137">
        <v>78</v>
      </c>
      <c r="K1364" s="137">
        <v>15</v>
      </c>
      <c r="L1364" s="131">
        <v>-1.1633943849999999</v>
      </c>
      <c r="M1364" s="131">
        <v>-1.557422608</v>
      </c>
      <c r="N1364" s="131">
        <v>-0.61260610800000004</v>
      </c>
      <c r="O1364" s="132" t="str">
        <f t="shared" si="1"/>
        <v>Normal</v>
      </c>
    </row>
    <row r="1365" spans="1:15" ht="78">
      <c r="A1365" s="167" t="s">
        <v>3709</v>
      </c>
      <c r="B1365" s="126" t="s">
        <v>48</v>
      </c>
      <c r="C1365" s="168"/>
      <c r="D1365" s="139" t="s">
        <v>359</v>
      </c>
      <c r="E1365" s="143" t="s">
        <v>362</v>
      </c>
      <c r="F1365" s="159" t="s">
        <v>220</v>
      </c>
      <c r="G1365" s="144">
        <v>1</v>
      </c>
      <c r="H1365" s="135">
        <v>3</v>
      </c>
      <c r="I1365" s="146">
        <v>8.5</v>
      </c>
      <c r="J1365" s="137">
        <v>75.5</v>
      </c>
      <c r="K1365" s="137">
        <v>13</v>
      </c>
      <c r="L1365" s="131">
        <v>-1.8564620220000001</v>
      </c>
      <c r="M1365" s="131">
        <v>-1.6723240239999999</v>
      </c>
      <c r="N1365" s="131">
        <v>-1.528880316</v>
      </c>
      <c r="O1365" s="132" t="str">
        <f t="shared" si="1"/>
        <v>Normal</v>
      </c>
    </row>
    <row r="1366" spans="1:15" ht="78">
      <c r="A1366" s="167" t="s">
        <v>3710</v>
      </c>
      <c r="B1366" s="126" t="s">
        <v>48</v>
      </c>
      <c r="C1366" s="168"/>
      <c r="D1366" s="147" t="s">
        <v>364</v>
      </c>
      <c r="E1366" s="143" t="s">
        <v>367</v>
      </c>
      <c r="F1366" s="159" t="s">
        <v>220</v>
      </c>
      <c r="G1366" s="144">
        <v>1</v>
      </c>
      <c r="H1366" s="135">
        <v>3</v>
      </c>
      <c r="I1366" s="144">
        <v>8.9</v>
      </c>
      <c r="J1366" s="135">
        <v>74</v>
      </c>
      <c r="K1366" s="135">
        <v>15</v>
      </c>
      <c r="L1366" s="131">
        <v>-1.1820208809999999</v>
      </c>
      <c r="M1366" s="131">
        <v>-1.711730446</v>
      </c>
      <c r="N1366" s="131">
        <v>-0.54852103389999995</v>
      </c>
      <c r="O1366" s="132" t="str">
        <f t="shared" si="1"/>
        <v>Normal</v>
      </c>
    </row>
    <row r="1367" spans="1:15" ht="78">
      <c r="A1367" s="167" t="s">
        <v>3711</v>
      </c>
      <c r="B1367" s="126" t="s">
        <v>37</v>
      </c>
      <c r="C1367" s="168"/>
      <c r="D1367" s="147" t="s">
        <v>369</v>
      </c>
      <c r="E1367" s="143" t="s">
        <v>372</v>
      </c>
      <c r="F1367" s="159" t="s">
        <v>220</v>
      </c>
      <c r="G1367" s="144">
        <v>3</v>
      </c>
      <c r="H1367" s="135">
        <v>3</v>
      </c>
      <c r="I1367" s="136">
        <v>7.6</v>
      </c>
      <c r="J1367" s="136">
        <v>73</v>
      </c>
      <c r="K1367" s="136">
        <v>13</v>
      </c>
      <c r="L1367" s="131">
        <v>-1.521535893</v>
      </c>
      <c r="M1367" s="131">
        <v>-0.74463764870000004</v>
      </c>
      <c r="N1367" s="131">
        <v>-1.656654831</v>
      </c>
      <c r="O1367" s="132" t="str">
        <f t="shared" si="1"/>
        <v>Normal</v>
      </c>
    </row>
    <row r="1368" spans="1:15" ht="78">
      <c r="A1368" s="167" t="s">
        <v>3712</v>
      </c>
      <c r="B1368" s="126" t="s">
        <v>37</v>
      </c>
      <c r="C1368" s="168"/>
      <c r="D1368" s="147" t="s">
        <v>369</v>
      </c>
      <c r="E1368" s="143" t="s">
        <v>376</v>
      </c>
      <c r="F1368" s="159" t="s">
        <v>220</v>
      </c>
      <c r="G1368" s="144">
        <v>3</v>
      </c>
      <c r="H1368" s="135">
        <v>3</v>
      </c>
      <c r="I1368" s="136">
        <v>10.3</v>
      </c>
      <c r="J1368" s="136">
        <v>80</v>
      </c>
      <c r="K1368" s="136">
        <v>16</v>
      </c>
      <c r="L1368" s="131">
        <v>1.0095349360000001</v>
      </c>
      <c r="M1368" s="131">
        <v>1.9297642479999999</v>
      </c>
      <c r="N1368" s="131">
        <v>0.2413076026</v>
      </c>
      <c r="O1368" s="132" t="str">
        <f t="shared" si="1"/>
        <v>R.Gz.Lbh</v>
      </c>
    </row>
    <row r="1369" spans="1:15" ht="78">
      <c r="A1369" s="167" t="s">
        <v>3713</v>
      </c>
      <c r="B1369" s="126" t="s">
        <v>48</v>
      </c>
      <c r="C1369" s="168"/>
      <c r="D1369" s="147" t="s">
        <v>378</v>
      </c>
      <c r="E1369" s="148" t="s">
        <v>79</v>
      </c>
      <c r="F1369" s="159" t="s">
        <v>220</v>
      </c>
      <c r="G1369" s="135">
        <v>4</v>
      </c>
      <c r="H1369" s="135">
        <v>3</v>
      </c>
      <c r="I1369" s="144">
        <v>10.6</v>
      </c>
      <c r="J1369" s="135">
        <v>75</v>
      </c>
      <c r="K1369" s="135">
        <v>15</v>
      </c>
      <c r="L1369" s="131">
        <v>0.80827561140000004</v>
      </c>
      <c r="M1369" s="131">
        <v>-0.32684188819999999</v>
      </c>
      <c r="N1369" s="131">
        <v>1.3609944460000001</v>
      </c>
      <c r="O1369" s="132" t="str">
        <f t="shared" si="1"/>
        <v>Normal</v>
      </c>
    </row>
    <row r="1370" spans="1:15" ht="78">
      <c r="A1370" s="167" t="s">
        <v>3714</v>
      </c>
      <c r="B1370" s="126" t="s">
        <v>48</v>
      </c>
      <c r="C1370" s="168"/>
      <c r="D1370" s="147" t="s">
        <v>382</v>
      </c>
      <c r="E1370" s="143" t="s">
        <v>385</v>
      </c>
      <c r="F1370" s="159" t="s">
        <v>220</v>
      </c>
      <c r="G1370" s="144">
        <v>1</v>
      </c>
      <c r="H1370" s="135">
        <v>3</v>
      </c>
      <c r="I1370" s="146">
        <v>7.7</v>
      </c>
      <c r="J1370" s="137">
        <v>68</v>
      </c>
      <c r="K1370" s="137">
        <v>16</v>
      </c>
      <c r="L1370" s="131">
        <v>-1.03492118</v>
      </c>
      <c r="M1370" s="131">
        <v>-1.207689891</v>
      </c>
      <c r="N1370" s="131">
        <v>-0.43498788640000002</v>
      </c>
      <c r="O1370" s="132" t="str">
        <f t="shared" si="1"/>
        <v>Normal</v>
      </c>
    </row>
    <row r="1371" spans="1:15" ht="78">
      <c r="A1371" s="167" t="s">
        <v>3715</v>
      </c>
      <c r="B1371" s="126" t="s">
        <v>48</v>
      </c>
      <c r="C1371" s="168"/>
      <c r="D1371" s="147" t="s">
        <v>387</v>
      </c>
      <c r="E1371" s="143" t="s">
        <v>389</v>
      </c>
      <c r="F1371" s="159" t="s">
        <v>220</v>
      </c>
      <c r="G1371" s="144">
        <v>1</v>
      </c>
      <c r="H1371" s="135">
        <v>3</v>
      </c>
      <c r="I1371" s="146">
        <v>8.1999999999999993</v>
      </c>
      <c r="J1371" s="137">
        <v>73</v>
      </c>
      <c r="K1371" s="137">
        <v>15</v>
      </c>
      <c r="L1371" s="131">
        <v>-0.24158331490000001</v>
      </c>
      <c r="M1371" s="131">
        <v>1.500653569</v>
      </c>
      <c r="N1371" s="131">
        <v>-1.288739219</v>
      </c>
      <c r="O1371" s="132" t="str">
        <f t="shared" si="1"/>
        <v>Normal</v>
      </c>
    </row>
    <row r="1372" spans="1:15" ht="78">
      <c r="A1372" s="167" t="s">
        <v>3716</v>
      </c>
      <c r="B1372" s="126" t="s">
        <v>48</v>
      </c>
      <c r="C1372" s="168"/>
      <c r="D1372" s="147" t="s">
        <v>391</v>
      </c>
      <c r="E1372" s="143" t="s">
        <v>393</v>
      </c>
      <c r="F1372" s="159" t="s">
        <v>220</v>
      </c>
      <c r="G1372" s="144">
        <v>4</v>
      </c>
      <c r="H1372" s="135">
        <v>3</v>
      </c>
      <c r="I1372" s="146">
        <v>6.5</v>
      </c>
      <c r="J1372" s="137">
        <v>62</v>
      </c>
      <c r="K1372" s="137">
        <v>15</v>
      </c>
      <c r="L1372" s="131">
        <v>-0.74399683000000005</v>
      </c>
      <c r="M1372" s="131">
        <v>-1.0379068659999999</v>
      </c>
      <c r="N1372" s="131">
        <v>1.6463544740000001E-3</v>
      </c>
      <c r="O1372" s="132" t="str">
        <f t="shared" si="1"/>
        <v>Normal</v>
      </c>
    </row>
    <row r="1373" spans="1:15" ht="140.4">
      <c r="A1373" s="167" t="s">
        <v>3717</v>
      </c>
      <c r="B1373" s="126" t="s">
        <v>48</v>
      </c>
      <c r="C1373" s="168"/>
      <c r="D1373" s="139" t="s">
        <v>395</v>
      </c>
      <c r="E1373" s="150" t="s">
        <v>398</v>
      </c>
      <c r="F1373" s="159" t="s">
        <v>400</v>
      </c>
      <c r="G1373" s="134">
        <v>4</v>
      </c>
      <c r="H1373" s="134">
        <v>7</v>
      </c>
      <c r="I1373" s="136">
        <v>16</v>
      </c>
      <c r="J1373" s="136">
        <v>108</v>
      </c>
      <c r="K1373" s="136">
        <v>18</v>
      </c>
      <c r="L1373" s="131">
        <v>-0.99258774650000003</v>
      </c>
      <c r="M1373" s="149">
        <v>-0.3924605739</v>
      </c>
      <c r="N1373" s="131">
        <v>-1.2990833610000001</v>
      </c>
      <c r="O1373" s="132" t="str">
        <f t="shared" si="1"/>
        <v>Normal</v>
      </c>
    </row>
    <row r="1374" spans="1:15" ht="124.8">
      <c r="A1374" s="167" t="s">
        <v>3718</v>
      </c>
      <c r="B1374" s="126" t="s">
        <v>37</v>
      </c>
      <c r="C1374" s="168"/>
      <c r="D1374" s="139" t="s">
        <v>401</v>
      </c>
      <c r="E1374" s="150" t="s">
        <v>404</v>
      </c>
      <c r="F1374" s="159" t="s">
        <v>400</v>
      </c>
      <c r="G1374" s="134">
        <v>3</v>
      </c>
      <c r="H1374" s="134">
        <v>7</v>
      </c>
      <c r="I1374" s="136">
        <v>26.9</v>
      </c>
      <c r="J1374" s="136">
        <v>110</v>
      </c>
      <c r="K1374" s="136">
        <v>23</v>
      </c>
      <c r="L1374" s="131">
        <v>3.0238205690000002</v>
      </c>
      <c r="M1374" s="149">
        <v>0.48426009669999998</v>
      </c>
      <c r="N1374" s="131">
        <v>4.0682224939999996</v>
      </c>
      <c r="O1374" s="132" t="str">
        <f t="shared" si="1"/>
        <v>Obesitas</v>
      </c>
    </row>
    <row r="1375" spans="1:15" ht="78">
      <c r="A1375" s="167" t="s">
        <v>3719</v>
      </c>
      <c r="B1375" s="126" t="s">
        <v>48</v>
      </c>
      <c r="C1375" s="168"/>
      <c r="D1375" s="139" t="s">
        <v>406</v>
      </c>
      <c r="E1375" s="150" t="s">
        <v>409</v>
      </c>
      <c r="F1375" s="159" t="s">
        <v>400</v>
      </c>
      <c r="G1375" s="134">
        <v>3</v>
      </c>
      <c r="H1375" s="134">
        <v>7</v>
      </c>
      <c r="I1375" s="136">
        <v>25</v>
      </c>
      <c r="J1375" s="136">
        <v>112</v>
      </c>
      <c r="K1375" s="136">
        <v>23</v>
      </c>
      <c r="L1375" s="131">
        <v>2.680547996</v>
      </c>
      <c r="M1375" s="149">
        <v>1.0569919160000001</v>
      </c>
      <c r="N1375" s="131">
        <v>3.0429888840000001</v>
      </c>
      <c r="O1375" s="132" t="str">
        <f t="shared" si="1"/>
        <v>Gz.Lbh</v>
      </c>
    </row>
    <row r="1376" spans="1:15" ht="93.6">
      <c r="A1376" s="167" t="s">
        <v>3720</v>
      </c>
      <c r="B1376" s="126" t="s">
        <v>37</v>
      </c>
      <c r="C1376" s="168"/>
      <c r="D1376" s="139" t="s">
        <v>411</v>
      </c>
      <c r="E1376" s="150" t="s">
        <v>414</v>
      </c>
      <c r="F1376" s="159" t="s">
        <v>400</v>
      </c>
      <c r="G1376" s="134">
        <v>2</v>
      </c>
      <c r="H1376" s="134">
        <v>7</v>
      </c>
      <c r="I1376" s="136">
        <v>16</v>
      </c>
      <c r="J1376" s="136">
        <v>105</v>
      </c>
      <c r="K1376" s="136">
        <v>18</v>
      </c>
      <c r="L1376" s="131">
        <v>-0.1695864108</v>
      </c>
      <c r="M1376" s="149">
        <v>0.29908283600000002</v>
      </c>
      <c r="N1376" s="131">
        <v>-0.53894147790000002</v>
      </c>
      <c r="O1376" s="132" t="str">
        <f t="shared" si="1"/>
        <v>Normal</v>
      </c>
    </row>
    <row r="1377" spans="1:15" ht="78">
      <c r="A1377" s="167" t="s">
        <v>3721</v>
      </c>
      <c r="B1377" s="126" t="s">
        <v>37</v>
      </c>
      <c r="C1377" s="168"/>
      <c r="D1377" s="139" t="s">
        <v>416</v>
      </c>
      <c r="E1377" s="150" t="s">
        <v>419</v>
      </c>
      <c r="F1377" s="159" t="s">
        <v>400</v>
      </c>
      <c r="G1377" s="134">
        <v>2</v>
      </c>
      <c r="H1377" s="134">
        <v>7</v>
      </c>
      <c r="I1377" s="136">
        <v>21.5</v>
      </c>
      <c r="J1377" s="136">
        <v>114</v>
      </c>
      <c r="K1377" s="136">
        <v>21</v>
      </c>
      <c r="L1377" s="131">
        <v>2.0732482229999998</v>
      </c>
      <c r="M1377" s="149">
        <v>2.4345216380000001</v>
      </c>
      <c r="N1377" s="131">
        <v>0.66078980190000003</v>
      </c>
      <c r="O1377" s="132" t="str">
        <f t="shared" si="1"/>
        <v>Gz.Lbh</v>
      </c>
    </row>
    <row r="1378" spans="1:15" ht="109.2">
      <c r="A1378" s="167" t="s">
        <v>3722</v>
      </c>
      <c r="B1378" s="126" t="s">
        <v>48</v>
      </c>
      <c r="C1378" s="168"/>
      <c r="D1378" s="139" t="s">
        <v>420</v>
      </c>
      <c r="E1378" s="150" t="s">
        <v>423</v>
      </c>
      <c r="F1378" s="159" t="s">
        <v>400</v>
      </c>
      <c r="G1378" s="134">
        <v>1</v>
      </c>
      <c r="H1378" s="134">
        <v>7</v>
      </c>
      <c r="I1378" s="136">
        <v>18</v>
      </c>
      <c r="J1378" s="136">
        <v>102</v>
      </c>
      <c r="K1378" s="136">
        <v>18</v>
      </c>
      <c r="L1378" s="131">
        <v>0.72394773180000005</v>
      </c>
      <c r="M1378" s="149">
        <v>-0.37193553089999998</v>
      </c>
      <c r="N1378" s="131">
        <v>1.5186463910000001</v>
      </c>
      <c r="O1378" s="132" t="str">
        <f t="shared" si="1"/>
        <v>Normal</v>
      </c>
    </row>
    <row r="1379" spans="1:15" ht="78">
      <c r="A1379" s="167" t="s">
        <v>3723</v>
      </c>
      <c r="B1379" s="126" t="s">
        <v>48</v>
      </c>
      <c r="C1379" s="168"/>
      <c r="D1379" s="139" t="s">
        <v>425</v>
      </c>
      <c r="E1379" s="150" t="s">
        <v>428</v>
      </c>
      <c r="F1379" s="159" t="s">
        <v>400</v>
      </c>
      <c r="G1379" s="134">
        <v>4</v>
      </c>
      <c r="H1379" s="134">
        <v>7</v>
      </c>
      <c r="I1379" s="136">
        <v>17.899999999999999</v>
      </c>
      <c r="J1379" s="136">
        <v>100</v>
      </c>
      <c r="K1379" s="136">
        <v>18</v>
      </c>
      <c r="L1379" s="131">
        <v>0.71002106359999995</v>
      </c>
      <c r="M1379" s="149">
        <v>-0.80572192220000005</v>
      </c>
      <c r="N1379" s="131">
        <v>1.924154259</v>
      </c>
      <c r="O1379" s="132" t="str">
        <f t="shared" si="1"/>
        <v>Normal</v>
      </c>
    </row>
    <row r="1380" spans="1:15" ht="124.8">
      <c r="A1380" s="167" t="s">
        <v>3724</v>
      </c>
      <c r="B1380" s="126" t="s">
        <v>37</v>
      </c>
      <c r="C1380" s="168"/>
      <c r="D1380" s="139" t="s">
        <v>430</v>
      </c>
      <c r="E1380" s="150" t="s">
        <v>433</v>
      </c>
      <c r="F1380" s="159" t="s">
        <v>400</v>
      </c>
      <c r="G1380" s="134">
        <v>4</v>
      </c>
      <c r="H1380" s="134">
        <v>7</v>
      </c>
      <c r="I1380" s="136">
        <v>18</v>
      </c>
      <c r="J1380" s="136">
        <v>101</v>
      </c>
      <c r="K1380" s="136">
        <v>18</v>
      </c>
      <c r="L1380" s="131">
        <v>0.85430828039999995</v>
      </c>
      <c r="M1380" s="149">
        <v>-0.39744185630000001</v>
      </c>
      <c r="N1380" s="131">
        <v>1.698585191</v>
      </c>
      <c r="O1380" s="132" t="str">
        <f t="shared" si="1"/>
        <v>Normal</v>
      </c>
    </row>
    <row r="1381" spans="1:15" ht="78">
      <c r="A1381" s="167" t="s">
        <v>3725</v>
      </c>
      <c r="B1381" s="126" t="s">
        <v>37</v>
      </c>
      <c r="C1381" s="168"/>
      <c r="D1381" s="139" t="s">
        <v>435</v>
      </c>
      <c r="E1381" s="150" t="s">
        <v>438</v>
      </c>
      <c r="F1381" s="159" t="s">
        <v>400</v>
      </c>
      <c r="G1381" s="134">
        <v>2</v>
      </c>
      <c r="H1381" s="134">
        <v>7</v>
      </c>
      <c r="I1381" s="136">
        <v>16.899999999999999</v>
      </c>
      <c r="J1381" s="136">
        <v>100</v>
      </c>
      <c r="K1381" s="136">
        <v>17</v>
      </c>
      <c r="L1381" s="131">
        <v>0.72911337970000001</v>
      </c>
      <c r="M1381" s="149">
        <v>-9.664348499E-2</v>
      </c>
      <c r="N1381" s="131">
        <v>1.200374067</v>
      </c>
      <c r="O1381" s="132" t="str">
        <f t="shared" si="1"/>
        <v>Normal</v>
      </c>
    </row>
    <row r="1382" spans="1:15" ht="109.2">
      <c r="A1382" s="167" t="s">
        <v>3726</v>
      </c>
      <c r="B1382" s="126" t="s">
        <v>37</v>
      </c>
      <c r="C1382" s="168"/>
      <c r="D1382" s="139" t="s">
        <v>440</v>
      </c>
      <c r="E1382" s="150" t="s">
        <v>443</v>
      </c>
      <c r="F1382" s="159" t="s">
        <v>400</v>
      </c>
      <c r="G1382" s="134">
        <v>4</v>
      </c>
      <c r="H1382" s="134">
        <v>7</v>
      </c>
      <c r="I1382" s="130">
        <v>13.7</v>
      </c>
      <c r="J1382" s="130">
        <v>97.4</v>
      </c>
      <c r="K1382" s="136"/>
      <c r="L1382" s="131">
        <v>-1.9882001659999999</v>
      </c>
      <c r="M1382" s="131">
        <v>-1.1101762749999999</v>
      </c>
      <c r="N1382" s="131">
        <v>-1.97729029</v>
      </c>
      <c r="O1382" s="132" t="str">
        <f t="shared" si="1"/>
        <v>Normal</v>
      </c>
    </row>
    <row r="1383" spans="1:15" ht="124.8">
      <c r="A1383" s="167" t="s">
        <v>3727</v>
      </c>
      <c r="B1383" s="126" t="s">
        <v>48</v>
      </c>
      <c r="C1383" s="168"/>
      <c r="D1383" s="139" t="s">
        <v>445</v>
      </c>
      <c r="E1383" s="150" t="s">
        <v>448</v>
      </c>
      <c r="F1383" s="159" t="s">
        <v>400</v>
      </c>
      <c r="G1383" s="134">
        <v>3</v>
      </c>
      <c r="H1383" s="134">
        <v>7</v>
      </c>
      <c r="I1383" s="136">
        <v>14.9</v>
      </c>
      <c r="J1383" s="136">
        <v>96</v>
      </c>
      <c r="K1383" s="136">
        <v>16</v>
      </c>
      <c r="L1383" s="131">
        <v>1.528914103E-2</v>
      </c>
      <c r="M1383" s="131">
        <v>-0.3133050946</v>
      </c>
      <c r="N1383" s="131">
        <v>0.32543580290000002</v>
      </c>
      <c r="O1383" s="132" t="str">
        <f t="shared" si="1"/>
        <v>Normal</v>
      </c>
    </row>
    <row r="1384" spans="1:15" ht="140.4">
      <c r="A1384" s="167" t="s">
        <v>3728</v>
      </c>
      <c r="B1384" s="126" t="s">
        <v>37</v>
      </c>
      <c r="C1384" s="168"/>
      <c r="D1384" s="139" t="s">
        <v>450</v>
      </c>
      <c r="E1384" s="150" t="s">
        <v>453</v>
      </c>
      <c r="F1384" s="159" t="s">
        <v>400</v>
      </c>
      <c r="G1384" s="134">
        <v>4</v>
      </c>
      <c r="H1384" s="134">
        <v>7</v>
      </c>
      <c r="I1384" s="136">
        <v>13.9</v>
      </c>
      <c r="J1384" s="136">
        <v>97</v>
      </c>
      <c r="K1384" s="136">
        <v>17</v>
      </c>
      <c r="L1384" s="131">
        <v>-0.62439422590000004</v>
      </c>
      <c r="M1384" s="131">
        <v>-0.44386636089999998</v>
      </c>
      <c r="N1384" s="131">
        <v>-0.54481594249999998</v>
      </c>
      <c r="O1384" s="132" t="str">
        <f t="shared" si="1"/>
        <v>Normal</v>
      </c>
    </row>
    <row r="1385" spans="1:15" ht="93.6">
      <c r="A1385" s="167" t="s">
        <v>3729</v>
      </c>
      <c r="B1385" s="126" t="s">
        <v>48</v>
      </c>
      <c r="C1385" s="168"/>
      <c r="D1385" s="139" t="s">
        <v>455</v>
      </c>
      <c r="E1385" s="150" t="s">
        <v>458</v>
      </c>
      <c r="F1385" s="159" t="s">
        <v>400</v>
      </c>
      <c r="G1385" s="134">
        <v>3</v>
      </c>
      <c r="H1385" s="134">
        <v>7</v>
      </c>
      <c r="I1385" s="130">
        <v>13.7</v>
      </c>
      <c r="J1385" s="130">
        <v>97.4</v>
      </c>
      <c r="K1385" s="136"/>
      <c r="L1385" s="131">
        <v>-1.3171745909999999</v>
      </c>
      <c r="M1385" s="131">
        <v>-0.43918188689999998</v>
      </c>
      <c r="N1385" s="131">
        <v>-1.642726482</v>
      </c>
      <c r="O1385" s="132" t="str">
        <f t="shared" si="1"/>
        <v>Normal</v>
      </c>
    </row>
    <row r="1386" spans="1:15" ht="78">
      <c r="A1386" s="167" t="s">
        <v>3730</v>
      </c>
      <c r="B1386" s="126" t="s">
        <v>37</v>
      </c>
      <c r="C1386" s="168"/>
      <c r="D1386" s="139" t="s">
        <v>460</v>
      </c>
      <c r="E1386" s="150" t="s">
        <v>463</v>
      </c>
      <c r="F1386" s="159" t="s">
        <v>400</v>
      </c>
      <c r="G1386" s="134">
        <v>1</v>
      </c>
      <c r="H1386" s="134">
        <v>7</v>
      </c>
      <c r="I1386" s="136">
        <v>11.6</v>
      </c>
      <c r="J1386" s="136">
        <v>94.5</v>
      </c>
      <c r="K1386" s="136">
        <v>16</v>
      </c>
      <c r="L1386" s="131">
        <v>-0.54484065140000004</v>
      </c>
      <c r="M1386" s="131">
        <v>24.162095220000001</v>
      </c>
      <c r="N1386" s="131">
        <v>-1.955509267E-2</v>
      </c>
      <c r="O1386" s="132" t="str">
        <f t="shared" si="1"/>
        <v>Normal</v>
      </c>
    </row>
    <row r="1387" spans="1:15" ht="93.6">
      <c r="A1387" s="167" t="s">
        <v>3731</v>
      </c>
      <c r="B1387" s="126" t="s">
        <v>37</v>
      </c>
      <c r="C1387" s="168"/>
      <c r="D1387" s="139" t="s">
        <v>465</v>
      </c>
      <c r="E1387" s="150" t="s">
        <v>468</v>
      </c>
      <c r="F1387" s="159" t="s">
        <v>400</v>
      </c>
      <c r="G1387" s="134">
        <v>4</v>
      </c>
      <c r="H1387" s="134">
        <v>7</v>
      </c>
      <c r="I1387" s="136">
        <v>11.5</v>
      </c>
      <c r="J1387" s="136">
        <v>93</v>
      </c>
      <c r="K1387" s="136">
        <v>17</v>
      </c>
      <c r="L1387" s="131">
        <v>-1.519655771</v>
      </c>
      <c r="M1387" s="131">
        <v>20.42641995</v>
      </c>
      <c r="N1387" s="131">
        <v>-1.632755814</v>
      </c>
      <c r="O1387" s="132" t="str">
        <f t="shared" si="1"/>
        <v>Normal</v>
      </c>
    </row>
    <row r="1388" spans="1:15" ht="78">
      <c r="A1388" s="167" t="s">
        <v>3732</v>
      </c>
      <c r="B1388" s="126" t="s">
        <v>37</v>
      </c>
      <c r="C1388" s="168"/>
      <c r="D1388" s="139" t="s">
        <v>470</v>
      </c>
      <c r="E1388" s="150" t="s">
        <v>473</v>
      </c>
      <c r="F1388" s="159" t="s">
        <v>400</v>
      </c>
      <c r="G1388" s="134">
        <v>4</v>
      </c>
      <c r="H1388" s="134">
        <v>7</v>
      </c>
      <c r="I1388" s="136">
        <v>13</v>
      </c>
      <c r="J1388" s="136">
        <v>91.5</v>
      </c>
      <c r="K1388" s="136">
        <v>17</v>
      </c>
      <c r="L1388" s="131">
        <v>-1.489707004</v>
      </c>
      <c r="M1388" s="131">
        <v>18.310755539999999</v>
      </c>
      <c r="N1388" s="131">
        <v>-0.22259590439999999</v>
      </c>
      <c r="O1388" s="132" t="str">
        <f t="shared" si="1"/>
        <v>Normal</v>
      </c>
    </row>
    <row r="1389" spans="1:15" ht="78">
      <c r="A1389" s="167" t="s">
        <v>3733</v>
      </c>
      <c r="B1389" s="126" t="s">
        <v>48</v>
      </c>
      <c r="C1389" s="168"/>
      <c r="D1389" s="139" t="s">
        <v>475</v>
      </c>
      <c r="E1389" s="150" t="s">
        <v>478</v>
      </c>
      <c r="F1389" s="159" t="s">
        <v>400</v>
      </c>
      <c r="G1389" s="134">
        <v>4</v>
      </c>
      <c r="H1389" s="134">
        <v>7</v>
      </c>
      <c r="I1389" s="136">
        <v>14</v>
      </c>
      <c r="J1389" s="136">
        <v>94</v>
      </c>
      <c r="K1389" s="136">
        <v>18</v>
      </c>
      <c r="L1389" s="131">
        <v>-0.3033047593</v>
      </c>
      <c r="M1389" s="149">
        <v>-0.39922453149999998</v>
      </c>
      <c r="N1389" s="131">
        <v>0.16534989480000001</v>
      </c>
      <c r="O1389" s="132" t="str">
        <f t="shared" si="1"/>
        <v>Normal</v>
      </c>
    </row>
    <row r="1390" spans="1:15" ht="109.2">
      <c r="A1390" s="167" t="s">
        <v>3734</v>
      </c>
      <c r="B1390" s="126" t="s">
        <v>48</v>
      </c>
      <c r="C1390" s="168"/>
      <c r="D1390" s="139" t="s">
        <v>480</v>
      </c>
      <c r="E1390" s="150" t="s">
        <v>483</v>
      </c>
      <c r="F1390" s="159" t="s">
        <v>400</v>
      </c>
      <c r="G1390" s="134">
        <v>4</v>
      </c>
      <c r="H1390" s="134">
        <v>7</v>
      </c>
      <c r="I1390" s="136">
        <v>12</v>
      </c>
      <c r="J1390" s="136">
        <v>90</v>
      </c>
      <c r="K1390" s="136">
        <v>16</v>
      </c>
      <c r="L1390" s="131">
        <v>-1.444771668</v>
      </c>
      <c r="M1390" s="149">
        <v>-1.4013651519999999</v>
      </c>
      <c r="N1390" s="131">
        <v>-0.9207139271</v>
      </c>
      <c r="O1390" s="132" t="str">
        <f t="shared" si="1"/>
        <v>Normal</v>
      </c>
    </row>
    <row r="1391" spans="1:15" ht="93.6">
      <c r="A1391" s="167" t="s">
        <v>3735</v>
      </c>
      <c r="B1391" s="126" t="s">
        <v>37</v>
      </c>
      <c r="C1391" s="168"/>
      <c r="D1391" s="139" t="s">
        <v>485</v>
      </c>
      <c r="E1391" s="150" t="s">
        <v>488</v>
      </c>
      <c r="F1391" s="159" t="s">
        <v>400</v>
      </c>
      <c r="G1391" s="134">
        <v>3</v>
      </c>
      <c r="H1391" s="134">
        <v>7</v>
      </c>
      <c r="I1391" s="136">
        <v>11.4</v>
      </c>
      <c r="J1391" s="136">
        <v>86</v>
      </c>
      <c r="K1391" s="136">
        <v>16</v>
      </c>
      <c r="L1391" s="131">
        <v>-1.1743040119999999</v>
      </c>
      <c r="M1391" s="149">
        <v>-1.754149698</v>
      </c>
      <c r="N1391" s="131">
        <v>-0.2490686382</v>
      </c>
      <c r="O1391" s="132" t="str">
        <f t="shared" si="1"/>
        <v>Normal</v>
      </c>
    </row>
    <row r="1392" spans="1:15" ht="78">
      <c r="A1392" s="167" t="s">
        <v>3736</v>
      </c>
      <c r="B1392" s="126" t="s">
        <v>37</v>
      </c>
      <c r="C1392" s="168"/>
      <c r="D1392" s="139" t="s">
        <v>490</v>
      </c>
      <c r="E1392" s="150" t="s">
        <v>493</v>
      </c>
      <c r="F1392" s="159" t="s">
        <v>400</v>
      </c>
      <c r="G1392" s="134">
        <v>1</v>
      </c>
      <c r="H1392" s="134">
        <v>7</v>
      </c>
      <c r="I1392" s="136">
        <v>12.4</v>
      </c>
      <c r="J1392" s="136">
        <v>90</v>
      </c>
      <c r="K1392" s="136">
        <v>16</v>
      </c>
      <c r="L1392" s="131">
        <v>-1.193701997</v>
      </c>
      <c r="M1392" s="149">
        <v>-1.605767046</v>
      </c>
      <c r="N1392" s="131">
        <v>-0.49680120449999998</v>
      </c>
      <c r="O1392" s="132" t="str">
        <f t="shared" si="1"/>
        <v>Normal</v>
      </c>
    </row>
    <row r="1393" spans="1:15" ht="78">
      <c r="A1393" s="167" t="s">
        <v>3737</v>
      </c>
      <c r="B1393" s="126" t="s">
        <v>37</v>
      </c>
      <c r="C1393" s="168"/>
      <c r="D1393" s="139" t="s">
        <v>495</v>
      </c>
      <c r="E1393" s="150" t="s">
        <v>498</v>
      </c>
      <c r="F1393" s="159" t="s">
        <v>400</v>
      </c>
      <c r="G1393" s="134">
        <v>3</v>
      </c>
      <c r="H1393" s="134">
        <v>7</v>
      </c>
      <c r="I1393" s="136">
        <v>22</v>
      </c>
      <c r="J1393" s="136">
        <v>98.5</v>
      </c>
      <c r="K1393" s="136">
        <v>20</v>
      </c>
      <c r="L1393" s="131">
        <v>4.4172193479999997</v>
      </c>
      <c r="M1393" s="149">
        <v>2.15240023</v>
      </c>
      <c r="N1393" s="131">
        <v>4.5408002859999996</v>
      </c>
      <c r="O1393" s="132" t="str">
        <f t="shared" si="1"/>
        <v>Obesitas</v>
      </c>
    </row>
    <row r="1394" spans="1:15" ht="78">
      <c r="A1394" s="167" t="s">
        <v>3738</v>
      </c>
      <c r="B1394" s="126" t="s">
        <v>48</v>
      </c>
      <c r="C1394" s="168"/>
      <c r="D1394" s="139" t="s">
        <v>500</v>
      </c>
      <c r="E1394" s="150" t="s">
        <v>503</v>
      </c>
      <c r="F1394" s="159" t="s">
        <v>400</v>
      </c>
      <c r="G1394" s="134">
        <v>3</v>
      </c>
      <c r="H1394" s="134">
        <v>7</v>
      </c>
      <c r="I1394" s="136">
        <v>11.6</v>
      </c>
      <c r="J1394" s="136">
        <v>94.5</v>
      </c>
      <c r="K1394" s="136"/>
      <c r="L1394" s="131">
        <v>0.5394291242</v>
      </c>
      <c r="M1394" s="131">
        <v>0.36528360059999998</v>
      </c>
      <c r="N1394" s="131">
        <v>0.48648791860000001</v>
      </c>
      <c r="O1394" s="132" t="str">
        <f t="shared" si="1"/>
        <v>Normal</v>
      </c>
    </row>
    <row r="1395" spans="1:15" ht="93.6">
      <c r="A1395" s="167" t="s">
        <v>3739</v>
      </c>
      <c r="B1395" s="126" t="s">
        <v>37</v>
      </c>
      <c r="C1395" s="168"/>
      <c r="D1395" s="139" t="s">
        <v>504</v>
      </c>
      <c r="E1395" s="150" t="s">
        <v>507</v>
      </c>
      <c r="F1395" s="159" t="s">
        <v>400</v>
      </c>
      <c r="G1395" s="134">
        <v>4</v>
      </c>
      <c r="H1395" s="134">
        <v>7</v>
      </c>
      <c r="I1395" s="136">
        <v>10</v>
      </c>
      <c r="J1395" s="136">
        <v>83</v>
      </c>
      <c r="K1395" s="136">
        <v>15</v>
      </c>
      <c r="L1395" s="131">
        <v>-1.8196920940000001</v>
      </c>
      <c r="M1395" s="149">
        <v>-1.9438534810000001</v>
      </c>
      <c r="N1395" s="131">
        <v>-1.0174620889999999</v>
      </c>
      <c r="O1395" s="132" t="str">
        <f t="shared" si="1"/>
        <v>Normal</v>
      </c>
    </row>
    <row r="1396" spans="1:15" ht="78">
      <c r="A1396" s="167" t="s">
        <v>3740</v>
      </c>
      <c r="B1396" s="126" t="s">
        <v>48</v>
      </c>
      <c r="C1396" s="168"/>
      <c r="D1396" s="139" t="s">
        <v>509</v>
      </c>
      <c r="E1396" s="150" t="s">
        <v>512</v>
      </c>
      <c r="F1396" s="159" t="s">
        <v>400</v>
      </c>
      <c r="G1396" s="134">
        <v>4</v>
      </c>
      <c r="H1396" s="134">
        <v>7</v>
      </c>
      <c r="I1396" s="136">
        <v>13.5</v>
      </c>
      <c r="J1396" s="136">
        <v>91</v>
      </c>
      <c r="K1396" s="136">
        <v>17</v>
      </c>
      <c r="L1396" s="131">
        <v>0.37513369940000002</v>
      </c>
      <c r="M1396" s="149">
        <v>0.18875883709999999</v>
      </c>
      <c r="N1396" s="131">
        <v>0.36829273709999999</v>
      </c>
      <c r="O1396" s="132" t="str">
        <f t="shared" si="1"/>
        <v>Normal</v>
      </c>
    </row>
    <row r="1397" spans="1:15" ht="156">
      <c r="A1397" s="167" t="s">
        <v>3741</v>
      </c>
      <c r="B1397" s="126" t="s">
        <v>48</v>
      </c>
      <c r="C1397" s="168"/>
      <c r="D1397" s="139" t="s">
        <v>514</v>
      </c>
      <c r="E1397" s="150" t="s">
        <v>517</v>
      </c>
      <c r="F1397" s="159" t="s">
        <v>400</v>
      </c>
      <c r="G1397" s="134">
        <v>2</v>
      </c>
      <c r="H1397" s="134">
        <v>7</v>
      </c>
      <c r="I1397" s="130">
        <v>13.7</v>
      </c>
      <c r="J1397" s="130">
        <v>97.4</v>
      </c>
      <c r="K1397" s="136">
        <v>16</v>
      </c>
      <c r="L1397" s="131">
        <v>-0.3033047593</v>
      </c>
      <c r="M1397" s="149">
        <v>-0.39922453149999998</v>
      </c>
      <c r="N1397" s="131">
        <v>4.5408002859999996</v>
      </c>
      <c r="O1397" s="132" t="str">
        <f t="shared" si="1"/>
        <v>Normal</v>
      </c>
    </row>
    <row r="1398" spans="1:15" ht="140.4">
      <c r="A1398" s="167" t="s">
        <v>3742</v>
      </c>
      <c r="B1398" s="126" t="s">
        <v>48</v>
      </c>
      <c r="C1398" s="168"/>
      <c r="D1398" s="139" t="s">
        <v>519</v>
      </c>
      <c r="E1398" s="150" t="s">
        <v>398</v>
      </c>
      <c r="F1398" s="159" t="s">
        <v>400</v>
      </c>
      <c r="G1398" s="134">
        <v>4</v>
      </c>
      <c r="H1398" s="134">
        <v>7</v>
      </c>
      <c r="I1398" s="136">
        <v>10</v>
      </c>
      <c r="J1398" s="136">
        <v>84</v>
      </c>
      <c r="K1398" s="136">
        <v>15</v>
      </c>
      <c r="L1398" s="131">
        <v>-2.093547161</v>
      </c>
      <c r="M1398" s="149">
        <v>-1.716358952</v>
      </c>
      <c r="N1398" s="131">
        <v>-1.6947274619999999</v>
      </c>
      <c r="O1398" s="132" t="str">
        <f t="shared" si="1"/>
        <v>Gz.Krg</v>
      </c>
    </row>
    <row r="1399" spans="1:15" ht="78">
      <c r="A1399" s="167" t="s">
        <v>3743</v>
      </c>
      <c r="B1399" s="126" t="s">
        <v>37</v>
      </c>
      <c r="C1399" s="168"/>
      <c r="D1399" s="139" t="s">
        <v>521</v>
      </c>
      <c r="E1399" s="150" t="s">
        <v>524</v>
      </c>
      <c r="F1399" s="159" t="s">
        <v>400</v>
      </c>
      <c r="G1399" s="134">
        <v>4</v>
      </c>
      <c r="H1399" s="134">
        <v>7</v>
      </c>
      <c r="I1399" s="136">
        <v>11.5</v>
      </c>
      <c r="J1399" s="136">
        <v>93</v>
      </c>
      <c r="K1399" s="136">
        <v>16</v>
      </c>
      <c r="L1399" s="131">
        <v>-0.35529904670000001</v>
      </c>
      <c r="M1399" s="149">
        <v>-1.1561487479999999</v>
      </c>
      <c r="N1399" s="131">
        <v>0.5239231607</v>
      </c>
      <c r="O1399" s="132" t="str">
        <f t="shared" si="1"/>
        <v>Normal</v>
      </c>
    </row>
    <row r="1400" spans="1:15" ht="93.6">
      <c r="A1400" s="167" t="s">
        <v>3744</v>
      </c>
      <c r="B1400" s="126" t="s">
        <v>37</v>
      </c>
      <c r="C1400" s="168"/>
      <c r="D1400" s="139" t="s">
        <v>526</v>
      </c>
      <c r="E1400" s="150" t="s">
        <v>529</v>
      </c>
      <c r="F1400" s="159" t="s">
        <v>400</v>
      </c>
      <c r="G1400" s="134">
        <v>2</v>
      </c>
      <c r="H1400" s="134">
        <v>7</v>
      </c>
      <c r="I1400" s="136">
        <v>10.199999999999999</v>
      </c>
      <c r="J1400" s="136">
        <v>83</v>
      </c>
      <c r="K1400" s="136">
        <v>16</v>
      </c>
      <c r="L1400" s="131">
        <v>-1.246895555</v>
      </c>
      <c r="M1400" s="149">
        <v>-1.2691730489999999</v>
      </c>
      <c r="N1400" s="131">
        <v>-0.78462545350000001</v>
      </c>
      <c r="O1400" s="132" t="str">
        <f t="shared" si="1"/>
        <v>Normal</v>
      </c>
    </row>
    <row r="1401" spans="1:15" ht="78">
      <c r="A1401" s="167" t="s">
        <v>3745</v>
      </c>
      <c r="B1401" s="126" t="s">
        <v>37</v>
      </c>
      <c r="C1401" s="168"/>
      <c r="D1401" s="139" t="s">
        <v>531</v>
      </c>
      <c r="E1401" s="150" t="s">
        <v>534</v>
      </c>
      <c r="F1401" s="159" t="s">
        <v>400</v>
      </c>
      <c r="G1401" s="134">
        <v>3</v>
      </c>
      <c r="H1401" s="134">
        <v>7</v>
      </c>
      <c r="I1401" s="136">
        <v>10.7</v>
      </c>
      <c r="J1401" s="136">
        <v>85.5</v>
      </c>
      <c r="K1401" s="136">
        <v>16</v>
      </c>
      <c r="L1401" s="131">
        <v>-0.91636287260000004</v>
      </c>
      <c r="M1401" s="149">
        <v>-0.64423001179999995</v>
      </c>
      <c r="N1401" s="131">
        <v>-0.86647452930000002</v>
      </c>
      <c r="O1401" s="132" t="str">
        <f t="shared" si="1"/>
        <v>Normal</v>
      </c>
    </row>
    <row r="1402" spans="1:15" ht="78">
      <c r="A1402" s="167" t="s">
        <v>3746</v>
      </c>
      <c r="B1402" s="126" t="s">
        <v>48</v>
      </c>
      <c r="C1402" s="168"/>
      <c r="D1402" s="139" t="s">
        <v>536</v>
      </c>
      <c r="E1402" s="150" t="s">
        <v>539</v>
      </c>
      <c r="F1402" s="159" t="s">
        <v>400</v>
      </c>
      <c r="G1402" s="134">
        <v>1</v>
      </c>
      <c r="H1402" s="134">
        <v>7</v>
      </c>
      <c r="I1402" s="136">
        <v>10</v>
      </c>
      <c r="J1402" s="136">
        <v>82</v>
      </c>
      <c r="K1402" s="136">
        <v>16</v>
      </c>
      <c r="L1402" s="131">
        <v>-1.8804380430000001</v>
      </c>
      <c r="M1402" s="149">
        <v>-1.9915298400000001</v>
      </c>
      <c r="N1402" s="131">
        <v>-1.167356327</v>
      </c>
      <c r="O1402" s="132" t="str">
        <f t="shared" si="1"/>
        <v>Normal</v>
      </c>
    </row>
    <row r="1403" spans="1:15" ht="109.2">
      <c r="A1403" s="167" t="s">
        <v>3747</v>
      </c>
      <c r="B1403" s="126" t="s">
        <v>37</v>
      </c>
      <c r="C1403" s="168"/>
      <c r="D1403" s="147" t="s">
        <v>541</v>
      </c>
      <c r="E1403" s="150" t="s">
        <v>544</v>
      </c>
      <c r="F1403" s="159" t="s">
        <v>400</v>
      </c>
      <c r="G1403" s="134">
        <v>1</v>
      </c>
      <c r="H1403" s="134">
        <v>7</v>
      </c>
      <c r="I1403" s="141">
        <v>10</v>
      </c>
      <c r="J1403" s="141">
        <v>81</v>
      </c>
      <c r="K1403" s="141">
        <v>16</v>
      </c>
      <c r="L1403" s="131">
        <v>-1.2445061019999999</v>
      </c>
      <c r="M1403" s="149">
        <v>-1.4444653220000001</v>
      </c>
      <c r="N1403" s="131">
        <v>-0.34193341319999998</v>
      </c>
      <c r="O1403" s="132" t="str">
        <f t="shared" si="1"/>
        <v>Normal</v>
      </c>
    </row>
    <row r="1404" spans="1:15" ht="93.6">
      <c r="A1404" s="167" t="s">
        <v>3748</v>
      </c>
      <c r="B1404" s="126" t="s">
        <v>37</v>
      </c>
      <c r="C1404" s="168"/>
      <c r="D1404" s="147" t="s">
        <v>545</v>
      </c>
      <c r="E1404" s="150" t="s">
        <v>548</v>
      </c>
      <c r="F1404" s="159" t="s">
        <v>400</v>
      </c>
      <c r="G1404" s="134">
        <v>4</v>
      </c>
      <c r="H1404" s="134">
        <v>7</v>
      </c>
      <c r="I1404" s="136">
        <v>10.9</v>
      </c>
      <c r="J1404" s="136">
        <v>84</v>
      </c>
      <c r="K1404" s="136">
        <v>17</v>
      </c>
      <c r="L1404" s="131">
        <v>-0.41815707520000001</v>
      </c>
      <c r="M1404" s="149">
        <v>-0.45556230390000002</v>
      </c>
      <c r="N1404" s="131">
        <v>-8.2312178779999995E-2</v>
      </c>
      <c r="O1404" s="132" t="str">
        <f t="shared" si="1"/>
        <v>Normal</v>
      </c>
    </row>
    <row r="1405" spans="1:15" ht="93.6">
      <c r="A1405" s="167" t="s">
        <v>3749</v>
      </c>
      <c r="B1405" s="126" t="s">
        <v>48</v>
      </c>
      <c r="C1405" s="168"/>
      <c r="D1405" s="147" t="s">
        <v>550</v>
      </c>
      <c r="E1405" s="150" t="s">
        <v>553</v>
      </c>
      <c r="F1405" s="159" t="s">
        <v>400</v>
      </c>
      <c r="G1405" s="134">
        <v>3</v>
      </c>
      <c r="H1405" s="134">
        <v>7</v>
      </c>
      <c r="I1405" s="136">
        <v>8</v>
      </c>
      <c r="J1405" s="136">
        <v>78</v>
      </c>
      <c r="K1405" s="136">
        <v>16</v>
      </c>
      <c r="L1405" s="131">
        <v>-0.26403187630000002</v>
      </c>
      <c r="M1405" s="149">
        <v>-1.523965161</v>
      </c>
      <c r="N1405" s="131">
        <v>0.62883266670000004</v>
      </c>
      <c r="O1405" s="132" t="str">
        <f t="shared" si="1"/>
        <v>Normal</v>
      </c>
    </row>
    <row r="1406" spans="1:15" ht="78">
      <c r="A1406" s="167" t="s">
        <v>3750</v>
      </c>
      <c r="B1406" s="126" t="s">
        <v>48</v>
      </c>
      <c r="C1406" s="168"/>
      <c r="D1406" s="147" t="s">
        <v>555</v>
      </c>
      <c r="E1406" s="150" t="s">
        <v>409</v>
      </c>
      <c r="F1406" s="159" t="s">
        <v>400</v>
      </c>
      <c r="G1406" s="134">
        <v>3</v>
      </c>
      <c r="H1406" s="134">
        <v>7</v>
      </c>
      <c r="I1406" s="141">
        <v>11.8</v>
      </c>
      <c r="J1406" s="141">
        <v>83</v>
      </c>
      <c r="K1406" s="141">
        <v>17</v>
      </c>
      <c r="L1406" s="131">
        <v>-3.3313173639999999E-2</v>
      </c>
      <c r="M1406" s="149">
        <v>-0.88251247820000001</v>
      </c>
      <c r="N1406" s="131">
        <v>0.83451937580000002</v>
      </c>
      <c r="O1406" s="132" t="str">
        <f t="shared" si="1"/>
        <v>Normal</v>
      </c>
    </row>
    <row r="1407" spans="1:15" ht="78">
      <c r="A1407" s="167" t="s">
        <v>3751</v>
      </c>
      <c r="B1407" s="126" t="s">
        <v>48</v>
      </c>
      <c r="C1407" s="168"/>
      <c r="D1407" s="147" t="s">
        <v>558</v>
      </c>
      <c r="E1407" s="150" t="s">
        <v>561</v>
      </c>
      <c r="F1407" s="159" t="s">
        <v>400</v>
      </c>
      <c r="G1407" s="134">
        <v>2</v>
      </c>
      <c r="H1407" s="134">
        <v>7</v>
      </c>
      <c r="I1407" s="136">
        <v>10.5</v>
      </c>
      <c r="J1407" s="136">
        <v>81</v>
      </c>
      <c r="K1407" s="136">
        <v>17</v>
      </c>
      <c r="L1407" s="131">
        <v>-0.94239032290000002</v>
      </c>
      <c r="M1407" s="149">
        <v>-1.6219598710000001</v>
      </c>
      <c r="N1407" s="131">
        <v>-0.16036189570000001</v>
      </c>
      <c r="O1407" s="132" t="str">
        <f t="shared" si="1"/>
        <v>Normal</v>
      </c>
    </row>
    <row r="1408" spans="1:15" ht="140.4">
      <c r="A1408" s="167" t="s">
        <v>3752</v>
      </c>
      <c r="B1408" s="126" t="s">
        <v>48</v>
      </c>
      <c r="C1408" s="168"/>
      <c r="D1408" s="147" t="s">
        <v>562</v>
      </c>
      <c r="E1408" s="150" t="s">
        <v>565</v>
      </c>
      <c r="F1408" s="159" t="s">
        <v>400</v>
      </c>
      <c r="G1408" s="134">
        <v>3</v>
      </c>
      <c r="H1408" s="134">
        <v>7</v>
      </c>
      <c r="I1408" s="136">
        <v>9.6999999999999993</v>
      </c>
      <c r="J1408" s="136">
        <v>80</v>
      </c>
      <c r="K1408" s="136">
        <v>17</v>
      </c>
      <c r="L1408" s="131">
        <v>-1.620031277</v>
      </c>
      <c r="M1408" s="149">
        <v>-1.920152337</v>
      </c>
      <c r="N1408" s="131">
        <v>-0.92917421820000001</v>
      </c>
      <c r="O1408" s="132" t="str">
        <f t="shared" si="1"/>
        <v>Normal</v>
      </c>
    </row>
    <row r="1409" spans="1:15" ht="109.2">
      <c r="A1409" s="167" t="s">
        <v>3753</v>
      </c>
      <c r="B1409" s="126" t="s">
        <v>48</v>
      </c>
      <c r="C1409" s="168"/>
      <c r="D1409" s="147" t="s">
        <v>567</v>
      </c>
      <c r="E1409" s="150" t="s">
        <v>570</v>
      </c>
      <c r="F1409" s="159" t="s">
        <v>400</v>
      </c>
      <c r="G1409" s="134">
        <v>2</v>
      </c>
      <c r="H1409" s="134">
        <v>7</v>
      </c>
      <c r="I1409" s="136">
        <v>12</v>
      </c>
      <c r="J1409" s="136">
        <v>81</v>
      </c>
      <c r="K1409" s="136">
        <v>17</v>
      </c>
      <c r="L1409" s="131">
        <v>0.42449467089999998</v>
      </c>
      <c r="M1409" s="149">
        <v>-1.278234517</v>
      </c>
      <c r="N1409" s="131">
        <v>1.5097884909999999</v>
      </c>
      <c r="O1409" s="132" t="str">
        <f t="shared" si="1"/>
        <v>Normal</v>
      </c>
    </row>
    <row r="1410" spans="1:15" ht="78">
      <c r="A1410" s="167" t="s">
        <v>3754</v>
      </c>
      <c r="B1410" s="126" t="s">
        <v>48</v>
      </c>
      <c r="C1410" s="168"/>
      <c r="D1410" s="147" t="s">
        <v>572</v>
      </c>
      <c r="E1410" s="150" t="s">
        <v>575</v>
      </c>
      <c r="F1410" s="159" t="s">
        <v>400</v>
      </c>
      <c r="G1410" s="134">
        <v>1</v>
      </c>
      <c r="H1410" s="134">
        <v>7</v>
      </c>
      <c r="I1410" s="136">
        <v>10.5</v>
      </c>
      <c r="J1410" s="136">
        <v>81.5</v>
      </c>
      <c r="K1410" s="136">
        <v>16</v>
      </c>
      <c r="L1410" s="131">
        <v>-0.60305018129999999</v>
      </c>
      <c r="M1410" s="149">
        <v>-0.77930200540000005</v>
      </c>
      <c r="N1410" s="131">
        <v>-0.27455126990000001</v>
      </c>
      <c r="O1410" s="132" t="str">
        <f t="shared" si="1"/>
        <v>Normal</v>
      </c>
    </row>
    <row r="1411" spans="1:15" ht="140.4">
      <c r="A1411" s="167" t="s">
        <v>3755</v>
      </c>
      <c r="B1411" s="126" t="s">
        <v>48</v>
      </c>
      <c r="C1411" s="168"/>
      <c r="D1411" s="147" t="s">
        <v>576</v>
      </c>
      <c r="E1411" s="150" t="s">
        <v>579</v>
      </c>
      <c r="F1411" s="159" t="s">
        <v>400</v>
      </c>
      <c r="G1411" s="134">
        <v>4</v>
      </c>
      <c r="H1411" s="134">
        <v>7</v>
      </c>
      <c r="I1411" s="136">
        <v>10.7</v>
      </c>
      <c r="J1411" s="136">
        <v>78.5</v>
      </c>
      <c r="K1411" s="136">
        <v>16</v>
      </c>
      <c r="L1411" s="131">
        <v>-0.26403187630000002</v>
      </c>
      <c r="M1411" s="149">
        <v>-1.523965161</v>
      </c>
      <c r="N1411" s="131">
        <v>0.62883266670000004</v>
      </c>
      <c r="O1411" s="132" t="str">
        <f t="shared" si="1"/>
        <v>Normal</v>
      </c>
    </row>
    <row r="1412" spans="1:15" ht="28.8">
      <c r="A1412" s="167" t="s">
        <v>3756</v>
      </c>
      <c r="B1412" s="126"/>
      <c r="C1412" s="168"/>
      <c r="D1412" s="147"/>
      <c r="E1412" s="150"/>
      <c r="F1412" s="159"/>
      <c r="G1412" s="134"/>
      <c r="H1412" s="134"/>
      <c r="I1412" s="136"/>
      <c r="J1412" s="136"/>
      <c r="K1412" s="136"/>
      <c r="L1412" s="131"/>
      <c r="M1412" s="149"/>
      <c r="N1412" s="131"/>
      <c r="O1412" s="132" t="str">
        <f t="shared" si="1"/>
        <v/>
      </c>
    </row>
    <row r="1413" spans="1:15" ht="78">
      <c r="A1413" s="167" t="s">
        <v>3757</v>
      </c>
      <c r="B1413" s="126"/>
      <c r="C1413" s="168"/>
      <c r="D1413" s="147"/>
      <c r="E1413" s="150" t="s">
        <v>581</v>
      </c>
      <c r="F1413" s="159" t="s">
        <v>400</v>
      </c>
      <c r="G1413" s="134">
        <v>3</v>
      </c>
      <c r="H1413" s="134">
        <v>7</v>
      </c>
      <c r="I1413" s="136">
        <v>11.8</v>
      </c>
      <c r="J1413" s="136">
        <v>81.5</v>
      </c>
      <c r="K1413" s="136">
        <v>17</v>
      </c>
      <c r="L1413" s="131">
        <v>0.82458325690000001</v>
      </c>
      <c r="M1413" s="149">
        <v>2.6370920570000001E-2</v>
      </c>
      <c r="N1413" s="131">
        <v>1.188114836</v>
      </c>
      <c r="O1413" s="132" t="str">
        <f t="shared" si="1"/>
        <v/>
      </c>
    </row>
    <row r="1414" spans="1:15" ht="93.6">
      <c r="A1414" s="167" t="s">
        <v>3758</v>
      </c>
      <c r="B1414" s="126" t="s">
        <v>48</v>
      </c>
      <c r="C1414" s="168"/>
      <c r="D1414" s="147" t="s">
        <v>582</v>
      </c>
      <c r="E1414" s="150" t="s">
        <v>585</v>
      </c>
      <c r="F1414" s="159" t="s">
        <v>400</v>
      </c>
      <c r="G1414" s="134">
        <v>4</v>
      </c>
      <c r="H1414" s="134">
        <v>7</v>
      </c>
      <c r="I1414" s="136">
        <v>10.1</v>
      </c>
      <c r="J1414" s="136">
        <v>81</v>
      </c>
      <c r="K1414" s="136">
        <v>16</v>
      </c>
      <c r="L1414" s="131">
        <v>-0.30442688350000002</v>
      </c>
      <c r="M1414" s="149">
        <v>0.45971827040000002</v>
      </c>
      <c r="N1414" s="131">
        <v>-0.64762900710000004</v>
      </c>
      <c r="O1414" s="132" t="str">
        <f t="shared" si="1"/>
        <v>Normal</v>
      </c>
    </row>
    <row r="1415" spans="1:15" ht="109.2">
      <c r="A1415" s="167" t="s">
        <v>3759</v>
      </c>
      <c r="B1415" s="126" t="s">
        <v>48</v>
      </c>
      <c r="C1415" s="168"/>
      <c r="D1415" s="147" t="s">
        <v>587</v>
      </c>
      <c r="E1415" s="150" t="s">
        <v>483</v>
      </c>
      <c r="F1415" s="159" t="s">
        <v>400</v>
      </c>
      <c r="G1415" s="134">
        <v>4</v>
      </c>
      <c r="H1415" s="134">
        <v>7</v>
      </c>
      <c r="I1415" s="136">
        <v>8</v>
      </c>
      <c r="J1415" s="136">
        <v>73.5</v>
      </c>
      <c r="K1415" s="136">
        <v>15</v>
      </c>
      <c r="L1415" s="131">
        <v>-1.9715800809999999</v>
      </c>
      <c r="M1415" s="149">
        <v>-1.5258706230000001</v>
      </c>
      <c r="N1415" s="131">
        <v>-1.746817488</v>
      </c>
      <c r="O1415" s="132" t="str">
        <f t="shared" si="1"/>
        <v>Normal</v>
      </c>
    </row>
    <row r="1416" spans="1:15" ht="109.2">
      <c r="A1416" s="167" t="s">
        <v>3760</v>
      </c>
      <c r="B1416" s="126" t="s">
        <v>37</v>
      </c>
      <c r="C1416" s="168"/>
      <c r="D1416" s="147" t="s">
        <v>582</v>
      </c>
      <c r="E1416" s="150" t="s">
        <v>592</v>
      </c>
      <c r="F1416" s="159" t="s">
        <v>400</v>
      </c>
      <c r="G1416" s="134">
        <v>2</v>
      </c>
      <c r="H1416" s="134">
        <v>7</v>
      </c>
      <c r="I1416" s="136">
        <v>9.1</v>
      </c>
      <c r="J1416" s="136">
        <v>73.5</v>
      </c>
      <c r="K1416" s="136">
        <v>17</v>
      </c>
      <c r="L1416" s="131">
        <v>-0.54984794439999995</v>
      </c>
      <c r="M1416" s="149">
        <v>-1.6957943900000001</v>
      </c>
      <c r="N1416" s="131">
        <v>0.30402031369999999</v>
      </c>
      <c r="O1416" s="132" t="str">
        <f t="shared" si="1"/>
        <v>Normal</v>
      </c>
    </row>
    <row r="1417" spans="1:15" ht="109.2">
      <c r="A1417" s="167" t="s">
        <v>3761</v>
      </c>
      <c r="B1417" s="126" t="s">
        <v>37</v>
      </c>
      <c r="C1417" s="168"/>
      <c r="D1417" s="147" t="s">
        <v>594</v>
      </c>
      <c r="E1417" s="150" t="s">
        <v>597</v>
      </c>
      <c r="F1417" s="159" t="s">
        <v>400</v>
      </c>
      <c r="G1417" s="134">
        <v>2</v>
      </c>
      <c r="H1417" s="134">
        <v>7</v>
      </c>
      <c r="I1417" s="136">
        <v>9.6</v>
      </c>
      <c r="J1417" s="136">
        <v>71.5</v>
      </c>
      <c r="K1417" s="136">
        <v>17</v>
      </c>
      <c r="L1417" s="131">
        <v>0.70801645020000004</v>
      </c>
      <c r="M1417" s="149">
        <v>-0.70892448679999998</v>
      </c>
      <c r="N1417" s="131">
        <v>1.445061006</v>
      </c>
      <c r="O1417" s="132" t="str">
        <f t="shared" si="1"/>
        <v>Normal</v>
      </c>
    </row>
    <row r="1418" spans="1:15" ht="140.4">
      <c r="A1418" s="167" t="s">
        <v>3762</v>
      </c>
      <c r="B1418" s="126" t="s">
        <v>37</v>
      </c>
      <c r="C1418" s="168"/>
      <c r="D1418" s="147" t="s">
        <v>598</v>
      </c>
      <c r="E1418" s="150" t="s">
        <v>601</v>
      </c>
      <c r="F1418" s="159" t="s">
        <v>400</v>
      </c>
      <c r="G1418" s="134">
        <v>1</v>
      </c>
      <c r="H1418" s="134">
        <v>7</v>
      </c>
      <c r="I1418" s="136">
        <v>7.8</v>
      </c>
      <c r="J1418" s="136">
        <v>74</v>
      </c>
      <c r="K1418" s="136">
        <v>16</v>
      </c>
      <c r="L1418" s="131">
        <v>-0.69641984479999997</v>
      </c>
      <c r="M1418" s="149">
        <v>1.5845788160000001</v>
      </c>
      <c r="N1418" s="131">
        <v>-1.6068743969999999</v>
      </c>
      <c r="O1418" s="132" t="str">
        <f t="shared" ref="O1418:O1481" si="2">IF(D1418&gt;0,IF(E1418&gt;0,IF(L1418&lt;-3,"Gz.Brk",IF(L1418&lt;-2,"Gz.Krg",IF(L1418&lt;=1,"Normal",IF(L1418&lt;=2,"R.Gz.Lbh",IF(L1418&lt;=3,"Gz.Lbh","Obesitas")))))," "),"")</f>
        <v>Normal</v>
      </c>
    </row>
    <row r="1419" spans="1:15" ht="109.2">
      <c r="A1419" s="167" t="s">
        <v>3763</v>
      </c>
      <c r="B1419" s="126" t="s">
        <v>48</v>
      </c>
      <c r="C1419" s="168"/>
      <c r="D1419" s="147" t="s">
        <v>603</v>
      </c>
      <c r="E1419" s="150" t="s">
        <v>606</v>
      </c>
      <c r="F1419" s="159" t="s">
        <v>400</v>
      </c>
      <c r="G1419" s="134">
        <v>3</v>
      </c>
      <c r="H1419" s="134">
        <v>7</v>
      </c>
      <c r="I1419" s="136">
        <v>10.199999999999999</v>
      </c>
      <c r="J1419" s="136">
        <v>74</v>
      </c>
      <c r="K1419" s="136">
        <v>17</v>
      </c>
      <c r="L1419" s="131">
        <v>0.98902874910000005</v>
      </c>
      <c r="M1419" s="149">
        <v>0.34128074809999998</v>
      </c>
      <c r="N1419" s="131">
        <v>1.160626876</v>
      </c>
      <c r="O1419" s="132" t="str">
        <f t="shared" si="2"/>
        <v>Normal</v>
      </c>
    </row>
    <row r="1420" spans="1:15" ht="93.6">
      <c r="A1420" s="167" t="s">
        <v>3764</v>
      </c>
      <c r="B1420" s="126" t="s">
        <v>48</v>
      </c>
      <c r="C1420" s="168"/>
      <c r="D1420" s="147" t="s">
        <v>608</v>
      </c>
      <c r="E1420" s="150" t="s">
        <v>611</v>
      </c>
      <c r="F1420" s="159" t="s">
        <v>400</v>
      </c>
      <c r="G1420" s="134">
        <v>3</v>
      </c>
      <c r="H1420" s="134">
        <v>7</v>
      </c>
      <c r="I1420" s="136">
        <v>6.7</v>
      </c>
      <c r="J1420" s="136">
        <v>69</v>
      </c>
      <c r="K1420" s="136">
        <v>15</v>
      </c>
      <c r="L1420" s="131">
        <v>-1.693365859</v>
      </c>
      <c r="M1420" s="149">
        <v>-0.49193903049999999</v>
      </c>
      <c r="N1420" s="131">
        <v>-1.9813012649999999</v>
      </c>
      <c r="O1420" s="132" t="str">
        <f t="shared" si="2"/>
        <v>Normal</v>
      </c>
    </row>
    <row r="1421" spans="1:15" ht="124.8">
      <c r="A1421" s="167" t="s">
        <v>3765</v>
      </c>
      <c r="B1421" s="126" t="s">
        <v>48</v>
      </c>
      <c r="C1421" s="168"/>
      <c r="D1421" s="147" t="s">
        <v>613</v>
      </c>
      <c r="E1421" s="150" t="s">
        <v>616</v>
      </c>
      <c r="F1421" s="159" t="s">
        <v>400</v>
      </c>
      <c r="G1421" s="134">
        <v>4</v>
      </c>
      <c r="H1421" s="134">
        <v>7</v>
      </c>
      <c r="I1421" s="136">
        <v>7.8</v>
      </c>
      <c r="J1421" s="136">
        <v>67.5</v>
      </c>
      <c r="K1421" s="136">
        <v>16</v>
      </c>
      <c r="L1421" s="131">
        <v>0.27341136939999999</v>
      </c>
      <c r="M1421" s="149">
        <v>0.65452461289999997</v>
      </c>
      <c r="N1421" s="131">
        <v>-4.8181524980000001E-2</v>
      </c>
      <c r="O1421" s="132" t="str">
        <f t="shared" si="2"/>
        <v>Normal</v>
      </c>
    </row>
    <row r="1422" spans="1:15" ht="78">
      <c r="A1422" s="167" t="s">
        <v>3766</v>
      </c>
      <c r="B1422" s="126" t="s">
        <v>37</v>
      </c>
      <c r="C1422" s="168"/>
      <c r="D1422" s="147" t="s">
        <v>618</v>
      </c>
      <c r="E1422" s="150" t="s">
        <v>620</v>
      </c>
      <c r="F1422" s="159" t="s">
        <v>400</v>
      </c>
      <c r="G1422" s="134"/>
      <c r="H1422" s="134">
        <v>7</v>
      </c>
      <c r="I1422" s="136">
        <v>5.6</v>
      </c>
      <c r="J1422" s="136">
        <v>58.5</v>
      </c>
      <c r="K1422" s="136">
        <v>14</v>
      </c>
      <c r="L1422" s="131">
        <v>-0.3828611885</v>
      </c>
      <c r="M1422" s="149">
        <v>-0.6765754705</v>
      </c>
      <c r="N1422" s="131">
        <v>0.30233901930000001</v>
      </c>
      <c r="O1422" s="132" t="str">
        <f t="shared" si="2"/>
        <v>Normal</v>
      </c>
    </row>
    <row r="1423" spans="1:15" ht="124.8">
      <c r="A1423" s="167" t="s">
        <v>3767</v>
      </c>
      <c r="B1423" s="126" t="s">
        <v>48</v>
      </c>
      <c r="C1423" s="168"/>
      <c r="D1423" s="147" t="s">
        <v>622</v>
      </c>
      <c r="E1423" s="150" t="s">
        <v>448</v>
      </c>
      <c r="F1423" s="159" t="s">
        <v>400</v>
      </c>
      <c r="G1423" s="134">
        <v>2</v>
      </c>
      <c r="H1423" s="134">
        <v>7</v>
      </c>
      <c r="I1423" s="136">
        <v>6</v>
      </c>
      <c r="J1423" s="136">
        <v>58</v>
      </c>
      <c r="K1423" s="136">
        <v>14</v>
      </c>
      <c r="L1423" s="131">
        <v>0.50034240070000002</v>
      </c>
      <c r="M1423" s="149">
        <v>-0.31467894190000001</v>
      </c>
      <c r="N1423" s="131">
        <v>1.3512707930000001</v>
      </c>
      <c r="O1423" s="132" t="str">
        <f t="shared" si="2"/>
        <v>Normal</v>
      </c>
    </row>
    <row r="1424" spans="1:15" ht="78">
      <c r="A1424" s="167" t="s">
        <v>3768</v>
      </c>
      <c r="B1424" s="126" t="s">
        <v>48</v>
      </c>
      <c r="C1424" s="168"/>
      <c r="D1424" s="147" t="s">
        <v>624</v>
      </c>
      <c r="E1424" s="150" t="s">
        <v>626</v>
      </c>
      <c r="F1424" s="159" t="s">
        <v>400</v>
      </c>
      <c r="G1424" s="134">
        <v>1</v>
      </c>
      <c r="H1424" s="134">
        <v>7</v>
      </c>
      <c r="I1424" s="136">
        <v>5.2</v>
      </c>
      <c r="J1424" s="136">
        <v>58</v>
      </c>
      <c r="K1424" s="136">
        <v>14</v>
      </c>
      <c r="L1424" s="131">
        <v>-0.72216257029999997</v>
      </c>
      <c r="M1424" s="149">
        <v>-0.45907240739999999</v>
      </c>
      <c r="N1424" s="131">
        <v>-0.4497538626</v>
      </c>
      <c r="O1424" s="132" t="str">
        <f t="shared" si="2"/>
        <v>Normal</v>
      </c>
    </row>
    <row r="1425" spans="1:15" ht="93.6">
      <c r="A1425" s="167" t="s">
        <v>3769</v>
      </c>
      <c r="B1425" s="126" t="s">
        <v>48</v>
      </c>
      <c r="C1425" s="168"/>
      <c r="D1425" s="147" t="s">
        <v>628</v>
      </c>
      <c r="E1425" s="150" t="s">
        <v>631</v>
      </c>
      <c r="F1425" s="159" t="s">
        <v>400</v>
      </c>
      <c r="G1425" s="134">
        <v>1</v>
      </c>
      <c r="H1425" s="134">
        <v>7</v>
      </c>
      <c r="I1425" s="136">
        <v>5.4</v>
      </c>
      <c r="J1425" s="136">
        <v>56</v>
      </c>
      <c r="K1425" s="136">
        <v>14</v>
      </c>
      <c r="L1425" s="131">
        <v>0.64465686950000001</v>
      </c>
      <c r="M1425" s="149">
        <v>-0.17680732090000001</v>
      </c>
      <c r="N1425" s="131">
        <v>1.4529573389999999</v>
      </c>
      <c r="O1425" s="132" t="str">
        <f t="shared" si="2"/>
        <v>Normal</v>
      </c>
    </row>
    <row r="1426" spans="1:15" ht="78">
      <c r="A1426" s="167" t="s">
        <v>3770</v>
      </c>
      <c r="B1426" s="126" t="s">
        <v>48</v>
      </c>
      <c r="C1426" s="168"/>
      <c r="D1426" s="147" t="s">
        <v>633</v>
      </c>
      <c r="E1426" s="150" t="s">
        <v>635</v>
      </c>
      <c r="F1426" s="159" t="s">
        <v>400</v>
      </c>
      <c r="G1426" s="134"/>
      <c r="H1426" s="134">
        <v>7</v>
      </c>
      <c r="I1426" s="136">
        <v>5.3</v>
      </c>
      <c r="J1426" s="136">
        <v>59</v>
      </c>
      <c r="K1426" s="136">
        <v>14</v>
      </c>
      <c r="L1426" s="131">
        <v>-0.1753832243</v>
      </c>
      <c r="M1426" s="149">
        <v>0.53052039870000001</v>
      </c>
      <c r="N1426" s="131">
        <v>-0.87105576289999997</v>
      </c>
      <c r="O1426" s="132" t="str">
        <f t="shared" si="2"/>
        <v>Normal</v>
      </c>
    </row>
    <row r="1427" spans="1:15" ht="78">
      <c r="A1427" s="167" t="s">
        <v>3771</v>
      </c>
      <c r="B1427" s="126" t="s">
        <v>37</v>
      </c>
      <c r="C1427" s="168"/>
      <c r="D1427" s="147" t="s">
        <v>636</v>
      </c>
      <c r="E1427" s="150" t="s">
        <v>638</v>
      </c>
      <c r="F1427" s="159" t="s">
        <v>400</v>
      </c>
      <c r="G1427" s="134"/>
      <c r="H1427" s="134">
        <v>7</v>
      </c>
      <c r="I1427" s="136">
        <v>4.5</v>
      </c>
      <c r="J1427" s="136">
        <v>54.5</v>
      </c>
      <c r="K1427" s="136">
        <v>14</v>
      </c>
      <c r="L1427" s="131">
        <v>7.9583967229999997E-2</v>
      </c>
      <c r="M1427" s="149">
        <v>-5.577879057E-2</v>
      </c>
      <c r="N1427" s="131">
        <v>0.28614508719999998</v>
      </c>
      <c r="O1427" s="132" t="str">
        <f t="shared" si="2"/>
        <v>Normal</v>
      </c>
    </row>
    <row r="1428" spans="1:15" ht="78">
      <c r="A1428" s="167" t="s">
        <v>3772</v>
      </c>
      <c r="B1428" s="126" t="s">
        <v>37</v>
      </c>
      <c r="C1428" s="168"/>
      <c r="D1428" s="147" t="s">
        <v>641</v>
      </c>
      <c r="E1428" s="150" t="s">
        <v>643</v>
      </c>
      <c r="F1428" s="159" t="s">
        <v>400</v>
      </c>
      <c r="G1428" s="134">
        <v>3</v>
      </c>
      <c r="H1428" s="134">
        <v>7</v>
      </c>
      <c r="I1428" s="136">
        <v>4.8</v>
      </c>
      <c r="J1428" s="136">
        <v>53.5</v>
      </c>
      <c r="K1428" s="136">
        <v>14</v>
      </c>
      <c r="L1428" s="131">
        <v>0.68840943809999999</v>
      </c>
      <c r="M1428" s="149">
        <v>-0.39846247299999998</v>
      </c>
      <c r="N1428" s="131">
        <v>1.7525048519999999</v>
      </c>
      <c r="O1428" s="132" t="str">
        <f t="shared" si="2"/>
        <v>Normal</v>
      </c>
    </row>
    <row r="1429" spans="1:15" ht="78">
      <c r="A1429" s="167" t="s">
        <v>3773</v>
      </c>
      <c r="B1429" s="126" t="s">
        <v>37</v>
      </c>
      <c r="C1429" s="168"/>
      <c r="D1429" s="139" t="s">
        <v>645</v>
      </c>
      <c r="E1429" s="140" t="s">
        <v>648</v>
      </c>
      <c r="F1429" s="159" t="s">
        <v>650</v>
      </c>
      <c r="G1429" s="136">
        <v>1</v>
      </c>
      <c r="H1429" s="136">
        <v>5</v>
      </c>
      <c r="I1429" s="136">
        <v>9.8000000000000007</v>
      </c>
      <c r="J1429" s="136">
        <v>75</v>
      </c>
      <c r="K1429" s="136">
        <v>17</v>
      </c>
      <c r="L1429" s="131">
        <v>-0.36773832950000002</v>
      </c>
      <c r="M1429" s="131">
        <v>-1.148276517</v>
      </c>
      <c r="N1429" s="131">
        <v>0.50034240070000002</v>
      </c>
      <c r="O1429" s="132" t="str">
        <f t="shared" si="2"/>
        <v>Normal</v>
      </c>
    </row>
    <row r="1430" spans="1:15" ht="78">
      <c r="A1430" s="167" t="s">
        <v>3774</v>
      </c>
      <c r="B1430" s="126" t="s">
        <v>37</v>
      </c>
      <c r="C1430" s="168"/>
      <c r="D1430" s="139" t="s">
        <v>645</v>
      </c>
      <c r="E1430" s="140" t="s">
        <v>653</v>
      </c>
      <c r="F1430" s="159" t="s">
        <v>650</v>
      </c>
      <c r="G1430" s="141">
        <v>2</v>
      </c>
      <c r="H1430" s="142">
        <v>5</v>
      </c>
      <c r="I1430" s="136">
        <v>9.6</v>
      </c>
      <c r="J1430" s="136">
        <v>74</v>
      </c>
      <c r="K1430" s="136">
        <v>17</v>
      </c>
      <c r="L1430" s="131">
        <v>-0.1075737725</v>
      </c>
      <c r="M1430" s="131">
        <v>-0.14331012430000001</v>
      </c>
      <c r="N1430" s="131">
        <v>-0.72216257029999997</v>
      </c>
      <c r="O1430" s="132" t="str">
        <f t="shared" si="2"/>
        <v>Normal</v>
      </c>
    </row>
    <row r="1431" spans="1:15" ht="78">
      <c r="A1431" s="167" t="s">
        <v>3775</v>
      </c>
      <c r="B1431" s="126" t="s">
        <v>37</v>
      </c>
      <c r="C1431" s="168"/>
      <c r="D1431" s="139" t="s">
        <v>655</v>
      </c>
      <c r="E1431" s="143" t="s">
        <v>657</v>
      </c>
      <c r="F1431" s="159" t="s">
        <v>650</v>
      </c>
      <c r="G1431" s="144">
        <v>2</v>
      </c>
      <c r="H1431" s="135">
        <v>5</v>
      </c>
      <c r="I1431" s="136">
        <v>5.55</v>
      </c>
      <c r="J1431" s="136">
        <v>64</v>
      </c>
      <c r="K1431" s="136">
        <v>14</v>
      </c>
      <c r="L1431" s="131">
        <v>0.1367919615</v>
      </c>
      <c r="M1431" s="131">
        <v>0.16831626750000001</v>
      </c>
      <c r="N1431" s="131">
        <v>0.64465686950000001</v>
      </c>
      <c r="O1431" s="132" t="str">
        <f t="shared" si="2"/>
        <v>Normal</v>
      </c>
    </row>
    <row r="1432" spans="1:15" ht="78">
      <c r="A1432" s="167" t="s">
        <v>3776</v>
      </c>
      <c r="B1432" s="151" t="s">
        <v>48</v>
      </c>
      <c r="C1432" s="168"/>
      <c r="D1432" s="152" t="s">
        <v>659</v>
      </c>
      <c r="E1432" s="153" t="s">
        <v>662</v>
      </c>
      <c r="F1432" s="171" t="s">
        <v>650</v>
      </c>
      <c r="G1432" s="154">
        <v>1</v>
      </c>
      <c r="H1432" s="154">
        <v>5</v>
      </c>
      <c r="I1432" s="134">
        <v>9.1999999999999993</v>
      </c>
      <c r="J1432" s="134">
        <v>80</v>
      </c>
      <c r="K1432" s="134">
        <v>15</v>
      </c>
      <c r="L1432" s="131">
        <v>-1.1705098789999999</v>
      </c>
      <c r="M1432" s="131">
        <v>-1.884658655</v>
      </c>
      <c r="N1432" s="149">
        <v>-0.31467894190000001</v>
      </c>
      <c r="O1432" s="132" t="str">
        <f t="shared" si="2"/>
        <v>Normal</v>
      </c>
    </row>
    <row r="1433" spans="1:15" ht="78">
      <c r="A1433" s="167" t="s">
        <v>3777</v>
      </c>
      <c r="B1433" s="151" t="s">
        <v>48</v>
      </c>
      <c r="C1433" s="168"/>
      <c r="D1433" s="152" t="s">
        <v>664</v>
      </c>
      <c r="E1433" s="153" t="s">
        <v>667</v>
      </c>
      <c r="F1433" s="171" t="s">
        <v>650</v>
      </c>
      <c r="G1433" s="154">
        <v>1</v>
      </c>
      <c r="H1433" s="154">
        <v>5</v>
      </c>
      <c r="I1433" s="134">
        <v>7.08</v>
      </c>
      <c r="J1433" s="134">
        <v>72</v>
      </c>
      <c r="K1433" s="134">
        <v>12</v>
      </c>
      <c r="L1433" s="131">
        <v>-0.92490868749999999</v>
      </c>
      <c r="M1433" s="131">
        <v>-7.7758666320000003E-2</v>
      </c>
      <c r="N1433" s="149">
        <v>-0.45907240739999999</v>
      </c>
      <c r="O1433" s="132" t="str">
        <f t="shared" si="2"/>
        <v>Normal</v>
      </c>
    </row>
    <row r="1434" spans="1:15" ht="78">
      <c r="A1434" s="167" t="s">
        <v>3778</v>
      </c>
      <c r="B1434" s="151" t="s">
        <v>48</v>
      </c>
      <c r="C1434" s="168"/>
      <c r="D1434" s="152" t="s">
        <v>669</v>
      </c>
      <c r="E1434" s="155" t="s">
        <v>672</v>
      </c>
      <c r="F1434" s="171" t="s">
        <v>650</v>
      </c>
      <c r="G1434" s="156">
        <v>2</v>
      </c>
      <c r="H1434" s="157">
        <v>5</v>
      </c>
      <c r="I1434" s="134">
        <v>14.2</v>
      </c>
      <c r="J1434" s="134">
        <v>86.1</v>
      </c>
      <c r="K1434" s="134">
        <v>18</v>
      </c>
      <c r="L1434" s="131">
        <v>-0.65102986240000005</v>
      </c>
      <c r="M1434" s="131">
        <v>-1.1199666939999999</v>
      </c>
      <c r="N1434" s="149">
        <v>-0.17680732090000001</v>
      </c>
      <c r="O1434" s="132" t="str">
        <f t="shared" si="2"/>
        <v>Normal</v>
      </c>
    </row>
    <row r="1435" spans="1:15" ht="78">
      <c r="A1435" s="167" t="s">
        <v>3779</v>
      </c>
      <c r="B1435" s="126" t="s">
        <v>37</v>
      </c>
      <c r="C1435" s="168"/>
      <c r="D1435" s="139" t="s">
        <v>673</v>
      </c>
      <c r="E1435" s="143" t="s">
        <v>676</v>
      </c>
      <c r="F1435" s="159" t="s">
        <v>650</v>
      </c>
      <c r="G1435" s="144">
        <v>2</v>
      </c>
      <c r="H1435" s="135">
        <v>5</v>
      </c>
      <c r="I1435" s="136">
        <v>16</v>
      </c>
      <c r="J1435" s="136">
        <v>93.5</v>
      </c>
      <c r="K1435" s="136">
        <v>17.5</v>
      </c>
      <c r="L1435" s="131">
        <v>-1.055258314</v>
      </c>
      <c r="M1435" s="131">
        <v>-0.96222559409999997</v>
      </c>
      <c r="N1435" s="149">
        <v>0.53052039870000001</v>
      </c>
      <c r="O1435" s="132" t="str">
        <f t="shared" si="2"/>
        <v>Normal</v>
      </c>
    </row>
    <row r="1436" spans="1:15" ht="78">
      <c r="A1436" s="167" t="s">
        <v>3780</v>
      </c>
      <c r="B1436" s="126" t="s">
        <v>48</v>
      </c>
      <c r="C1436" s="168"/>
      <c r="D1436" s="139" t="s">
        <v>678</v>
      </c>
      <c r="E1436" s="143" t="s">
        <v>681</v>
      </c>
      <c r="F1436" s="159" t="s">
        <v>650</v>
      </c>
      <c r="G1436" s="144">
        <v>2</v>
      </c>
      <c r="H1436" s="135">
        <v>5</v>
      </c>
      <c r="I1436" s="136">
        <v>12.6</v>
      </c>
      <c r="J1436" s="136">
        <v>90</v>
      </c>
      <c r="K1436" s="136">
        <v>14.5</v>
      </c>
      <c r="L1436" s="131">
        <v>-0.81894219000000001</v>
      </c>
      <c r="M1436" s="131">
        <v>-0.85820479390000004</v>
      </c>
      <c r="N1436" s="131">
        <v>-0.86647452930000002</v>
      </c>
      <c r="O1436" s="132" t="str">
        <f t="shared" si="2"/>
        <v>Normal</v>
      </c>
    </row>
    <row r="1437" spans="1:15" ht="78">
      <c r="A1437" s="167" t="s">
        <v>3781</v>
      </c>
      <c r="B1437" s="126" t="s">
        <v>48</v>
      </c>
      <c r="C1437" s="168"/>
      <c r="D1437" s="139" t="s">
        <v>683</v>
      </c>
      <c r="E1437" s="143" t="s">
        <v>686</v>
      </c>
      <c r="F1437" s="159" t="s">
        <v>650</v>
      </c>
      <c r="G1437" s="144">
        <v>3</v>
      </c>
      <c r="H1437" s="135">
        <v>5</v>
      </c>
      <c r="I1437" s="136">
        <v>12.3</v>
      </c>
      <c r="J1437" s="136">
        <v>92.2</v>
      </c>
      <c r="K1437" s="136">
        <v>15.3</v>
      </c>
      <c r="L1437" s="131">
        <v>-9.1352923589999996E-2</v>
      </c>
      <c r="M1437" s="131">
        <v>7.4932712740000004E-2</v>
      </c>
      <c r="N1437" s="131">
        <v>-1.167356327</v>
      </c>
      <c r="O1437" s="132" t="str">
        <f t="shared" si="2"/>
        <v>Normal</v>
      </c>
    </row>
    <row r="1438" spans="1:15" ht="78">
      <c r="A1438" s="167" t="s">
        <v>3782</v>
      </c>
      <c r="B1438" s="126" t="s">
        <v>48</v>
      </c>
      <c r="C1438" s="168"/>
      <c r="D1438" s="139" t="s">
        <v>688</v>
      </c>
      <c r="E1438" s="143" t="s">
        <v>691</v>
      </c>
      <c r="F1438" s="159" t="s">
        <v>650</v>
      </c>
      <c r="G1438" s="144">
        <v>2</v>
      </c>
      <c r="H1438" s="135">
        <v>5</v>
      </c>
      <c r="I1438" s="136">
        <v>13.95</v>
      </c>
      <c r="J1438" s="136">
        <v>95.3</v>
      </c>
      <c r="K1438" s="136">
        <v>17</v>
      </c>
      <c r="L1438" s="131">
        <v>-3.3499935379999998E-2</v>
      </c>
      <c r="M1438" s="131">
        <v>-7.873088282E-2</v>
      </c>
      <c r="N1438" s="131">
        <v>-0.34193341319999998</v>
      </c>
      <c r="O1438" s="132" t="str">
        <f t="shared" si="2"/>
        <v>Normal</v>
      </c>
    </row>
    <row r="1439" spans="1:15" ht="78">
      <c r="A1439" s="167" t="s">
        <v>3783</v>
      </c>
      <c r="B1439" s="126" t="s">
        <v>48</v>
      </c>
      <c r="C1439" s="168"/>
      <c r="D1439" s="139" t="s">
        <v>692</v>
      </c>
      <c r="E1439" s="143" t="s">
        <v>653</v>
      </c>
      <c r="F1439" s="159" t="s">
        <v>650</v>
      </c>
      <c r="G1439" s="144">
        <v>2</v>
      </c>
      <c r="H1439" s="135">
        <v>5</v>
      </c>
      <c r="I1439" s="136">
        <v>15.4</v>
      </c>
      <c r="J1439" s="136">
        <v>99.2</v>
      </c>
      <c r="K1439" s="136">
        <v>15.9</v>
      </c>
      <c r="L1439" s="131">
        <v>-1.7185952390000001</v>
      </c>
      <c r="M1439" s="131">
        <v>-0.35635530700000001</v>
      </c>
      <c r="N1439" s="131">
        <v>-8.2312178779999995E-2</v>
      </c>
      <c r="O1439" s="132" t="str">
        <f t="shared" si="2"/>
        <v>Normal</v>
      </c>
    </row>
    <row r="1440" spans="1:15" ht="78">
      <c r="A1440" s="167" t="s">
        <v>3784</v>
      </c>
      <c r="B1440" s="126" t="s">
        <v>37</v>
      </c>
      <c r="C1440" s="168"/>
      <c r="D1440" s="139" t="s">
        <v>695</v>
      </c>
      <c r="E1440" s="143" t="s">
        <v>698</v>
      </c>
      <c r="F1440" s="159" t="s">
        <v>650</v>
      </c>
      <c r="G1440" s="144">
        <v>1</v>
      </c>
      <c r="H1440" s="135">
        <v>5</v>
      </c>
      <c r="I1440" s="136">
        <v>11.55</v>
      </c>
      <c r="J1440" s="136">
        <v>88.4</v>
      </c>
      <c r="K1440" s="136">
        <v>15</v>
      </c>
      <c r="L1440" s="131">
        <v>-2.0292517999999999</v>
      </c>
      <c r="M1440" s="131">
        <v>-0.78896071440000004</v>
      </c>
      <c r="N1440" s="131">
        <v>-0.11911346909999999</v>
      </c>
      <c r="O1440" s="132" t="str">
        <f t="shared" si="2"/>
        <v>Gz.Krg</v>
      </c>
    </row>
    <row r="1441" spans="1:15" ht="78">
      <c r="A1441" s="167" t="s">
        <v>3785</v>
      </c>
      <c r="B1441" s="126" t="s">
        <v>48</v>
      </c>
      <c r="C1441" s="168"/>
      <c r="D1441" s="139" t="s">
        <v>700</v>
      </c>
      <c r="E1441" s="143" t="s">
        <v>703</v>
      </c>
      <c r="F1441" s="159" t="s">
        <v>650</v>
      </c>
      <c r="G1441" s="144">
        <v>3</v>
      </c>
      <c r="H1441" s="135">
        <v>5</v>
      </c>
      <c r="I1441" s="136">
        <v>14.5</v>
      </c>
      <c r="J1441" s="136">
        <v>94.2</v>
      </c>
      <c r="K1441" s="136">
        <v>16</v>
      </c>
      <c r="L1441" s="131">
        <v>-1.4114402239999999</v>
      </c>
      <c r="M1441" s="131">
        <v>-0.94270517399999998</v>
      </c>
      <c r="N1441" s="131">
        <v>-1.6732665369999999</v>
      </c>
      <c r="O1441" s="132" t="str">
        <f t="shared" si="2"/>
        <v>Normal</v>
      </c>
    </row>
    <row r="1442" spans="1:15" ht="78">
      <c r="A1442" s="167" t="s">
        <v>3786</v>
      </c>
      <c r="B1442" s="126" t="s">
        <v>48</v>
      </c>
      <c r="C1442" s="168"/>
      <c r="D1442" s="139" t="s">
        <v>705</v>
      </c>
      <c r="E1442" s="143" t="s">
        <v>708</v>
      </c>
      <c r="F1442" s="159" t="s">
        <v>650</v>
      </c>
      <c r="G1442" s="144">
        <v>3</v>
      </c>
      <c r="H1442" s="135">
        <v>5</v>
      </c>
      <c r="I1442" s="136">
        <v>14</v>
      </c>
      <c r="J1442" s="136">
        <v>103</v>
      </c>
      <c r="K1442" s="136">
        <v>16</v>
      </c>
      <c r="L1442" s="131">
        <v>-0.25925712270000001</v>
      </c>
      <c r="M1442" s="131">
        <v>-0.92968948439999999</v>
      </c>
      <c r="N1442" s="131">
        <v>1.160626876</v>
      </c>
      <c r="O1442" s="132" t="str">
        <f t="shared" si="2"/>
        <v>Normal</v>
      </c>
    </row>
    <row r="1443" spans="1:15" ht="78">
      <c r="A1443" s="167" t="s">
        <v>3787</v>
      </c>
      <c r="B1443" s="151" t="s">
        <v>37</v>
      </c>
      <c r="C1443" s="168"/>
      <c r="D1443" s="152" t="s">
        <v>710</v>
      </c>
      <c r="E1443" s="155" t="s">
        <v>713</v>
      </c>
      <c r="F1443" s="171" t="s">
        <v>650</v>
      </c>
      <c r="G1443" s="156">
        <v>3</v>
      </c>
      <c r="H1443" s="157">
        <v>5</v>
      </c>
      <c r="I1443" s="134">
        <v>13</v>
      </c>
      <c r="J1443" s="134">
        <v>97</v>
      </c>
      <c r="K1443" s="134">
        <v>17</v>
      </c>
      <c r="L1443" s="131">
        <v>-0.1223510392</v>
      </c>
      <c r="M1443" s="131">
        <v>-1.1145523450000001</v>
      </c>
      <c r="N1443" s="131">
        <v>-1.9813012649999999</v>
      </c>
      <c r="O1443" s="132" t="str">
        <f t="shared" si="2"/>
        <v>Normal</v>
      </c>
    </row>
    <row r="1444" spans="1:15" ht="78">
      <c r="A1444" s="167" t="s">
        <v>3788</v>
      </c>
      <c r="B1444" s="126" t="s">
        <v>37</v>
      </c>
      <c r="C1444" s="168"/>
      <c r="D1444" s="139" t="s">
        <v>715</v>
      </c>
      <c r="E1444" s="140" t="s">
        <v>718</v>
      </c>
      <c r="F1444" s="159" t="s">
        <v>650</v>
      </c>
      <c r="G1444" s="144">
        <v>2</v>
      </c>
      <c r="H1444" s="135">
        <v>5</v>
      </c>
      <c r="I1444" s="146">
        <v>14.7</v>
      </c>
      <c r="J1444" s="137">
        <v>103</v>
      </c>
      <c r="K1444" s="137">
        <v>14.3</v>
      </c>
      <c r="L1444" s="131">
        <v>0.81848189090000001</v>
      </c>
      <c r="M1444" s="131">
        <v>-0.183523148</v>
      </c>
      <c r="N1444" s="131">
        <v>-4.8181524980000001E-2</v>
      </c>
      <c r="O1444" s="132" t="str">
        <f t="shared" si="2"/>
        <v>Normal</v>
      </c>
    </row>
    <row r="1445" spans="1:15" ht="78">
      <c r="A1445" s="167" t="s">
        <v>3789</v>
      </c>
      <c r="B1445" s="126" t="s">
        <v>37</v>
      </c>
      <c r="C1445" s="168"/>
      <c r="D1445" s="139" t="s">
        <v>720</v>
      </c>
      <c r="E1445" s="143" t="s">
        <v>723</v>
      </c>
      <c r="F1445" s="159" t="s">
        <v>650</v>
      </c>
      <c r="G1445" s="144">
        <v>3</v>
      </c>
      <c r="H1445" s="135">
        <v>5</v>
      </c>
      <c r="I1445" s="136">
        <v>23</v>
      </c>
      <c r="J1445" s="136">
        <v>106</v>
      </c>
      <c r="K1445" s="136">
        <v>16</v>
      </c>
      <c r="L1445" s="131">
        <v>0.90887202879999995</v>
      </c>
      <c r="M1445" s="131">
        <v>-0.11911346909999999</v>
      </c>
      <c r="N1445" s="131">
        <v>0.30233901930000001</v>
      </c>
      <c r="O1445" s="132" t="str">
        <f t="shared" si="2"/>
        <v>Normal</v>
      </c>
    </row>
    <row r="1446" spans="1:15" ht="78">
      <c r="A1446" s="167" t="s">
        <v>3790</v>
      </c>
      <c r="B1446" s="126" t="s">
        <v>37</v>
      </c>
      <c r="C1446" s="168"/>
      <c r="D1446" s="139" t="s">
        <v>725</v>
      </c>
      <c r="E1446" s="143" t="s">
        <v>728</v>
      </c>
      <c r="F1446" s="159" t="s">
        <v>650</v>
      </c>
      <c r="G1446" s="144">
        <v>3</v>
      </c>
      <c r="H1446" s="135">
        <v>5</v>
      </c>
      <c r="I1446" s="136">
        <v>14.7</v>
      </c>
      <c r="J1446" s="136">
        <v>96</v>
      </c>
      <c r="K1446" s="136">
        <v>19</v>
      </c>
      <c r="L1446" s="131">
        <v>0.9281518325</v>
      </c>
      <c r="M1446" s="131">
        <v>-1.6732665369999999</v>
      </c>
      <c r="N1446" s="131">
        <v>1.3512707930000001</v>
      </c>
      <c r="O1446" s="132" t="str">
        <f t="shared" si="2"/>
        <v>Normal</v>
      </c>
    </row>
    <row r="1447" spans="1:15" ht="78">
      <c r="A1447" s="167" t="s">
        <v>3791</v>
      </c>
      <c r="B1447" s="172" t="s">
        <v>48</v>
      </c>
      <c r="C1447" s="168"/>
      <c r="D1447" s="173" t="s">
        <v>730</v>
      </c>
      <c r="E1447" s="174" t="s">
        <v>732</v>
      </c>
      <c r="F1447" s="175" t="s">
        <v>733</v>
      </c>
      <c r="G1447" s="141">
        <v>3</v>
      </c>
      <c r="H1447" s="142">
        <v>4</v>
      </c>
      <c r="I1447" s="136">
        <v>18</v>
      </c>
      <c r="J1447" s="176">
        <v>106.7</v>
      </c>
      <c r="K1447" s="176">
        <v>16</v>
      </c>
      <c r="L1447" s="131">
        <v>-0.11911346909999999</v>
      </c>
      <c r="M1447" s="131">
        <v>-0.67360158810000004</v>
      </c>
      <c r="N1447" s="131">
        <v>0.41560347510000001</v>
      </c>
      <c r="O1447" s="132" t="str">
        <f t="shared" si="2"/>
        <v>Normal</v>
      </c>
    </row>
    <row r="1448" spans="1:15" ht="78">
      <c r="A1448" s="167" t="s">
        <v>3792</v>
      </c>
      <c r="B1448" s="172" t="s">
        <v>48</v>
      </c>
      <c r="C1448" s="168"/>
      <c r="D1448" s="173" t="s">
        <v>734</v>
      </c>
      <c r="E1448" s="177" t="s">
        <v>737</v>
      </c>
      <c r="F1448" s="175" t="s">
        <v>739</v>
      </c>
      <c r="G1448" s="144">
        <v>3</v>
      </c>
      <c r="H1448" s="135">
        <v>4</v>
      </c>
      <c r="I1448" s="146">
        <v>14.5</v>
      </c>
      <c r="J1448" s="137">
        <v>99.1</v>
      </c>
      <c r="K1448" s="137">
        <v>15</v>
      </c>
      <c r="L1448" s="131">
        <v>-1.6732665369999999</v>
      </c>
      <c r="M1448" s="131">
        <v>-2.2311207670000002</v>
      </c>
      <c r="N1448" s="131">
        <v>-0.52223798659999998</v>
      </c>
      <c r="O1448" s="132" t="str">
        <f t="shared" si="2"/>
        <v>Normal</v>
      </c>
    </row>
    <row r="1449" spans="1:15" ht="78">
      <c r="A1449" s="167" t="s">
        <v>3793</v>
      </c>
      <c r="B1449" s="172" t="s">
        <v>37</v>
      </c>
      <c r="C1449" s="168"/>
      <c r="D1449" s="173" t="s">
        <v>740</v>
      </c>
      <c r="E1449" s="177" t="s">
        <v>743</v>
      </c>
      <c r="F1449" s="175" t="s">
        <v>739</v>
      </c>
      <c r="G1449" s="144">
        <v>3</v>
      </c>
      <c r="H1449" s="135">
        <v>4</v>
      </c>
      <c r="I1449" s="146">
        <v>17.8</v>
      </c>
      <c r="J1449" s="137">
        <v>106.7</v>
      </c>
      <c r="K1449" s="137">
        <v>18</v>
      </c>
      <c r="L1449" s="131">
        <v>4.4112128209999997E-2</v>
      </c>
      <c r="M1449" s="131">
        <v>-0.125768508</v>
      </c>
      <c r="N1449" s="131">
        <v>0.27614116509999997</v>
      </c>
      <c r="O1449" s="132" t="str">
        <f t="shared" si="2"/>
        <v>Normal</v>
      </c>
    </row>
    <row r="1450" spans="1:15" ht="78">
      <c r="A1450" s="167" t="s">
        <v>3794</v>
      </c>
      <c r="B1450" s="172" t="s">
        <v>48</v>
      </c>
      <c r="C1450" s="168"/>
      <c r="D1450" s="173" t="s">
        <v>401</v>
      </c>
      <c r="E1450" s="177" t="s">
        <v>747</v>
      </c>
      <c r="F1450" s="175" t="s">
        <v>739</v>
      </c>
      <c r="G1450" s="144">
        <v>1</v>
      </c>
      <c r="H1450" s="135">
        <v>4</v>
      </c>
      <c r="I1450" s="146">
        <v>15.3</v>
      </c>
      <c r="J1450" s="137">
        <v>103</v>
      </c>
      <c r="K1450" s="137">
        <v>16</v>
      </c>
      <c r="L1450" s="131">
        <v>-1.137923856</v>
      </c>
      <c r="M1450" s="131">
        <v>-1.1462648150000001</v>
      </c>
      <c r="N1450" s="131">
        <v>-0.73091024530000004</v>
      </c>
      <c r="O1450" s="132" t="str">
        <f t="shared" si="2"/>
        <v>Normal</v>
      </c>
    </row>
    <row r="1451" spans="1:15" ht="78">
      <c r="A1451" s="167" t="s">
        <v>3795</v>
      </c>
      <c r="B1451" s="172" t="s">
        <v>48</v>
      </c>
      <c r="C1451" s="168"/>
      <c r="D1451" s="173" t="s">
        <v>749</v>
      </c>
      <c r="E1451" s="177" t="s">
        <v>752</v>
      </c>
      <c r="F1451" s="175" t="s">
        <v>739</v>
      </c>
      <c r="G1451" s="144">
        <v>3</v>
      </c>
      <c r="H1451" s="135">
        <v>4</v>
      </c>
      <c r="I1451" s="146">
        <v>14</v>
      </c>
      <c r="J1451" s="137">
        <v>98</v>
      </c>
      <c r="K1451" s="137">
        <v>16</v>
      </c>
      <c r="L1451" s="131">
        <v>-1.78670653</v>
      </c>
      <c r="M1451" s="131">
        <v>-2.219391146</v>
      </c>
      <c r="N1451" s="131">
        <v>-0.71974067929999996</v>
      </c>
      <c r="O1451" s="132" t="str">
        <f t="shared" si="2"/>
        <v>Normal</v>
      </c>
    </row>
    <row r="1452" spans="1:15" ht="78">
      <c r="A1452" s="167" t="s">
        <v>3796</v>
      </c>
      <c r="B1452" s="172" t="s">
        <v>37</v>
      </c>
      <c r="C1452" s="168"/>
      <c r="D1452" s="173" t="s">
        <v>754</v>
      </c>
      <c r="E1452" s="177" t="s">
        <v>757</v>
      </c>
      <c r="F1452" s="175" t="s">
        <v>739</v>
      </c>
      <c r="G1452" s="144">
        <v>3</v>
      </c>
      <c r="H1452" s="135">
        <v>4</v>
      </c>
      <c r="I1452" s="146">
        <v>16.5</v>
      </c>
      <c r="J1452" s="137">
        <v>102.2</v>
      </c>
      <c r="K1452" s="137">
        <v>16</v>
      </c>
      <c r="L1452" s="131">
        <v>-0.44090164199999998</v>
      </c>
      <c r="M1452" s="131">
        <v>-1.1139591129999999</v>
      </c>
      <c r="N1452" s="131">
        <v>0.43884370109999998</v>
      </c>
      <c r="O1452" s="132" t="str">
        <f t="shared" si="2"/>
        <v>Normal</v>
      </c>
    </row>
    <row r="1453" spans="1:15" ht="78">
      <c r="A1453" s="167" t="s">
        <v>3797</v>
      </c>
      <c r="B1453" s="172" t="s">
        <v>48</v>
      </c>
      <c r="C1453" s="168"/>
      <c r="D1453" s="173" t="s">
        <v>759</v>
      </c>
      <c r="E1453" s="177" t="s">
        <v>762</v>
      </c>
      <c r="F1453" s="175" t="s">
        <v>739</v>
      </c>
      <c r="G1453" s="144">
        <v>3</v>
      </c>
      <c r="H1453" s="135">
        <v>4</v>
      </c>
      <c r="I1453" s="146">
        <v>13.8</v>
      </c>
      <c r="J1453" s="137">
        <v>99</v>
      </c>
      <c r="K1453" s="137">
        <v>16</v>
      </c>
      <c r="L1453" s="131">
        <v>-1.8032837690000001</v>
      </c>
      <c r="M1453" s="131">
        <v>-1.843507658</v>
      </c>
      <c r="N1453" s="131">
        <v>-1.128923321</v>
      </c>
      <c r="O1453" s="132" t="str">
        <f t="shared" si="2"/>
        <v>Normal</v>
      </c>
    </row>
    <row r="1454" spans="1:15" ht="78">
      <c r="A1454" s="167" t="s">
        <v>3798</v>
      </c>
      <c r="B1454" s="172" t="s">
        <v>37</v>
      </c>
      <c r="C1454" s="168"/>
      <c r="D1454" s="173" t="s">
        <v>764</v>
      </c>
      <c r="E1454" s="177" t="s">
        <v>767</v>
      </c>
      <c r="F1454" s="175" t="s">
        <v>739</v>
      </c>
      <c r="G1454" s="144">
        <v>3</v>
      </c>
      <c r="H1454" s="135">
        <v>4</v>
      </c>
      <c r="I1454" s="146">
        <v>16.7</v>
      </c>
      <c r="J1454" s="137">
        <v>100.7</v>
      </c>
      <c r="K1454" s="137">
        <v>16.5</v>
      </c>
      <c r="L1454" s="131">
        <v>-9.8573003239999998E-2</v>
      </c>
      <c r="M1454" s="131">
        <v>-1.061019723</v>
      </c>
      <c r="N1454" s="131">
        <v>0.90887202879999995</v>
      </c>
      <c r="O1454" s="132" t="str">
        <f t="shared" si="2"/>
        <v>Normal</v>
      </c>
    </row>
    <row r="1455" spans="1:15" ht="78">
      <c r="A1455" s="167" t="s">
        <v>3799</v>
      </c>
      <c r="B1455" s="172" t="s">
        <v>37</v>
      </c>
      <c r="C1455" s="168"/>
      <c r="D1455" s="173" t="s">
        <v>769</v>
      </c>
      <c r="E1455" s="177" t="s">
        <v>772</v>
      </c>
      <c r="F1455" s="175" t="s">
        <v>739</v>
      </c>
      <c r="G1455" s="144">
        <v>3</v>
      </c>
      <c r="H1455" s="135">
        <v>4</v>
      </c>
      <c r="I1455" s="146">
        <v>20.8</v>
      </c>
      <c r="J1455" s="137">
        <v>111.3</v>
      </c>
      <c r="K1455" s="137">
        <v>18.5</v>
      </c>
      <c r="L1455" s="131">
        <v>1.5293114350000001</v>
      </c>
      <c r="M1455" s="131">
        <v>1.3370031410000001</v>
      </c>
      <c r="N1455" s="131">
        <v>0.9281518325</v>
      </c>
      <c r="O1455" s="132" t="str">
        <f t="shared" si="2"/>
        <v>R.Gz.Lbh</v>
      </c>
    </row>
    <row r="1456" spans="1:15" ht="78">
      <c r="A1456" s="167" t="s">
        <v>3800</v>
      </c>
      <c r="B1456" s="172" t="s">
        <v>37</v>
      </c>
      <c r="C1456" s="168"/>
      <c r="D1456" s="173" t="s">
        <v>774</v>
      </c>
      <c r="E1456" s="177" t="s">
        <v>777</v>
      </c>
      <c r="F1456" s="175" t="s">
        <v>739</v>
      </c>
      <c r="G1456" s="144">
        <v>3</v>
      </c>
      <c r="H1456" s="135">
        <v>4</v>
      </c>
      <c r="I1456" s="146">
        <v>16.600000000000001</v>
      </c>
      <c r="J1456" s="137">
        <v>105.6</v>
      </c>
      <c r="K1456" s="137">
        <v>15</v>
      </c>
      <c r="L1456" s="131">
        <v>-8.3699592049999993E-2</v>
      </c>
      <c r="M1456" s="131">
        <v>0.12664816779999999</v>
      </c>
      <c r="N1456" s="131">
        <v>-0.25851524580000002</v>
      </c>
      <c r="O1456" s="132" t="str">
        <f t="shared" si="2"/>
        <v>Normal</v>
      </c>
    </row>
    <row r="1457" spans="1:15" ht="78">
      <c r="A1457" s="167" t="s">
        <v>3801</v>
      </c>
      <c r="B1457" s="172" t="s">
        <v>48</v>
      </c>
      <c r="C1457" s="168"/>
      <c r="D1457" s="173" t="s">
        <v>779</v>
      </c>
      <c r="E1457" s="177" t="s">
        <v>782</v>
      </c>
      <c r="F1457" s="175" t="s">
        <v>739</v>
      </c>
      <c r="G1457" s="144">
        <v>1</v>
      </c>
      <c r="H1457" s="135">
        <v>4</v>
      </c>
      <c r="I1457" s="146">
        <v>23.5</v>
      </c>
      <c r="J1457" s="137">
        <v>107</v>
      </c>
      <c r="K1457" s="137">
        <v>20</v>
      </c>
      <c r="L1457" s="131">
        <v>2.5700359050000001</v>
      </c>
      <c r="M1457" s="131">
        <v>0.4694069494</v>
      </c>
      <c r="N1457" s="131">
        <v>3.5449271570000001</v>
      </c>
      <c r="O1457" s="132" t="str">
        <f t="shared" si="2"/>
        <v>Gz.Lbh</v>
      </c>
    </row>
    <row r="1458" spans="1:15" ht="78">
      <c r="A1458" s="167" t="s">
        <v>3802</v>
      </c>
      <c r="B1458" s="172" t="s">
        <v>37</v>
      </c>
      <c r="C1458" s="168"/>
      <c r="D1458" s="173" t="s">
        <v>784</v>
      </c>
      <c r="E1458" s="177" t="s">
        <v>787</v>
      </c>
      <c r="F1458" s="175" t="s">
        <v>739</v>
      </c>
      <c r="G1458" s="144">
        <v>3</v>
      </c>
      <c r="H1458" s="135">
        <v>4</v>
      </c>
      <c r="I1458" s="146">
        <v>19.5</v>
      </c>
      <c r="J1458" s="137">
        <v>106.2</v>
      </c>
      <c r="K1458" s="137">
        <v>17</v>
      </c>
      <c r="L1458" s="131">
        <v>1.3739840830000001</v>
      </c>
      <c r="M1458" s="131">
        <v>0.6835772994</v>
      </c>
      <c r="N1458" s="131">
        <v>1.41732155</v>
      </c>
      <c r="O1458" s="132" t="str">
        <f t="shared" si="2"/>
        <v>R.Gz.Lbh</v>
      </c>
    </row>
    <row r="1459" spans="1:15" ht="78">
      <c r="A1459" s="167" t="s">
        <v>3803</v>
      </c>
      <c r="B1459" s="172" t="s">
        <v>37</v>
      </c>
      <c r="C1459" s="168"/>
      <c r="D1459" s="173" t="s">
        <v>789</v>
      </c>
      <c r="E1459" s="177" t="s">
        <v>791</v>
      </c>
      <c r="F1459" s="175" t="s">
        <v>739</v>
      </c>
      <c r="G1459" s="144"/>
      <c r="H1459" s="135"/>
      <c r="I1459" s="146">
        <v>14.5</v>
      </c>
      <c r="J1459" s="137">
        <v>94.8</v>
      </c>
      <c r="K1459" s="130">
        <v>15</v>
      </c>
      <c r="L1459" s="131">
        <v>-0.11911346909999999</v>
      </c>
      <c r="M1459" s="131">
        <v>0.90887202879999995</v>
      </c>
      <c r="N1459" s="131">
        <v>-0.49680120449999998</v>
      </c>
      <c r="O1459" s="132" t="str">
        <f t="shared" si="2"/>
        <v>Normal</v>
      </c>
    </row>
    <row r="1460" spans="1:15" ht="78">
      <c r="A1460" s="167" t="s">
        <v>3804</v>
      </c>
      <c r="B1460" s="172" t="s">
        <v>48</v>
      </c>
      <c r="C1460" s="168"/>
      <c r="D1460" s="173" t="s">
        <v>416</v>
      </c>
      <c r="E1460" s="177" t="s">
        <v>793</v>
      </c>
      <c r="F1460" s="175" t="s">
        <v>739</v>
      </c>
      <c r="G1460" s="144"/>
      <c r="H1460" s="135"/>
      <c r="I1460" s="146">
        <v>19.100000000000001</v>
      </c>
      <c r="J1460" s="135">
        <v>91.5</v>
      </c>
      <c r="K1460" s="130">
        <v>14</v>
      </c>
      <c r="L1460" s="131">
        <v>-1.6732665369999999</v>
      </c>
      <c r="M1460" s="131">
        <v>0.9281518325</v>
      </c>
      <c r="N1460" s="131">
        <v>2.7508406660000002</v>
      </c>
      <c r="O1460" s="132" t="str">
        <f t="shared" si="2"/>
        <v>Normal</v>
      </c>
    </row>
    <row r="1461" spans="1:15" ht="78">
      <c r="A1461" s="167" t="s">
        <v>3805</v>
      </c>
      <c r="B1461" s="172" t="s">
        <v>37</v>
      </c>
      <c r="C1461" s="168"/>
      <c r="D1461" s="173" t="s">
        <v>795</v>
      </c>
      <c r="E1461" s="177" t="s">
        <v>798</v>
      </c>
      <c r="F1461" s="175" t="s">
        <v>739</v>
      </c>
      <c r="G1461" s="144">
        <v>1</v>
      </c>
      <c r="H1461" s="135">
        <v>4</v>
      </c>
      <c r="I1461" s="146">
        <v>13.3</v>
      </c>
      <c r="J1461" s="137">
        <v>100.3</v>
      </c>
      <c r="K1461" s="137">
        <v>16</v>
      </c>
      <c r="L1461" s="131">
        <v>-1.3895228989999999</v>
      </c>
      <c r="M1461" s="131">
        <v>-0.4982448411</v>
      </c>
      <c r="N1461" s="131">
        <v>-1.6243913160000001</v>
      </c>
      <c r="O1461" s="132" t="str">
        <f t="shared" si="2"/>
        <v>Normal</v>
      </c>
    </row>
    <row r="1462" spans="1:15" ht="78">
      <c r="A1462" s="167" t="s">
        <v>3806</v>
      </c>
      <c r="B1462" s="172" t="s">
        <v>48</v>
      </c>
      <c r="C1462" s="168"/>
      <c r="D1462" s="173" t="s">
        <v>800</v>
      </c>
      <c r="E1462" s="177" t="s">
        <v>803</v>
      </c>
      <c r="F1462" s="175" t="s">
        <v>739</v>
      </c>
      <c r="G1462" s="144">
        <v>2</v>
      </c>
      <c r="H1462" s="135">
        <v>4</v>
      </c>
      <c r="I1462" s="146">
        <v>17</v>
      </c>
      <c r="J1462" s="137">
        <v>104</v>
      </c>
      <c r="K1462" s="137">
        <v>17</v>
      </c>
      <c r="L1462" s="131">
        <v>0.41171199180000001</v>
      </c>
      <c r="M1462" s="131">
        <v>26.01969059</v>
      </c>
      <c r="N1462" s="131">
        <v>0.47245563410000002</v>
      </c>
      <c r="O1462" s="132" t="str">
        <f t="shared" si="2"/>
        <v>Normal</v>
      </c>
    </row>
    <row r="1463" spans="1:15" ht="78">
      <c r="A1463" s="167" t="s">
        <v>3807</v>
      </c>
      <c r="B1463" s="172" t="s">
        <v>37</v>
      </c>
      <c r="C1463" s="168"/>
      <c r="D1463" s="173" t="s">
        <v>805</v>
      </c>
      <c r="E1463" s="177" t="s">
        <v>808</v>
      </c>
      <c r="F1463" s="175" t="s">
        <v>739</v>
      </c>
      <c r="G1463" s="144">
        <v>2</v>
      </c>
      <c r="H1463" s="135">
        <v>4</v>
      </c>
      <c r="I1463" s="146">
        <v>17</v>
      </c>
      <c r="J1463" s="137">
        <v>93.8</v>
      </c>
      <c r="K1463" s="137">
        <v>18</v>
      </c>
      <c r="L1463" s="131">
        <v>0.55964035860000005</v>
      </c>
      <c r="M1463" s="131">
        <v>22.401188439999999</v>
      </c>
      <c r="N1463" s="131">
        <v>2.7508406660000002</v>
      </c>
      <c r="O1463" s="132" t="str">
        <f t="shared" si="2"/>
        <v>Normal</v>
      </c>
    </row>
    <row r="1464" spans="1:15" ht="78">
      <c r="A1464" s="167" t="s">
        <v>3808</v>
      </c>
      <c r="B1464" s="172" t="s">
        <v>37</v>
      </c>
      <c r="C1464" s="168"/>
      <c r="D1464" s="173" t="s">
        <v>810</v>
      </c>
      <c r="E1464" s="177" t="s">
        <v>813</v>
      </c>
      <c r="F1464" s="175" t="s">
        <v>739</v>
      </c>
      <c r="G1464" s="144">
        <v>1</v>
      </c>
      <c r="H1464" s="135">
        <v>4</v>
      </c>
      <c r="I1464" s="146">
        <v>15.7</v>
      </c>
      <c r="J1464" s="137">
        <v>100.2</v>
      </c>
      <c r="K1464" s="137">
        <v>17</v>
      </c>
      <c r="L1464" s="131">
        <v>-6.2895651809999994E-2</v>
      </c>
      <c r="M1464" s="131">
        <v>24.934310539999998</v>
      </c>
      <c r="N1464" s="131">
        <v>0.4414262732</v>
      </c>
      <c r="O1464" s="132" t="str">
        <f t="shared" si="2"/>
        <v>Normal</v>
      </c>
    </row>
    <row r="1465" spans="1:15" ht="78">
      <c r="A1465" s="167" t="s">
        <v>3809</v>
      </c>
      <c r="B1465" s="172" t="s">
        <v>48</v>
      </c>
      <c r="C1465" s="168"/>
      <c r="D1465" s="173" t="s">
        <v>815</v>
      </c>
      <c r="E1465" s="177" t="s">
        <v>818</v>
      </c>
      <c r="F1465" s="175" t="s">
        <v>739</v>
      </c>
      <c r="G1465" s="144">
        <v>1</v>
      </c>
      <c r="H1465" s="135">
        <v>4</v>
      </c>
      <c r="I1465" s="146">
        <v>16</v>
      </c>
      <c r="J1465" s="137">
        <v>96.6</v>
      </c>
      <c r="K1465" s="137">
        <v>18</v>
      </c>
      <c r="L1465" s="131">
        <v>0.1027800952</v>
      </c>
      <c r="M1465" s="131">
        <v>-1.1876275629999999</v>
      </c>
      <c r="N1465" s="131">
        <v>1.3015703460000001</v>
      </c>
      <c r="O1465" s="132" t="str">
        <f t="shared" si="2"/>
        <v>Normal</v>
      </c>
    </row>
    <row r="1466" spans="1:15" ht="78">
      <c r="A1466" s="167" t="s">
        <v>3810</v>
      </c>
      <c r="B1466" s="172" t="s">
        <v>48</v>
      </c>
      <c r="C1466" s="168"/>
      <c r="D1466" s="173" t="s">
        <v>820</v>
      </c>
      <c r="E1466" s="177" t="s">
        <v>823</v>
      </c>
      <c r="F1466" s="175" t="s">
        <v>739</v>
      </c>
      <c r="G1466" s="144">
        <v>2</v>
      </c>
      <c r="H1466" s="135">
        <v>4</v>
      </c>
      <c r="I1466" s="146">
        <v>16</v>
      </c>
      <c r="J1466" s="137">
        <v>96.1</v>
      </c>
      <c r="K1466" s="137">
        <v>16</v>
      </c>
      <c r="L1466" s="131">
        <v>0.37503071230000001</v>
      </c>
      <c r="M1466" s="131">
        <v>-0.88739636440000003</v>
      </c>
      <c r="N1466" s="131">
        <v>1.4133892240000001</v>
      </c>
      <c r="O1466" s="132" t="str">
        <f t="shared" si="2"/>
        <v>Normal</v>
      </c>
    </row>
    <row r="1467" spans="1:15" ht="78">
      <c r="A1467" s="167" t="s">
        <v>3811</v>
      </c>
      <c r="B1467" s="172" t="s">
        <v>48</v>
      </c>
      <c r="C1467" s="168"/>
      <c r="D1467" s="173" t="s">
        <v>825</v>
      </c>
      <c r="E1467" s="177" t="s">
        <v>828</v>
      </c>
      <c r="F1467" s="175" t="s">
        <v>739</v>
      </c>
      <c r="G1467" s="144">
        <v>2</v>
      </c>
      <c r="H1467" s="135">
        <v>4</v>
      </c>
      <c r="I1467" s="146">
        <v>14.5</v>
      </c>
      <c r="J1467" s="137">
        <v>96</v>
      </c>
      <c r="K1467" s="137">
        <v>15</v>
      </c>
      <c r="L1467" s="131">
        <v>-0.34468336719999998</v>
      </c>
      <c r="M1467" s="131">
        <v>-0.77830970040000003</v>
      </c>
      <c r="N1467" s="131">
        <v>0.1749311181</v>
      </c>
      <c r="O1467" s="132" t="str">
        <f t="shared" si="2"/>
        <v>Normal</v>
      </c>
    </row>
    <row r="1468" spans="1:15" ht="78">
      <c r="A1468" s="167" t="s">
        <v>3812</v>
      </c>
      <c r="B1468" s="172" t="s">
        <v>37</v>
      </c>
      <c r="C1468" s="168"/>
      <c r="D1468" s="173" t="s">
        <v>830</v>
      </c>
      <c r="E1468" s="177" t="s">
        <v>833</v>
      </c>
      <c r="F1468" s="175" t="s">
        <v>739</v>
      </c>
      <c r="G1468" s="144">
        <v>1</v>
      </c>
      <c r="H1468" s="135">
        <v>4</v>
      </c>
      <c r="I1468" s="146">
        <v>19.100000000000001</v>
      </c>
      <c r="J1468" s="137">
        <v>96.2</v>
      </c>
      <c r="K1468" s="137">
        <v>19.5</v>
      </c>
      <c r="L1468" s="131">
        <v>2.0270086059999999</v>
      </c>
      <c r="M1468" s="131">
        <v>-0.51112935869999998</v>
      </c>
      <c r="N1468" s="131">
        <v>3.4273716099999998</v>
      </c>
      <c r="O1468" s="132" t="str">
        <f t="shared" si="2"/>
        <v>Gz.Lbh</v>
      </c>
    </row>
    <row r="1469" spans="1:15" ht="78">
      <c r="A1469" s="167" t="s">
        <v>3813</v>
      </c>
      <c r="B1469" s="172" t="s">
        <v>37</v>
      </c>
      <c r="C1469" s="168"/>
      <c r="D1469" s="173" t="s">
        <v>835</v>
      </c>
      <c r="E1469" s="177" t="s">
        <v>838</v>
      </c>
      <c r="F1469" s="175" t="s">
        <v>739</v>
      </c>
      <c r="G1469" s="144">
        <v>2</v>
      </c>
      <c r="H1469" s="135">
        <v>4</v>
      </c>
      <c r="I1469" s="146">
        <v>14.4</v>
      </c>
      <c r="J1469" s="137">
        <v>90</v>
      </c>
      <c r="K1469" s="137">
        <v>16</v>
      </c>
      <c r="L1469" s="131">
        <v>-0.13101260870000001</v>
      </c>
      <c r="M1469" s="131">
        <v>-1.976654873</v>
      </c>
      <c r="N1469" s="131">
        <v>1.5206172250000001</v>
      </c>
      <c r="O1469" s="132" t="str">
        <f t="shared" si="2"/>
        <v>Normal</v>
      </c>
    </row>
    <row r="1470" spans="1:15" ht="78">
      <c r="A1470" s="167" t="s">
        <v>3814</v>
      </c>
      <c r="B1470" s="172" t="s">
        <v>37</v>
      </c>
      <c r="C1470" s="168"/>
      <c r="D1470" s="173" t="s">
        <v>840</v>
      </c>
      <c r="E1470" s="177" t="s">
        <v>843</v>
      </c>
      <c r="F1470" s="175" t="s">
        <v>739</v>
      </c>
      <c r="G1470" s="144">
        <v>1</v>
      </c>
      <c r="H1470" s="135">
        <v>4</v>
      </c>
      <c r="I1470" s="144">
        <v>12.2</v>
      </c>
      <c r="J1470" s="135">
        <v>88.1</v>
      </c>
      <c r="K1470" s="135">
        <v>17</v>
      </c>
      <c r="L1470" s="131">
        <v>-1.4042355339999999</v>
      </c>
      <c r="M1470" s="131">
        <v>-2.3840822350000002</v>
      </c>
      <c r="N1470" s="131">
        <v>2.6176747779999999E-2</v>
      </c>
      <c r="O1470" s="132" t="str">
        <f t="shared" si="2"/>
        <v>Normal</v>
      </c>
    </row>
    <row r="1471" spans="1:15" ht="78">
      <c r="A1471" s="167" t="s">
        <v>3815</v>
      </c>
      <c r="B1471" s="172" t="s">
        <v>37</v>
      </c>
      <c r="C1471" s="168"/>
      <c r="D1471" s="173" t="s">
        <v>845</v>
      </c>
      <c r="E1471" s="177" t="s">
        <v>848</v>
      </c>
      <c r="F1471" s="175" t="s">
        <v>739</v>
      </c>
      <c r="G1471" s="144">
        <v>1</v>
      </c>
      <c r="H1471" s="135">
        <v>4</v>
      </c>
      <c r="I1471" s="146">
        <v>19.8</v>
      </c>
      <c r="J1471" s="137">
        <v>99</v>
      </c>
      <c r="K1471" s="137">
        <v>18</v>
      </c>
      <c r="L1471" s="131">
        <v>2.5983934949999998</v>
      </c>
      <c r="M1471" s="131">
        <v>0.59627610900000005</v>
      </c>
      <c r="N1471" s="131">
        <v>3.228372764</v>
      </c>
      <c r="O1471" s="132" t="str">
        <f t="shared" si="2"/>
        <v>Gz.Lbh</v>
      </c>
    </row>
    <row r="1472" spans="1:15" ht="78">
      <c r="A1472" s="167" t="s">
        <v>3816</v>
      </c>
      <c r="B1472" s="172" t="s">
        <v>48</v>
      </c>
      <c r="C1472" s="168"/>
      <c r="D1472" s="173" t="s">
        <v>850</v>
      </c>
      <c r="E1472" s="177" t="s">
        <v>853</v>
      </c>
      <c r="F1472" s="175" t="s">
        <v>739</v>
      </c>
      <c r="G1472" s="144">
        <v>3</v>
      </c>
      <c r="H1472" s="135">
        <v>4</v>
      </c>
      <c r="I1472" s="146">
        <v>14.3</v>
      </c>
      <c r="J1472" s="137">
        <v>94.8</v>
      </c>
      <c r="K1472" s="137">
        <v>15.2</v>
      </c>
      <c r="L1472" s="131">
        <v>-0.22348204390000001</v>
      </c>
      <c r="M1472" s="131">
        <v>-0.69028083490000003</v>
      </c>
      <c r="N1472" s="131">
        <v>0.26177682720000001</v>
      </c>
      <c r="O1472" s="132" t="str">
        <f t="shared" si="2"/>
        <v>Normal</v>
      </c>
    </row>
    <row r="1473" spans="1:15" ht="78">
      <c r="A1473" s="167" t="s">
        <v>3817</v>
      </c>
      <c r="B1473" s="172" t="s">
        <v>37</v>
      </c>
      <c r="C1473" s="168"/>
      <c r="D1473" s="173" t="s">
        <v>855</v>
      </c>
      <c r="E1473" s="177" t="s">
        <v>858</v>
      </c>
      <c r="F1473" s="175" t="s">
        <v>739</v>
      </c>
      <c r="G1473" s="144">
        <v>3</v>
      </c>
      <c r="H1473" s="135">
        <v>4</v>
      </c>
      <c r="I1473" s="144">
        <v>11</v>
      </c>
      <c r="J1473" s="135">
        <v>91.5</v>
      </c>
      <c r="K1473" s="135">
        <v>15</v>
      </c>
      <c r="L1473" s="131">
        <v>-1.9882001659999999</v>
      </c>
      <c r="M1473" s="131">
        <v>-1.1101762749999999</v>
      </c>
      <c r="N1473" s="131">
        <v>-1.97729029</v>
      </c>
      <c r="O1473" s="132" t="str">
        <f t="shared" si="2"/>
        <v>Normal</v>
      </c>
    </row>
    <row r="1474" spans="1:15" ht="78">
      <c r="A1474" s="167" t="s">
        <v>3818</v>
      </c>
      <c r="B1474" s="172" t="s">
        <v>37</v>
      </c>
      <c r="C1474" s="168"/>
      <c r="D1474" s="173" t="s">
        <v>860</v>
      </c>
      <c r="E1474" s="177" t="s">
        <v>863</v>
      </c>
      <c r="F1474" s="175" t="s">
        <v>739</v>
      </c>
      <c r="G1474" s="144">
        <v>1</v>
      </c>
      <c r="H1474" s="135">
        <v>4</v>
      </c>
      <c r="I1474" s="146">
        <v>15.4</v>
      </c>
      <c r="J1474" s="137">
        <v>99.1</v>
      </c>
      <c r="K1474" s="137">
        <v>16.3</v>
      </c>
      <c r="L1474" s="131">
        <v>1.528914103E-2</v>
      </c>
      <c r="M1474" s="131">
        <v>-0.3133050946</v>
      </c>
      <c r="N1474" s="131">
        <v>0.32543580290000002</v>
      </c>
      <c r="O1474" s="132" t="str">
        <f t="shared" si="2"/>
        <v>Normal</v>
      </c>
    </row>
    <row r="1475" spans="1:15" ht="78">
      <c r="A1475" s="167" t="s">
        <v>3819</v>
      </c>
      <c r="B1475" s="172" t="s">
        <v>48</v>
      </c>
      <c r="C1475" s="168"/>
      <c r="D1475" s="173" t="s">
        <v>865</v>
      </c>
      <c r="E1475" s="177" t="s">
        <v>868</v>
      </c>
      <c r="F1475" s="175" t="s">
        <v>739</v>
      </c>
      <c r="G1475" s="144">
        <v>2</v>
      </c>
      <c r="H1475" s="135">
        <v>4</v>
      </c>
      <c r="I1475" s="146">
        <v>14.5</v>
      </c>
      <c r="J1475" s="137">
        <v>99.2</v>
      </c>
      <c r="K1475" s="137">
        <v>17</v>
      </c>
      <c r="L1475" s="131">
        <v>-0.62439422590000004</v>
      </c>
      <c r="M1475" s="131">
        <v>-0.44386636089999998</v>
      </c>
      <c r="N1475" s="131">
        <v>-0.54481594249999998</v>
      </c>
      <c r="O1475" s="132" t="str">
        <f t="shared" si="2"/>
        <v>Normal</v>
      </c>
    </row>
    <row r="1476" spans="1:15" ht="78">
      <c r="A1476" s="167" t="s">
        <v>3820</v>
      </c>
      <c r="B1476" s="172" t="s">
        <v>48</v>
      </c>
      <c r="C1476" s="168"/>
      <c r="D1476" s="173" t="s">
        <v>870</v>
      </c>
      <c r="E1476" s="177" t="s">
        <v>873</v>
      </c>
      <c r="F1476" s="175" t="s">
        <v>739</v>
      </c>
      <c r="G1476" s="144">
        <v>2</v>
      </c>
      <c r="H1476" s="135">
        <v>4</v>
      </c>
      <c r="I1476" s="146">
        <v>13.3</v>
      </c>
      <c r="J1476" s="137">
        <v>99.2</v>
      </c>
      <c r="K1476" s="137">
        <v>16</v>
      </c>
      <c r="L1476" s="131">
        <v>-1.3171745909999999</v>
      </c>
      <c r="M1476" s="131">
        <v>-0.43918188689999998</v>
      </c>
      <c r="N1476" s="131">
        <v>-1.642726482</v>
      </c>
      <c r="O1476" s="132" t="str">
        <f t="shared" si="2"/>
        <v>Normal</v>
      </c>
    </row>
    <row r="1477" spans="1:15" ht="78">
      <c r="A1477" s="167" t="s">
        <v>3821</v>
      </c>
      <c r="B1477" s="172" t="s">
        <v>37</v>
      </c>
      <c r="C1477" s="168"/>
      <c r="D1477" s="173" t="s">
        <v>875</v>
      </c>
      <c r="E1477" s="177" t="s">
        <v>878</v>
      </c>
      <c r="F1477" s="175" t="s">
        <v>739</v>
      </c>
      <c r="G1477" s="144">
        <v>2</v>
      </c>
      <c r="H1477" s="135">
        <v>4</v>
      </c>
      <c r="I1477" s="146">
        <v>14.2</v>
      </c>
      <c r="J1477" s="137">
        <v>97</v>
      </c>
      <c r="K1477" s="137">
        <v>15</v>
      </c>
      <c r="L1477" s="131">
        <v>-0.54484065140000004</v>
      </c>
      <c r="M1477" s="131">
        <v>24.162095220000001</v>
      </c>
      <c r="N1477" s="131">
        <v>-1.955509267E-2</v>
      </c>
      <c r="O1477" s="132" t="str">
        <f t="shared" si="2"/>
        <v>Normal</v>
      </c>
    </row>
    <row r="1478" spans="1:15" ht="78">
      <c r="A1478" s="167" t="s">
        <v>3822</v>
      </c>
      <c r="B1478" s="172" t="s">
        <v>37</v>
      </c>
      <c r="C1478" s="168"/>
      <c r="D1478" s="173" t="s">
        <v>880</v>
      </c>
      <c r="E1478" s="177" t="s">
        <v>79</v>
      </c>
      <c r="F1478" s="175" t="s">
        <v>739</v>
      </c>
      <c r="G1478" s="144">
        <v>1</v>
      </c>
      <c r="H1478" s="135">
        <v>4</v>
      </c>
      <c r="I1478" s="146">
        <v>11.5</v>
      </c>
      <c r="J1478" s="137">
        <v>93</v>
      </c>
      <c r="K1478" s="137">
        <v>15</v>
      </c>
      <c r="L1478" s="131">
        <v>-1.519655771</v>
      </c>
      <c r="M1478" s="131">
        <v>20.42641995</v>
      </c>
      <c r="N1478" s="131">
        <v>-1.632755814</v>
      </c>
      <c r="O1478" s="132" t="str">
        <f t="shared" si="2"/>
        <v>Normal</v>
      </c>
    </row>
    <row r="1479" spans="1:15" ht="78">
      <c r="A1479" s="167" t="s">
        <v>3823</v>
      </c>
      <c r="B1479" s="172" t="s">
        <v>37</v>
      </c>
      <c r="C1479" s="168"/>
      <c r="D1479" s="173" t="s">
        <v>884</v>
      </c>
      <c r="E1479" s="177" t="s">
        <v>887</v>
      </c>
      <c r="F1479" s="175" t="s">
        <v>739</v>
      </c>
      <c r="G1479" s="144">
        <v>1</v>
      </c>
      <c r="H1479" s="135">
        <v>4</v>
      </c>
      <c r="I1479" s="146">
        <v>11.5</v>
      </c>
      <c r="J1479" s="137">
        <v>87</v>
      </c>
      <c r="K1479" s="137">
        <v>15</v>
      </c>
      <c r="L1479" s="131">
        <v>-1.489707004</v>
      </c>
      <c r="M1479" s="131">
        <v>18.310755539999999</v>
      </c>
      <c r="N1479" s="131">
        <v>-0.22259590439999999</v>
      </c>
      <c r="O1479" s="132" t="str">
        <f t="shared" si="2"/>
        <v>Normal</v>
      </c>
    </row>
    <row r="1480" spans="1:15" ht="78">
      <c r="A1480" s="167" t="s">
        <v>3824</v>
      </c>
      <c r="B1480" s="172" t="s">
        <v>48</v>
      </c>
      <c r="C1480" s="168"/>
      <c r="D1480" s="173" t="s">
        <v>889</v>
      </c>
      <c r="E1480" s="177" t="s">
        <v>892</v>
      </c>
      <c r="F1480" s="175" t="s">
        <v>739</v>
      </c>
      <c r="G1480" s="144">
        <v>2</v>
      </c>
      <c r="H1480" s="135">
        <v>4</v>
      </c>
      <c r="I1480" s="146">
        <v>14.2</v>
      </c>
      <c r="J1480" s="137">
        <v>94.8</v>
      </c>
      <c r="K1480" s="137">
        <v>16</v>
      </c>
      <c r="L1480" s="131">
        <v>0.165581902</v>
      </c>
      <c r="M1480" s="131">
        <v>22.01848541</v>
      </c>
      <c r="N1480" s="131">
        <v>0.3257154182</v>
      </c>
      <c r="O1480" s="132" t="str">
        <f t="shared" si="2"/>
        <v>Normal</v>
      </c>
    </row>
    <row r="1481" spans="1:15" ht="78">
      <c r="A1481" s="167" t="s">
        <v>3825</v>
      </c>
      <c r="B1481" s="172" t="s">
        <v>37</v>
      </c>
      <c r="C1481" s="168"/>
      <c r="D1481" s="173" t="s">
        <v>894</v>
      </c>
      <c r="E1481" s="177" t="s">
        <v>897</v>
      </c>
      <c r="F1481" s="175" t="s">
        <v>739</v>
      </c>
      <c r="G1481" s="144">
        <v>1</v>
      </c>
      <c r="H1481" s="135">
        <v>4</v>
      </c>
      <c r="I1481" s="146">
        <v>11.3</v>
      </c>
      <c r="J1481" s="137">
        <v>85.5</v>
      </c>
      <c r="K1481" s="137">
        <v>16</v>
      </c>
      <c r="L1481" s="131">
        <v>-1.165531624</v>
      </c>
      <c r="M1481" s="131">
        <v>-1.760458281</v>
      </c>
      <c r="N1481" s="131">
        <v>-0.22496985890000001</v>
      </c>
      <c r="O1481" s="132" t="str">
        <f t="shared" si="2"/>
        <v>Normal</v>
      </c>
    </row>
    <row r="1482" spans="1:15" ht="78">
      <c r="A1482" s="167" t="s">
        <v>3826</v>
      </c>
      <c r="B1482" s="172" t="s">
        <v>48</v>
      </c>
      <c r="C1482" s="168"/>
      <c r="D1482" s="173" t="s">
        <v>899</v>
      </c>
      <c r="E1482" s="177" t="s">
        <v>902</v>
      </c>
      <c r="F1482" s="175" t="s">
        <v>739</v>
      </c>
      <c r="G1482" s="144">
        <v>1</v>
      </c>
      <c r="H1482" s="135">
        <v>4</v>
      </c>
      <c r="I1482" s="146">
        <v>11.3</v>
      </c>
      <c r="J1482" s="137">
        <v>85.7</v>
      </c>
      <c r="K1482" s="137">
        <v>16</v>
      </c>
      <c r="L1482" s="131">
        <v>-1.508860485</v>
      </c>
      <c r="M1482" s="131">
        <v>-2.0438018160000002</v>
      </c>
      <c r="N1482" s="131">
        <v>-0.59883880850000004</v>
      </c>
      <c r="O1482" s="132" t="str">
        <f t="shared" ref="O1482:O1545" si="3">IF(D1482&gt;0,IF(E1482&gt;0,IF(L1482&lt;-3,"Gz.Brk",IF(L1482&lt;-2,"Gz.Krg",IF(L1482&lt;=1,"Normal",IF(L1482&lt;=2,"R.Gz.Lbh",IF(L1482&lt;=3,"Gz.Lbh","Obesitas")))))," "),"")</f>
        <v>Normal</v>
      </c>
    </row>
    <row r="1483" spans="1:15" ht="78">
      <c r="A1483" s="167" t="s">
        <v>3827</v>
      </c>
      <c r="B1483" s="172" t="s">
        <v>48</v>
      </c>
      <c r="C1483" s="168"/>
      <c r="D1483" s="173" t="s">
        <v>904</v>
      </c>
      <c r="E1483" s="177" t="s">
        <v>803</v>
      </c>
      <c r="F1483" s="175" t="s">
        <v>739</v>
      </c>
      <c r="G1483" s="144">
        <v>2</v>
      </c>
      <c r="H1483" s="135">
        <v>4</v>
      </c>
      <c r="I1483" s="146">
        <v>12.7</v>
      </c>
      <c r="J1483" s="137">
        <v>89.3</v>
      </c>
      <c r="K1483" s="137">
        <v>16</v>
      </c>
      <c r="L1483" s="131">
        <v>-8.2293688449999999E-2</v>
      </c>
      <c r="M1483" s="131">
        <v>-0.20231924970000001</v>
      </c>
      <c r="N1483" s="131">
        <v>-2.107683871E-2</v>
      </c>
      <c r="O1483" s="132" t="str">
        <f t="shared" si="3"/>
        <v>Normal</v>
      </c>
    </row>
    <row r="1484" spans="1:15" ht="78">
      <c r="A1484" s="167" t="s">
        <v>3828</v>
      </c>
      <c r="B1484" s="172" t="s">
        <v>37</v>
      </c>
      <c r="C1484" s="168"/>
      <c r="D1484" s="173" t="s">
        <v>906</v>
      </c>
      <c r="E1484" s="177" t="s">
        <v>909</v>
      </c>
      <c r="F1484" s="175" t="s">
        <v>739</v>
      </c>
      <c r="G1484" s="144">
        <v>4</v>
      </c>
      <c r="H1484" s="135">
        <v>4</v>
      </c>
      <c r="I1484" s="136">
        <v>17</v>
      </c>
      <c r="J1484" s="136">
        <v>112.6</v>
      </c>
      <c r="K1484" s="136">
        <v>16</v>
      </c>
      <c r="L1484" s="131">
        <v>0.165581902</v>
      </c>
      <c r="M1484" s="131">
        <v>22.01848541</v>
      </c>
      <c r="N1484" s="131">
        <v>-0.49680120449999998</v>
      </c>
      <c r="O1484" s="132" t="str">
        <f t="shared" si="3"/>
        <v>Normal</v>
      </c>
    </row>
    <row r="1485" spans="1:15" ht="78">
      <c r="A1485" s="167" t="s">
        <v>3829</v>
      </c>
      <c r="B1485" s="172" t="s">
        <v>37</v>
      </c>
      <c r="C1485" s="168"/>
      <c r="D1485" s="173" t="s">
        <v>521</v>
      </c>
      <c r="E1485" s="177" t="s">
        <v>913</v>
      </c>
      <c r="F1485" s="175" t="s">
        <v>739</v>
      </c>
      <c r="G1485" s="144">
        <v>3</v>
      </c>
      <c r="H1485" s="135">
        <v>4</v>
      </c>
      <c r="I1485" s="146">
        <v>11.8</v>
      </c>
      <c r="J1485" s="137">
        <v>86</v>
      </c>
      <c r="K1485" s="137">
        <v>17</v>
      </c>
      <c r="L1485" s="131">
        <v>-5.4923197700000002E-2</v>
      </c>
      <c r="M1485" s="131">
        <v>-0.41446511489999999</v>
      </c>
      <c r="N1485" s="131">
        <v>0.15576029769999999</v>
      </c>
      <c r="O1485" s="132" t="str">
        <f t="shared" si="3"/>
        <v>Normal</v>
      </c>
    </row>
    <row r="1486" spans="1:15" ht="78">
      <c r="A1486" s="167" t="s">
        <v>3830</v>
      </c>
      <c r="B1486" s="172" t="s">
        <v>37</v>
      </c>
      <c r="C1486" s="168"/>
      <c r="D1486" s="173" t="s">
        <v>915</v>
      </c>
      <c r="E1486" s="177" t="s">
        <v>918</v>
      </c>
      <c r="F1486" s="175" t="s">
        <v>739</v>
      </c>
      <c r="G1486" s="144">
        <v>3</v>
      </c>
      <c r="H1486" s="135">
        <v>4</v>
      </c>
      <c r="I1486" s="146">
        <v>14.2</v>
      </c>
      <c r="J1486" s="137">
        <v>86.1</v>
      </c>
      <c r="K1486" s="137">
        <v>17</v>
      </c>
      <c r="L1486" s="131">
        <v>1.5879124600000001</v>
      </c>
      <c r="M1486" s="131">
        <v>-0.23378554970000001</v>
      </c>
      <c r="N1486" s="131">
        <v>2.2947979250000001</v>
      </c>
      <c r="O1486" s="132" t="str">
        <f t="shared" si="3"/>
        <v>R.Gz.Lbh</v>
      </c>
    </row>
    <row r="1487" spans="1:15" ht="78">
      <c r="A1487" s="167" t="s">
        <v>3831</v>
      </c>
      <c r="B1487" s="172" t="s">
        <v>37</v>
      </c>
      <c r="C1487" s="168"/>
      <c r="D1487" s="173" t="s">
        <v>920</v>
      </c>
      <c r="E1487" s="177" t="s">
        <v>923</v>
      </c>
      <c r="F1487" s="175" t="s">
        <v>739</v>
      </c>
      <c r="G1487" s="144">
        <v>3</v>
      </c>
      <c r="H1487" s="135">
        <v>4</v>
      </c>
      <c r="I1487" s="146">
        <v>14</v>
      </c>
      <c r="J1487" s="137">
        <v>79.099999999999994</v>
      </c>
      <c r="K1487" s="137">
        <v>16</v>
      </c>
      <c r="L1487" s="131">
        <v>1.6699735490000001</v>
      </c>
      <c r="M1487" s="131">
        <v>-2.0472580169999999</v>
      </c>
      <c r="N1487" s="131">
        <v>3.999668802</v>
      </c>
      <c r="O1487" s="132" t="str">
        <f t="shared" si="3"/>
        <v>R.Gz.Lbh</v>
      </c>
    </row>
    <row r="1488" spans="1:15" ht="78">
      <c r="A1488" s="167" t="s">
        <v>3832</v>
      </c>
      <c r="B1488" s="172" t="s">
        <v>48</v>
      </c>
      <c r="C1488" s="168"/>
      <c r="D1488" s="173" t="s">
        <v>925</v>
      </c>
      <c r="E1488" s="177" t="s">
        <v>928</v>
      </c>
      <c r="F1488" s="175" t="s">
        <v>739</v>
      </c>
      <c r="G1488" s="144">
        <v>2</v>
      </c>
      <c r="H1488" s="135">
        <v>4</v>
      </c>
      <c r="I1488" s="146">
        <v>12</v>
      </c>
      <c r="J1488" s="137">
        <v>84</v>
      </c>
      <c r="K1488" s="137">
        <v>15</v>
      </c>
      <c r="L1488" s="131">
        <v>0.29569798590000002</v>
      </c>
      <c r="M1488" s="131">
        <v>-0.48256738030000002</v>
      </c>
      <c r="N1488" s="131">
        <v>0.79555058160000003</v>
      </c>
      <c r="O1488" s="132" t="str">
        <f t="shared" si="3"/>
        <v>Normal</v>
      </c>
    </row>
    <row r="1489" spans="1:15" ht="78">
      <c r="A1489" s="167" t="s">
        <v>3833</v>
      </c>
      <c r="B1489" s="172" t="s">
        <v>37</v>
      </c>
      <c r="C1489" s="168"/>
      <c r="D1489" s="173" t="s">
        <v>930</v>
      </c>
      <c r="E1489" s="177" t="s">
        <v>743</v>
      </c>
      <c r="F1489" s="175" t="s">
        <v>739</v>
      </c>
      <c r="G1489" s="144">
        <v>3</v>
      </c>
      <c r="H1489" s="135">
        <v>4</v>
      </c>
      <c r="I1489" s="146">
        <v>10.3</v>
      </c>
      <c r="J1489" s="137">
        <v>78.2</v>
      </c>
      <c r="K1489" s="137">
        <v>15</v>
      </c>
      <c r="L1489" s="131">
        <v>-0.43353940629999999</v>
      </c>
      <c r="M1489" s="131">
        <v>-1.7706991249999999</v>
      </c>
      <c r="N1489" s="131">
        <v>0.6524374651</v>
      </c>
      <c r="O1489" s="132" t="str">
        <f t="shared" si="3"/>
        <v>Normal</v>
      </c>
    </row>
    <row r="1490" spans="1:15" ht="78">
      <c r="A1490" s="167" t="s">
        <v>3834</v>
      </c>
      <c r="B1490" s="172" t="s">
        <v>48</v>
      </c>
      <c r="C1490" s="168"/>
      <c r="D1490" s="173" t="s">
        <v>340</v>
      </c>
      <c r="E1490" s="177" t="s">
        <v>935</v>
      </c>
      <c r="F1490" s="175" t="s">
        <v>739</v>
      </c>
      <c r="G1490" s="144">
        <v>2</v>
      </c>
      <c r="H1490" s="135">
        <v>4</v>
      </c>
      <c r="I1490" s="146">
        <v>11.3</v>
      </c>
      <c r="J1490" s="137">
        <v>83.5</v>
      </c>
      <c r="K1490" s="137">
        <v>15.5</v>
      </c>
      <c r="L1490" s="131">
        <v>-0.1664974874</v>
      </c>
      <c r="M1490" s="131">
        <v>-0.51422616040000002</v>
      </c>
      <c r="N1490" s="131">
        <v>0.16638338450000001</v>
      </c>
      <c r="O1490" s="132" t="str">
        <f t="shared" si="3"/>
        <v>Normal</v>
      </c>
    </row>
    <row r="1491" spans="1:15" ht="78">
      <c r="A1491" s="167" t="s">
        <v>3835</v>
      </c>
      <c r="B1491" s="172" t="s">
        <v>37</v>
      </c>
      <c r="C1491" s="168"/>
      <c r="D1491" s="173" t="s">
        <v>937</v>
      </c>
      <c r="E1491" s="177" t="s">
        <v>940</v>
      </c>
      <c r="F1491" s="175" t="s">
        <v>739</v>
      </c>
      <c r="G1491" s="144">
        <v>3</v>
      </c>
      <c r="H1491" s="135">
        <v>4</v>
      </c>
      <c r="I1491" s="146">
        <v>10</v>
      </c>
      <c r="J1491" s="137">
        <v>83.5</v>
      </c>
      <c r="K1491" s="137">
        <v>14</v>
      </c>
      <c r="L1491" s="131">
        <v>-1.0100177100000001</v>
      </c>
      <c r="M1491" s="131">
        <v>-0.63809569300000002</v>
      </c>
      <c r="N1491" s="131">
        <v>-0.96701742229999998</v>
      </c>
      <c r="O1491" s="132" t="str">
        <f t="shared" si="3"/>
        <v>Normal</v>
      </c>
    </row>
    <row r="1492" spans="1:15" ht="78">
      <c r="A1492" s="167" t="s">
        <v>3836</v>
      </c>
      <c r="B1492" s="172" t="s">
        <v>37</v>
      </c>
      <c r="C1492" s="168"/>
      <c r="D1492" s="173" t="s">
        <v>942</v>
      </c>
      <c r="E1492" s="177" t="s">
        <v>945</v>
      </c>
      <c r="F1492" s="175" t="s">
        <v>739</v>
      </c>
      <c r="G1492" s="144">
        <v>3</v>
      </c>
      <c r="H1492" s="135">
        <v>4</v>
      </c>
      <c r="I1492" s="146">
        <v>11.7</v>
      </c>
      <c r="J1492" s="137">
        <v>81.8</v>
      </c>
      <c r="K1492" s="137">
        <v>15.5</v>
      </c>
      <c r="L1492" s="131">
        <v>0.82031681919999999</v>
      </c>
      <c r="M1492" s="131">
        <v>-0.2165070029</v>
      </c>
      <c r="N1492" s="131">
        <v>1.296314591</v>
      </c>
      <c r="O1492" s="132" t="str">
        <f t="shared" si="3"/>
        <v>Normal</v>
      </c>
    </row>
    <row r="1493" spans="1:15" ht="78">
      <c r="A1493" s="167" t="s">
        <v>3837</v>
      </c>
      <c r="B1493" s="172" t="s">
        <v>48</v>
      </c>
      <c r="C1493" s="168"/>
      <c r="D1493" s="173" t="s">
        <v>947</v>
      </c>
      <c r="E1493" s="177" t="s">
        <v>950</v>
      </c>
      <c r="F1493" s="175" t="s">
        <v>739</v>
      </c>
      <c r="G1493" s="144">
        <v>1</v>
      </c>
      <c r="H1493" s="135">
        <v>4</v>
      </c>
      <c r="I1493" s="146">
        <v>12.2</v>
      </c>
      <c r="J1493" s="137">
        <v>83.5</v>
      </c>
      <c r="K1493" s="137">
        <v>17</v>
      </c>
      <c r="L1493" s="131">
        <v>0.73156299400000002</v>
      </c>
      <c r="M1493" s="131">
        <v>-7.1479191299999995E-2</v>
      </c>
      <c r="N1493" s="131">
        <v>1.1293633940000001</v>
      </c>
      <c r="O1493" s="132" t="str">
        <f t="shared" si="3"/>
        <v>Normal</v>
      </c>
    </row>
    <row r="1494" spans="1:15" ht="78">
      <c r="A1494" s="167" t="s">
        <v>3838</v>
      </c>
      <c r="B1494" s="172" t="s">
        <v>37</v>
      </c>
      <c r="C1494" s="168"/>
      <c r="D1494" s="173" t="s">
        <v>952</v>
      </c>
      <c r="E1494" s="177" t="s">
        <v>863</v>
      </c>
      <c r="F1494" s="175" t="s">
        <v>739</v>
      </c>
      <c r="G1494" s="144">
        <v>1</v>
      </c>
      <c r="H1494" s="135">
        <v>4</v>
      </c>
      <c r="I1494" s="146">
        <v>10.5</v>
      </c>
      <c r="J1494" s="137">
        <v>80.7</v>
      </c>
      <c r="K1494" s="137">
        <v>16</v>
      </c>
      <c r="L1494" s="131">
        <v>0.19009242570000001</v>
      </c>
      <c r="M1494" s="131">
        <v>-4.8998490569999997E-2</v>
      </c>
      <c r="N1494" s="131">
        <v>0.30025812079999997</v>
      </c>
      <c r="O1494" s="132" t="str">
        <f t="shared" si="3"/>
        <v>Normal</v>
      </c>
    </row>
    <row r="1495" spans="1:15" ht="78">
      <c r="A1495" s="167" t="s">
        <v>3839</v>
      </c>
      <c r="B1495" s="172" t="s">
        <v>48</v>
      </c>
      <c r="C1495" s="168"/>
      <c r="D1495" s="173" t="s">
        <v>955</v>
      </c>
      <c r="E1495" s="177" t="s">
        <v>958</v>
      </c>
      <c r="F1495" s="175" t="s">
        <v>739</v>
      </c>
      <c r="G1495" s="144">
        <v>1</v>
      </c>
      <c r="H1495" s="135">
        <v>4</v>
      </c>
      <c r="I1495" s="146">
        <v>12</v>
      </c>
      <c r="J1495" s="137">
        <v>85.7</v>
      </c>
      <c r="K1495" s="137">
        <v>16</v>
      </c>
      <c r="L1495" s="131">
        <v>0.90715708500000003</v>
      </c>
      <c r="M1495" s="131">
        <v>1.449226288</v>
      </c>
      <c r="N1495" s="131">
        <v>0.35314548140000002</v>
      </c>
      <c r="O1495" s="132" t="str">
        <f t="shared" si="3"/>
        <v>Normal</v>
      </c>
    </row>
    <row r="1496" spans="1:15" ht="78">
      <c r="A1496" s="167" t="s">
        <v>3840</v>
      </c>
      <c r="B1496" s="172" t="s">
        <v>37</v>
      </c>
      <c r="C1496" s="168"/>
      <c r="D1496" s="173" t="s">
        <v>955</v>
      </c>
      <c r="E1496" s="177" t="s">
        <v>962</v>
      </c>
      <c r="F1496" s="175" t="s">
        <v>739</v>
      </c>
      <c r="G1496" s="144">
        <v>3</v>
      </c>
      <c r="H1496" s="135">
        <v>4</v>
      </c>
      <c r="I1496" s="146">
        <v>9.5</v>
      </c>
      <c r="J1496" s="137">
        <v>78.5</v>
      </c>
      <c r="K1496" s="137">
        <v>15</v>
      </c>
      <c r="L1496" s="131">
        <v>-0.54007168579999998</v>
      </c>
      <c r="M1496" s="131">
        <v>-0.61257111799999997</v>
      </c>
      <c r="N1496" s="131">
        <v>-0.35766447080000002</v>
      </c>
      <c r="O1496" s="132" t="str">
        <f t="shared" si="3"/>
        <v>Normal</v>
      </c>
    </row>
    <row r="1497" spans="1:15" ht="78">
      <c r="A1497" s="167" t="s">
        <v>3841</v>
      </c>
      <c r="B1497" s="172" t="s">
        <v>48</v>
      </c>
      <c r="C1497" s="168"/>
      <c r="D1497" s="173" t="s">
        <v>964</v>
      </c>
      <c r="E1497" s="177" t="s">
        <v>967</v>
      </c>
      <c r="F1497" s="175" t="s">
        <v>739</v>
      </c>
      <c r="G1497" s="144">
        <v>2</v>
      </c>
      <c r="H1497" s="135">
        <v>4</v>
      </c>
      <c r="I1497" s="146">
        <v>8.5</v>
      </c>
      <c r="J1497" s="137">
        <v>75</v>
      </c>
      <c r="K1497" s="137">
        <v>15</v>
      </c>
      <c r="L1497" s="131">
        <v>-2.0395403179999998</v>
      </c>
      <c r="M1497" s="131">
        <v>-2.2349008700000002</v>
      </c>
      <c r="N1497" s="131">
        <v>-1.395528372</v>
      </c>
      <c r="O1497" s="132" t="str">
        <f t="shared" si="3"/>
        <v>Gz.Krg</v>
      </c>
    </row>
    <row r="1498" spans="1:15" ht="78">
      <c r="A1498" s="167" t="s">
        <v>3842</v>
      </c>
      <c r="B1498" s="172" t="s">
        <v>48</v>
      </c>
      <c r="C1498" s="168"/>
      <c r="D1498" s="173" t="s">
        <v>969</v>
      </c>
      <c r="E1498" s="177" t="s">
        <v>793</v>
      </c>
      <c r="F1498" s="175" t="s">
        <v>739</v>
      </c>
      <c r="G1498" s="144">
        <v>3</v>
      </c>
      <c r="H1498" s="135">
        <v>4</v>
      </c>
      <c r="I1498" s="146">
        <v>11.27</v>
      </c>
      <c r="J1498" s="137">
        <v>83</v>
      </c>
      <c r="K1498" s="137">
        <v>14.5</v>
      </c>
      <c r="L1498" s="131">
        <v>-0.31585767450000002</v>
      </c>
      <c r="M1498" s="131">
        <v>-0.93537593600000002</v>
      </c>
      <c r="N1498" s="131">
        <v>0.25749549919999998</v>
      </c>
      <c r="O1498" s="132" t="str">
        <f t="shared" si="3"/>
        <v>Normal</v>
      </c>
    </row>
    <row r="1499" spans="1:15" ht="78">
      <c r="A1499" s="167" t="s">
        <v>3843</v>
      </c>
      <c r="B1499" s="172" t="s">
        <v>48</v>
      </c>
      <c r="C1499" s="168"/>
      <c r="D1499" s="173" t="s">
        <v>972</v>
      </c>
      <c r="E1499" s="177" t="s">
        <v>975</v>
      </c>
      <c r="F1499" s="175" t="s">
        <v>739</v>
      </c>
      <c r="G1499" s="144">
        <v>1</v>
      </c>
      <c r="H1499" s="135">
        <v>4</v>
      </c>
      <c r="I1499" s="146">
        <v>10</v>
      </c>
      <c r="J1499" s="137">
        <v>77</v>
      </c>
      <c r="K1499" s="137">
        <v>14</v>
      </c>
      <c r="L1499" s="131">
        <v>-0.26600147190000001</v>
      </c>
      <c r="M1499" s="131">
        <v>-0.82626249829999998</v>
      </c>
      <c r="N1499" s="131">
        <v>0.130034065</v>
      </c>
      <c r="O1499" s="132" t="str">
        <f t="shared" si="3"/>
        <v>Normal</v>
      </c>
    </row>
    <row r="1500" spans="1:15" ht="78">
      <c r="A1500" s="167" t="s">
        <v>3844</v>
      </c>
      <c r="B1500" s="172" t="s">
        <v>48</v>
      </c>
      <c r="C1500" s="168"/>
      <c r="D1500" s="173" t="s">
        <v>977</v>
      </c>
      <c r="E1500" s="177" t="s">
        <v>979</v>
      </c>
      <c r="F1500" s="175" t="s">
        <v>739</v>
      </c>
      <c r="G1500" s="144">
        <v>3</v>
      </c>
      <c r="H1500" s="135">
        <v>4</v>
      </c>
      <c r="I1500" s="146">
        <v>10.48</v>
      </c>
      <c r="J1500" s="137">
        <v>74.5</v>
      </c>
      <c r="K1500" s="137">
        <v>15.5</v>
      </c>
      <c r="L1500" s="131">
        <v>1.0156607790000001</v>
      </c>
      <c r="M1500" s="131">
        <v>5.2242879409999998E-2</v>
      </c>
      <c r="N1500" s="131">
        <v>1.3572596139999999</v>
      </c>
      <c r="O1500" s="132" t="str">
        <f t="shared" si="3"/>
        <v>R.Gz.Lbh</v>
      </c>
    </row>
    <row r="1501" spans="1:15" ht="78">
      <c r="A1501" s="167" t="s">
        <v>3845</v>
      </c>
      <c r="B1501" s="172" t="s">
        <v>48</v>
      </c>
      <c r="C1501" s="168"/>
      <c r="D1501" s="173" t="s">
        <v>980</v>
      </c>
      <c r="E1501" s="177" t="s">
        <v>983</v>
      </c>
      <c r="F1501" s="175" t="s">
        <v>739</v>
      </c>
      <c r="G1501" s="144">
        <v>3</v>
      </c>
      <c r="H1501" s="135">
        <v>4</v>
      </c>
      <c r="I1501" s="146">
        <v>8.4</v>
      </c>
      <c r="J1501" s="137">
        <v>70.5</v>
      </c>
      <c r="K1501" s="137">
        <v>13.7</v>
      </c>
      <c r="L1501" s="131">
        <v>-1.0444861320000001</v>
      </c>
      <c r="M1501" s="131">
        <v>-1.7368095429999999</v>
      </c>
      <c r="N1501" s="131">
        <v>-0.20178498759999999</v>
      </c>
      <c r="O1501" s="132" t="str">
        <f t="shared" si="3"/>
        <v>Normal</v>
      </c>
    </row>
    <row r="1502" spans="1:15" ht="78">
      <c r="A1502" s="167" t="s">
        <v>3846</v>
      </c>
      <c r="B1502" s="172" t="s">
        <v>48</v>
      </c>
      <c r="C1502" s="168"/>
      <c r="D1502" s="173" t="s">
        <v>985</v>
      </c>
      <c r="E1502" s="177" t="s">
        <v>988</v>
      </c>
      <c r="F1502" s="175" t="s">
        <v>739</v>
      </c>
      <c r="G1502" s="144">
        <v>3</v>
      </c>
      <c r="H1502" s="135">
        <v>4</v>
      </c>
      <c r="I1502" s="146">
        <v>8.3000000000000007</v>
      </c>
      <c r="J1502" s="137">
        <v>68</v>
      </c>
      <c r="K1502" s="137">
        <v>13</v>
      </c>
      <c r="L1502" s="131">
        <v>-1.10514954</v>
      </c>
      <c r="M1502" s="131">
        <v>-2.7124677770000001</v>
      </c>
      <c r="N1502" s="131">
        <v>0.52042895850000004</v>
      </c>
      <c r="O1502" s="132" t="str">
        <f t="shared" si="3"/>
        <v>Normal</v>
      </c>
    </row>
    <row r="1503" spans="1:15" ht="78">
      <c r="A1503" s="167" t="s">
        <v>3847</v>
      </c>
      <c r="B1503" s="172" t="s">
        <v>48</v>
      </c>
      <c r="C1503" s="168"/>
      <c r="D1503" s="173" t="s">
        <v>990</v>
      </c>
      <c r="E1503" s="177" t="s">
        <v>993</v>
      </c>
      <c r="F1503" s="175" t="s">
        <v>739</v>
      </c>
      <c r="G1503" s="144">
        <v>3</v>
      </c>
      <c r="H1503" s="135">
        <v>4</v>
      </c>
      <c r="I1503" s="146">
        <v>9.5</v>
      </c>
      <c r="J1503" s="137">
        <v>72.2</v>
      </c>
      <c r="K1503" s="137">
        <v>16</v>
      </c>
      <c r="L1503" s="131">
        <v>0.24312673330000001</v>
      </c>
      <c r="M1503" s="131">
        <v>-0.65850604430000004</v>
      </c>
      <c r="N1503" s="131">
        <v>0.79868652230000003</v>
      </c>
      <c r="O1503" s="132" t="str">
        <f t="shared" si="3"/>
        <v>Normal</v>
      </c>
    </row>
    <row r="1504" spans="1:15" ht="78">
      <c r="A1504" s="167" t="s">
        <v>3848</v>
      </c>
      <c r="B1504" s="172" t="s">
        <v>37</v>
      </c>
      <c r="C1504" s="168"/>
      <c r="D1504" s="173" t="s">
        <v>995</v>
      </c>
      <c r="E1504" s="177" t="s">
        <v>998</v>
      </c>
      <c r="F1504" s="175" t="s">
        <v>739</v>
      </c>
      <c r="G1504" s="144">
        <v>1</v>
      </c>
      <c r="H1504" s="135">
        <v>4</v>
      </c>
      <c r="I1504" s="146">
        <v>7.3</v>
      </c>
      <c r="J1504" s="137">
        <v>69.5</v>
      </c>
      <c r="K1504" s="137">
        <v>12</v>
      </c>
      <c r="L1504" s="131">
        <v>-1.228119384</v>
      </c>
      <c r="M1504" s="131">
        <v>-0.77889607670000005</v>
      </c>
      <c r="N1504" s="131">
        <v>-1.1423716429999999</v>
      </c>
      <c r="O1504" s="132" t="str">
        <f t="shared" si="3"/>
        <v>Normal</v>
      </c>
    </row>
    <row r="1505" spans="1:15" ht="78">
      <c r="A1505" s="167" t="s">
        <v>3849</v>
      </c>
      <c r="B1505" s="172" t="s">
        <v>37</v>
      </c>
      <c r="C1505" s="168"/>
      <c r="D1505" s="173" t="s">
        <v>1000</v>
      </c>
      <c r="E1505" s="177" t="s">
        <v>1002</v>
      </c>
      <c r="F1505" s="175" t="s">
        <v>739</v>
      </c>
      <c r="G1505" s="144">
        <v>4</v>
      </c>
      <c r="H1505" s="135">
        <v>4</v>
      </c>
      <c r="I1505" s="146">
        <v>12.5</v>
      </c>
      <c r="J1505" s="137">
        <v>81.7</v>
      </c>
      <c r="K1505" s="137">
        <v>16</v>
      </c>
      <c r="L1505" s="131">
        <v>1.313803584</v>
      </c>
      <c r="M1505" s="131">
        <v>-8.8378090099999994E-3</v>
      </c>
      <c r="N1505" s="131">
        <v>2.090029565</v>
      </c>
      <c r="O1505" s="132" t="str">
        <f t="shared" si="3"/>
        <v>R.Gz.Lbh</v>
      </c>
    </row>
    <row r="1506" spans="1:15" ht="78">
      <c r="A1506" s="167" t="s">
        <v>3850</v>
      </c>
      <c r="B1506" s="172" t="s">
        <v>37</v>
      </c>
      <c r="C1506" s="168"/>
      <c r="D1506" s="173" t="s">
        <v>1003</v>
      </c>
      <c r="E1506" s="177" t="s">
        <v>1006</v>
      </c>
      <c r="F1506" s="175" t="s">
        <v>739</v>
      </c>
      <c r="G1506" s="144">
        <v>1</v>
      </c>
      <c r="H1506" s="135">
        <v>4</v>
      </c>
      <c r="I1506" s="146">
        <v>8.1999999999999993</v>
      </c>
      <c r="J1506" s="137">
        <v>71.2</v>
      </c>
      <c r="K1506" s="137">
        <v>12.2</v>
      </c>
      <c r="L1506" s="131">
        <v>-0.55143322250000004</v>
      </c>
      <c r="M1506" s="131">
        <v>-0.70331954159999999</v>
      </c>
      <c r="N1506" s="131">
        <v>-0.28775326870000001</v>
      </c>
      <c r="O1506" s="132" t="str">
        <f t="shared" si="3"/>
        <v>Normal</v>
      </c>
    </row>
    <row r="1507" spans="1:15" ht="78">
      <c r="A1507" s="167" t="s">
        <v>3851</v>
      </c>
      <c r="B1507" s="126" t="s">
        <v>37</v>
      </c>
      <c r="C1507" s="168"/>
      <c r="D1507" s="139" t="s">
        <v>1008</v>
      </c>
      <c r="E1507" s="140" t="s">
        <v>1011</v>
      </c>
      <c r="F1507" s="159" t="s">
        <v>1013</v>
      </c>
      <c r="G1507" s="136">
        <v>3</v>
      </c>
      <c r="H1507" s="136">
        <v>2</v>
      </c>
      <c r="I1507" s="136">
        <v>15.5</v>
      </c>
      <c r="J1507" s="136">
        <v>100</v>
      </c>
      <c r="K1507" s="136">
        <v>18</v>
      </c>
      <c r="L1507" s="131">
        <v>-1.1578707930000001</v>
      </c>
      <c r="M1507" s="131">
        <v>-1.981087096</v>
      </c>
      <c r="N1507" s="131">
        <v>0.2064668794</v>
      </c>
      <c r="O1507" s="132" t="str">
        <f t="shared" si="3"/>
        <v>Normal</v>
      </c>
    </row>
    <row r="1508" spans="1:15" ht="78">
      <c r="A1508" s="167" t="s">
        <v>3852</v>
      </c>
      <c r="B1508" s="126" t="s">
        <v>37</v>
      </c>
      <c r="C1508" s="168"/>
      <c r="D1508" s="139" t="s">
        <v>1014</v>
      </c>
      <c r="E1508" s="140" t="s">
        <v>1017</v>
      </c>
      <c r="F1508" s="159" t="s">
        <v>1013</v>
      </c>
      <c r="G1508" s="141">
        <v>1</v>
      </c>
      <c r="H1508" s="142">
        <v>2</v>
      </c>
      <c r="I1508" s="136">
        <v>12.3</v>
      </c>
      <c r="J1508" s="136">
        <v>96</v>
      </c>
      <c r="K1508" s="136">
        <v>15</v>
      </c>
      <c r="L1508" s="131">
        <v>-2.7990643689999999</v>
      </c>
      <c r="M1508" s="131">
        <v>-2.7740864969999999</v>
      </c>
      <c r="N1508" s="131">
        <v>-1.6308219180000001</v>
      </c>
      <c r="O1508" s="132" t="str">
        <f t="shared" si="3"/>
        <v>Gz.Krg</v>
      </c>
    </row>
    <row r="1509" spans="1:15" ht="78">
      <c r="A1509" s="167" t="s">
        <v>3853</v>
      </c>
      <c r="B1509" s="126" t="s">
        <v>48</v>
      </c>
      <c r="C1509" s="168"/>
      <c r="D1509" s="139" t="s">
        <v>1019</v>
      </c>
      <c r="E1509" s="140" t="s">
        <v>1022</v>
      </c>
      <c r="F1509" s="159" t="s">
        <v>1013</v>
      </c>
      <c r="G1509" s="136">
        <v>3</v>
      </c>
      <c r="H1509" s="142">
        <v>2</v>
      </c>
      <c r="I1509" s="136">
        <v>15.9</v>
      </c>
      <c r="J1509" s="136">
        <v>105</v>
      </c>
      <c r="K1509" s="136">
        <v>16</v>
      </c>
      <c r="L1509" s="131">
        <v>-0.92533703170000003</v>
      </c>
      <c r="M1509" s="131">
        <v>-0.83921695129999996</v>
      </c>
      <c r="N1509" s="131">
        <v>-0.70941452989999998</v>
      </c>
      <c r="O1509" s="132" t="str">
        <f t="shared" si="3"/>
        <v>Normal</v>
      </c>
    </row>
    <row r="1510" spans="1:15" ht="78">
      <c r="A1510" s="167" t="s">
        <v>3854</v>
      </c>
      <c r="B1510" s="126" t="s">
        <v>48</v>
      </c>
      <c r="C1510" s="168"/>
      <c r="D1510" s="139" t="s">
        <v>1024</v>
      </c>
      <c r="E1510" s="140" t="s">
        <v>1027</v>
      </c>
      <c r="F1510" s="159" t="s">
        <v>1013</v>
      </c>
      <c r="G1510" s="136">
        <v>2</v>
      </c>
      <c r="H1510" s="142">
        <v>2</v>
      </c>
      <c r="I1510" s="136">
        <v>16.5</v>
      </c>
      <c r="J1510" s="136">
        <v>102</v>
      </c>
      <c r="K1510" s="136">
        <v>17</v>
      </c>
      <c r="L1510" s="131">
        <v>-0.63079078150000001</v>
      </c>
      <c r="M1510" s="131">
        <v>-1.468647139</v>
      </c>
      <c r="N1510" s="131">
        <v>0.43657713520000002</v>
      </c>
      <c r="O1510" s="132" t="str">
        <f t="shared" si="3"/>
        <v>Normal</v>
      </c>
    </row>
    <row r="1511" spans="1:15" ht="78">
      <c r="A1511" s="167" t="s">
        <v>3855</v>
      </c>
      <c r="B1511" s="126" t="s">
        <v>48</v>
      </c>
      <c r="C1511" s="168"/>
      <c r="D1511" s="139" t="s">
        <v>1029</v>
      </c>
      <c r="E1511" s="140" t="s">
        <v>1031</v>
      </c>
      <c r="F1511" s="159" t="s">
        <v>1013</v>
      </c>
      <c r="G1511" s="136">
        <v>1</v>
      </c>
      <c r="H1511" s="142">
        <v>2</v>
      </c>
      <c r="I1511" s="136">
        <v>14.6</v>
      </c>
      <c r="J1511" s="136">
        <v>101</v>
      </c>
      <c r="K1511" s="136">
        <v>17</v>
      </c>
      <c r="L1511" s="131">
        <v>-1.440790784</v>
      </c>
      <c r="M1511" s="131">
        <v>-1.50271311</v>
      </c>
      <c r="N1511" s="131">
        <v>-0.8653769174</v>
      </c>
      <c r="O1511" s="132" t="str">
        <f t="shared" si="3"/>
        <v>Normal</v>
      </c>
    </row>
    <row r="1512" spans="1:15" ht="78">
      <c r="A1512" s="167" t="s">
        <v>3856</v>
      </c>
      <c r="B1512" s="126" t="s">
        <v>48</v>
      </c>
      <c r="C1512" s="168"/>
      <c r="D1512" s="139" t="s">
        <v>1033</v>
      </c>
      <c r="E1512" s="140" t="s">
        <v>1036</v>
      </c>
      <c r="F1512" s="159" t="s">
        <v>1013</v>
      </c>
      <c r="G1512" s="136">
        <v>3</v>
      </c>
      <c r="H1512" s="142">
        <v>2</v>
      </c>
      <c r="I1512" s="136">
        <v>18.8</v>
      </c>
      <c r="J1512" s="136">
        <v>103</v>
      </c>
      <c r="K1512" s="136">
        <v>18</v>
      </c>
      <c r="L1512" s="131">
        <v>0.5114756036</v>
      </c>
      <c r="M1512" s="131">
        <v>-0.9889826156</v>
      </c>
      <c r="N1512" s="131">
        <v>1.8147029699999999</v>
      </c>
      <c r="O1512" s="132" t="str">
        <f t="shared" si="3"/>
        <v>Normal</v>
      </c>
    </row>
    <row r="1513" spans="1:15" ht="78">
      <c r="A1513" s="167" t="s">
        <v>3857</v>
      </c>
      <c r="B1513" s="126" t="s">
        <v>37</v>
      </c>
      <c r="C1513" s="168"/>
      <c r="D1513" s="139" t="s">
        <v>1038</v>
      </c>
      <c r="E1513" s="140" t="s">
        <v>1041</v>
      </c>
      <c r="F1513" s="159" t="s">
        <v>1013</v>
      </c>
      <c r="G1513" s="136">
        <v>3</v>
      </c>
      <c r="H1513" s="142">
        <v>2</v>
      </c>
      <c r="I1513" s="136">
        <v>14.7</v>
      </c>
      <c r="J1513" s="136">
        <v>100</v>
      </c>
      <c r="K1513" s="136">
        <v>17</v>
      </c>
      <c r="L1513" s="131">
        <v>-1.1738622919999999</v>
      </c>
      <c r="M1513" s="131">
        <v>-1.427821507</v>
      </c>
      <c r="N1513" s="131">
        <v>-0.40424679629999999</v>
      </c>
      <c r="O1513" s="132" t="str">
        <f t="shared" si="3"/>
        <v>Normal</v>
      </c>
    </row>
    <row r="1514" spans="1:15" ht="78">
      <c r="A1514" s="167" t="s">
        <v>3858</v>
      </c>
      <c r="B1514" s="126" t="s">
        <v>48</v>
      </c>
      <c r="C1514" s="168"/>
      <c r="D1514" s="139" t="s">
        <v>1043</v>
      </c>
      <c r="E1514" s="140" t="s">
        <v>1046</v>
      </c>
      <c r="F1514" s="159" t="s">
        <v>1013</v>
      </c>
      <c r="G1514" s="136">
        <v>1</v>
      </c>
      <c r="H1514" s="142">
        <v>2</v>
      </c>
      <c r="I1514" s="146">
        <v>6.92</v>
      </c>
      <c r="J1514" s="137">
        <v>68.5</v>
      </c>
      <c r="K1514" s="137">
        <v>17</v>
      </c>
      <c r="L1514" s="131">
        <v>-1.4114402239999999</v>
      </c>
      <c r="M1514" s="131">
        <v>-0.94270517399999998</v>
      </c>
      <c r="N1514" s="131">
        <v>-0.49680120449999998</v>
      </c>
      <c r="O1514" s="132" t="str">
        <f t="shared" si="3"/>
        <v>Normal</v>
      </c>
    </row>
    <row r="1515" spans="1:15" ht="78">
      <c r="A1515" s="167" t="s">
        <v>3859</v>
      </c>
      <c r="B1515" s="126" t="s">
        <v>48</v>
      </c>
      <c r="C1515" s="168"/>
      <c r="D1515" s="139" t="s">
        <v>1048</v>
      </c>
      <c r="E1515" s="140" t="s">
        <v>1051</v>
      </c>
      <c r="F1515" s="159" t="s">
        <v>1013</v>
      </c>
      <c r="G1515" s="136">
        <v>3</v>
      </c>
      <c r="H1515" s="142">
        <v>2</v>
      </c>
      <c r="I1515" s="136">
        <v>15.4</v>
      </c>
      <c r="J1515" s="136">
        <v>100</v>
      </c>
      <c r="K1515" s="136">
        <v>16</v>
      </c>
      <c r="L1515" s="131">
        <v>-0.94071980369999997</v>
      </c>
      <c r="M1515" s="131">
        <v>-1.601291587</v>
      </c>
      <c r="N1515" s="131">
        <v>3.4721789570000001E-2</v>
      </c>
      <c r="O1515" s="132" t="str">
        <f t="shared" si="3"/>
        <v>Normal</v>
      </c>
    </row>
    <row r="1516" spans="1:15" ht="78">
      <c r="A1516" s="167" t="s">
        <v>3860</v>
      </c>
      <c r="B1516" s="126" t="s">
        <v>48</v>
      </c>
      <c r="C1516" s="168"/>
      <c r="D1516" s="139" t="s">
        <v>1053</v>
      </c>
      <c r="E1516" s="140" t="s">
        <v>1051</v>
      </c>
      <c r="F1516" s="159" t="s">
        <v>1013</v>
      </c>
      <c r="G1516" s="136">
        <v>3</v>
      </c>
      <c r="H1516" s="142">
        <v>2</v>
      </c>
      <c r="I1516" s="136">
        <v>15.5</v>
      </c>
      <c r="J1516" s="136">
        <v>100</v>
      </c>
      <c r="K1516" s="136">
        <v>16</v>
      </c>
      <c r="L1516" s="131">
        <v>-0.89147665089999995</v>
      </c>
      <c r="M1516" s="131">
        <v>-1.601291587</v>
      </c>
      <c r="N1516" s="131">
        <v>0.1162224043</v>
      </c>
      <c r="O1516" s="132" t="str">
        <f t="shared" si="3"/>
        <v>Normal</v>
      </c>
    </row>
    <row r="1517" spans="1:15" ht="78">
      <c r="A1517" s="167" t="s">
        <v>3861</v>
      </c>
      <c r="B1517" s="126" t="s">
        <v>37</v>
      </c>
      <c r="C1517" s="168"/>
      <c r="D1517" s="139" t="s">
        <v>1056</v>
      </c>
      <c r="E1517" s="140" t="s">
        <v>1059</v>
      </c>
      <c r="F1517" s="159" t="s">
        <v>1013</v>
      </c>
      <c r="G1517" s="136">
        <v>3</v>
      </c>
      <c r="H1517" s="142">
        <v>2</v>
      </c>
      <c r="I1517" s="146">
        <v>6.92</v>
      </c>
      <c r="J1517" s="137">
        <v>68.5</v>
      </c>
      <c r="K1517" s="136">
        <v>16</v>
      </c>
      <c r="L1517" s="131">
        <v>-3.3499935379999998E-2</v>
      </c>
      <c r="M1517" s="131">
        <v>-7.873088282E-2</v>
      </c>
      <c r="N1517" s="131">
        <v>-0.49680120449999998</v>
      </c>
      <c r="O1517" s="132" t="str">
        <f t="shared" si="3"/>
        <v>Normal</v>
      </c>
    </row>
    <row r="1518" spans="1:15" ht="78">
      <c r="A1518" s="167" t="s">
        <v>3862</v>
      </c>
      <c r="B1518" s="126" t="s">
        <v>37</v>
      </c>
      <c r="C1518" s="168"/>
      <c r="D1518" s="139" t="s">
        <v>769</v>
      </c>
      <c r="E1518" s="140" t="s">
        <v>1063</v>
      </c>
      <c r="F1518" s="159" t="s">
        <v>1013</v>
      </c>
      <c r="G1518" s="136">
        <v>1</v>
      </c>
      <c r="H1518" s="142">
        <v>2</v>
      </c>
      <c r="I1518" s="136">
        <v>15</v>
      </c>
      <c r="J1518" s="136">
        <v>103</v>
      </c>
      <c r="K1518" s="136">
        <v>18</v>
      </c>
      <c r="L1518" s="131">
        <v>-0.88798517180000003</v>
      </c>
      <c r="M1518" s="131">
        <v>-0.5485329525</v>
      </c>
      <c r="N1518" s="131">
        <v>-0.8266818668</v>
      </c>
      <c r="O1518" s="132" t="str">
        <f t="shared" si="3"/>
        <v>Normal</v>
      </c>
    </row>
    <row r="1519" spans="1:15" ht="78">
      <c r="A1519" s="167" t="s">
        <v>3863</v>
      </c>
      <c r="B1519" s="126" t="s">
        <v>48</v>
      </c>
      <c r="C1519" s="168"/>
      <c r="D1519" s="139" t="s">
        <v>1065</v>
      </c>
      <c r="E1519" s="140" t="s">
        <v>1068</v>
      </c>
      <c r="F1519" s="159" t="s">
        <v>1013</v>
      </c>
      <c r="G1519" s="136">
        <v>2</v>
      </c>
      <c r="H1519" s="142">
        <v>2</v>
      </c>
      <c r="I1519" s="136">
        <v>16.2</v>
      </c>
      <c r="J1519" s="136">
        <v>100</v>
      </c>
      <c r="K1519" s="136">
        <v>16</v>
      </c>
      <c r="L1519" s="131">
        <v>-0.40114448800000002</v>
      </c>
      <c r="M1519" s="131">
        <v>-1.319545003</v>
      </c>
      <c r="N1519" s="131">
        <v>0.67192197740000004</v>
      </c>
      <c r="O1519" s="132" t="str">
        <f t="shared" si="3"/>
        <v>Normal</v>
      </c>
    </row>
    <row r="1520" spans="1:15" ht="78">
      <c r="A1520" s="167" t="s">
        <v>3864</v>
      </c>
      <c r="B1520" s="126" t="s">
        <v>37</v>
      </c>
      <c r="C1520" s="168"/>
      <c r="D1520" s="139" t="s">
        <v>247</v>
      </c>
      <c r="E1520" s="140" t="s">
        <v>1072</v>
      </c>
      <c r="F1520" s="159" t="s">
        <v>1013</v>
      </c>
      <c r="G1520" s="136">
        <v>3</v>
      </c>
      <c r="H1520" s="142">
        <v>2</v>
      </c>
      <c r="I1520" s="136">
        <v>16</v>
      </c>
      <c r="J1520" s="136">
        <v>100</v>
      </c>
      <c r="K1520" s="136">
        <v>17</v>
      </c>
      <c r="L1520" s="131">
        <v>-0.36773832950000002</v>
      </c>
      <c r="M1520" s="131">
        <v>-1.148276517</v>
      </c>
      <c r="N1520" s="131">
        <v>0.57176172420000004</v>
      </c>
      <c r="O1520" s="132" t="str">
        <f t="shared" si="3"/>
        <v>Normal</v>
      </c>
    </row>
    <row r="1521" spans="1:15" ht="78">
      <c r="A1521" s="167" t="s">
        <v>3865</v>
      </c>
      <c r="B1521" s="126" t="s">
        <v>48</v>
      </c>
      <c r="C1521" s="168"/>
      <c r="D1521" s="139" t="s">
        <v>1074</v>
      </c>
      <c r="E1521" s="140" t="s">
        <v>1077</v>
      </c>
      <c r="F1521" s="159" t="s">
        <v>1013</v>
      </c>
      <c r="G1521" s="136">
        <v>1</v>
      </c>
      <c r="H1521" s="142">
        <v>2</v>
      </c>
      <c r="I1521" s="136">
        <v>16.5</v>
      </c>
      <c r="J1521" s="136">
        <v>104</v>
      </c>
      <c r="K1521" s="136">
        <v>18</v>
      </c>
      <c r="L1521" s="131">
        <v>-0.1075737725</v>
      </c>
      <c r="M1521" s="131">
        <v>-0.14331012430000001</v>
      </c>
      <c r="N1521" s="131">
        <v>-2.5469343379999999E-2</v>
      </c>
      <c r="O1521" s="132" t="str">
        <f t="shared" si="3"/>
        <v>Normal</v>
      </c>
    </row>
    <row r="1522" spans="1:15" ht="78">
      <c r="A1522" s="167" t="s">
        <v>3866</v>
      </c>
      <c r="B1522" s="126" t="s">
        <v>37</v>
      </c>
      <c r="C1522" s="168"/>
      <c r="D1522" s="139" t="s">
        <v>789</v>
      </c>
      <c r="E1522" s="140" t="s">
        <v>1081</v>
      </c>
      <c r="F1522" s="159" t="s">
        <v>1013</v>
      </c>
      <c r="G1522" s="136">
        <v>3</v>
      </c>
      <c r="H1522" s="142">
        <v>2</v>
      </c>
      <c r="I1522" s="146">
        <v>17.5</v>
      </c>
      <c r="J1522" s="137">
        <v>107</v>
      </c>
      <c r="K1522" s="137">
        <v>18</v>
      </c>
      <c r="L1522" s="131">
        <v>0.1367919615</v>
      </c>
      <c r="M1522" s="131">
        <v>0.16831626750000001</v>
      </c>
      <c r="N1522" s="131">
        <v>1.57586423E-2</v>
      </c>
      <c r="O1522" s="132" t="str">
        <f t="shared" si="3"/>
        <v>Normal</v>
      </c>
    </row>
    <row r="1523" spans="1:15" ht="78">
      <c r="A1523" s="167" t="s">
        <v>3867</v>
      </c>
      <c r="B1523" s="126" t="s">
        <v>48</v>
      </c>
      <c r="C1523" s="168"/>
      <c r="D1523" s="139" t="s">
        <v>1083</v>
      </c>
      <c r="E1523" s="140" t="s">
        <v>1086</v>
      </c>
      <c r="F1523" s="159" t="s">
        <v>1013</v>
      </c>
      <c r="G1523" s="136">
        <v>2</v>
      </c>
      <c r="H1523" s="142">
        <v>2</v>
      </c>
      <c r="I1523" s="136">
        <v>14</v>
      </c>
      <c r="J1523" s="136">
        <v>95</v>
      </c>
      <c r="K1523" s="136">
        <v>16</v>
      </c>
      <c r="L1523" s="131">
        <v>-1.1705098789999999</v>
      </c>
      <c r="M1523" s="131">
        <v>-1.884658655</v>
      </c>
      <c r="N1523" s="131">
        <v>-5.5043484689999998E-2</v>
      </c>
      <c r="O1523" s="132" t="str">
        <f t="shared" si="3"/>
        <v>Normal</v>
      </c>
    </row>
    <row r="1524" spans="1:15" ht="78">
      <c r="A1524" s="167" t="s">
        <v>3868</v>
      </c>
      <c r="B1524" s="126" t="s">
        <v>48</v>
      </c>
      <c r="C1524" s="168"/>
      <c r="D1524" s="139" t="s">
        <v>1088</v>
      </c>
      <c r="E1524" s="140" t="s">
        <v>1091</v>
      </c>
      <c r="F1524" s="159" t="s">
        <v>1013</v>
      </c>
      <c r="G1524" s="136">
        <v>1</v>
      </c>
      <c r="H1524" s="142">
        <v>2</v>
      </c>
      <c r="I1524" s="136">
        <v>14.3</v>
      </c>
      <c r="J1524" s="136">
        <v>102</v>
      </c>
      <c r="K1524" s="136">
        <v>16</v>
      </c>
      <c r="L1524" s="131">
        <v>-0.92490868749999999</v>
      </c>
      <c r="M1524" s="131">
        <v>-7.7758666320000003E-2</v>
      </c>
      <c r="N1524" s="131">
        <v>-1.3502431800000001</v>
      </c>
      <c r="O1524" s="132" t="str">
        <f t="shared" si="3"/>
        <v>Normal</v>
      </c>
    </row>
    <row r="1525" spans="1:15" ht="78">
      <c r="A1525" s="167" t="s">
        <v>3869</v>
      </c>
      <c r="B1525" s="126" t="s">
        <v>48</v>
      </c>
      <c r="C1525" s="168"/>
      <c r="D1525" s="139" t="s">
        <v>1093</v>
      </c>
      <c r="E1525" s="140" t="s">
        <v>1096</v>
      </c>
      <c r="F1525" s="159" t="s">
        <v>1013</v>
      </c>
      <c r="G1525" s="136">
        <v>1</v>
      </c>
      <c r="H1525" s="142">
        <v>2</v>
      </c>
      <c r="I1525" s="146">
        <v>14.6</v>
      </c>
      <c r="J1525" s="137">
        <v>97</v>
      </c>
      <c r="K1525" s="137">
        <v>17</v>
      </c>
      <c r="L1525" s="131">
        <v>-0.65102986240000005</v>
      </c>
      <c r="M1525" s="131">
        <v>-1.1199666939999999</v>
      </c>
      <c r="N1525" s="131">
        <v>3.9838374340000003E-2</v>
      </c>
      <c r="O1525" s="132" t="str">
        <f t="shared" si="3"/>
        <v>Normal</v>
      </c>
    </row>
    <row r="1526" spans="1:15" ht="78">
      <c r="A1526" s="167" t="s">
        <v>3870</v>
      </c>
      <c r="B1526" s="126" t="s">
        <v>48</v>
      </c>
      <c r="C1526" s="168"/>
      <c r="D1526" s="139" t="s">
        <v>445</v>
      </c>
      <c r="E1526" s="140" t="s">
        <v>1100</v>
      </c>
      <c r="F1526" s="159" t="s">
        <v>1013</v>
      </c>
      <c r="G1526" s="136">
        <v>3</v>
      </c>
      <c r="H1526" s="142">
        <v>2</v>
      </c>
      <c r="I1526" s="146">
        <v>13.3</v>
      </c>
      <c r="J1526" s="137">
        <v>96</v>
      </c>
      <c r="K1526" s="137">
        <v>17</v>
      </c>
      <c r="L1526" s="131">
        <v>-1.055258314</v>
      </c>
      <c r="M1526" s="131">
        <v>-0.96222559409999997</v>
      </c>
      <c r="N1526" s="131">
        <v>-0.71841067719999996</v>
      </c>
      <c r="O1526" s="132" t="str">
        <f t="shared" si="3"/>
        <v>Normal</v>
      </c>
    </row>
    <row r="1527" spans="1:15" ht="78">
      <c r="A1527" s="167" t="s">
        <v>3871</v>
      </c>
      <c r="B1527" s="126" t="s">
        <v>37</v>
      </c>
      <c r="C1527" s="168"/>
      <c r="D1527" s="139" t="s">
        <v>1102</v>
      </c>
      <c r="E1527" s="140" t="s">
        <v>1105</v>
      </c>
      <c r="F1527" s="159" t="s">
        <v>1013</v>
      </c>
      <c r="G1527" s="136">
        <v>2</v>
      </c>
      <c r="H1527" s="142">
        <v>2</v>
      </c>
      <c r="I1527" s="146">
        <v>13.6</v>
      </c>
      <c r="J1527" s="137">
        <v>96</v>
      </c>
      <c r="K1527" s="137">
        <v>17</v>
      </c>
      <c r="L1527" s="131">
        <v>-0.81894219000000001</v>
      </c>
      <c r="M1527" s="131">
        <v>-0.85820479390000004</v>
      </c>
      <c r="N1527" s="131">
        <v>-0.4585382858</v>
      </c>
      <c r="O1527" s="132" t="str">
        <f t="shared" si="3"/>
        <v>Normal</v>
      </c>
    </row>
    <row r="1528" spans="1:15" ht="78">
      <c r="A1528" s="167" t="s">
        <v>3872</v>
      </c>
      <c r="B1528" s="126" t="s">
        <v>37</v>
      </c>
      <c r="C1528" s="168"/>
      <c r="D1528" s="139" t="s">
        <v>1107</v>
      </c>
      <c r="E1528" s="140" t="s">
        <v>1110</v>
      </c>
      <c r="F1528" s="159" t="s">
        <v>1013</v>
      </c>
      <c r="G1528" s="136">
        <v>2</v>
      </c>
      <c r="H1528" s="142">
        <v>2</v>
      </c>
      <c r="I1528" s="146">
        <v>14.7</v>
      </c>
      <c r="J1528" s="137">
        <v>99</v>
      </c>
      <c r="K1528" s="137">
        <v>18</v>
      </c>
      <c r="L1528" s="131">
        <v>-9.1352923589999996E-2</v>
      </c>
      <c r="M1528" s="131">
        <v>7.4932712740000004E-2</v>
      </c>
      <c r="N1528" s="131">
        <v>-0.18947412559999999</v>
      </c>
      <c r="O1528" s="132" t="str">
        <f t="shared" si="3"/>
        <v>Normal</v>
      </c>
    </row>
    <row r="1529" spans="1:15" ht="78">
      <c r="A1529" s="167" t="s">
        <v>3873</v>
      </c>
      <c r="B1529" s="126" t="s">
        <v>37</v>
      </c>
      <c r="C1529" s="168"/>
      <c r="D1529" s="139" t="s">
        <v>1112</v>
      </c>
      <c r="E1529" s="140" t="s">
        <v>1115</v>
      </c>
      <c r="F1529" s="159" t="s">
        <v>1013</v>
      </c>
      <c r="G1529" s="136">
        <v>2</v>
      </c>
      <c r="H1529" s="142">
        <v>2</v>
      </c>
      <c r="I1529" s="146">
        <v>14.7</v>
      </c>
      <c r="J1529" s="137">
        <v>98</v>
      </c>
      <c r="K1529" s="137">
        <v>17</v>
      </c>
      <c r="L1529" s="131">
        <v>-3.3499935379999998E-2</v>
      </c>
      <c r="M1529" s="131">
        <v>-7.873088282E-2</v>
      </c>
      <c r="N1529" s="131">
        <v>2.2854894600000002E-2</v>
      </c>
      <c r="O1529" s="132" t="str">
        <f t="shared" si="3"/>
        <v>Normal</v>
      </c>
    </row>
    <row r="1530" spans="1:15" ht="78">
      <c r="A1530" s="167" t="s">
        <v>3874</v>
      </c>
      <c r="B1530" s="126" t="s">
        <v>37</v>
      </c>
      <c r="C1530" s="168"/>
      <c r="D1530" s="139" t="s">
        <v>1117</v>
      </c>
      <c r="E1530" s="140" t="s">
        <v>1120</v>
      </c>
      <c r="F1530" s="159" t="s">
        <v>1013</v>
      </c>
      <c r="G1530" s="136">
        <v>1</v>
      </c>
      <c r="H1530" s="142">
        <v>2</v>
      </c>
      <c r="I1530" s="146">
        <v>11.7</v>
      </c>
      <c r="J1530" s="137">
        <v>96</v>
      </c>
      <c r="K1530" s="137">
        <v>16</v>
      </c>
      <c r="L1530" s="131">
        <v>-1.7185952390000001</v>
      </c>
      <c r="M1530" s="131">
        <v>-0.35635530700000001</v>
      </c>
      <c r="N1530" s="131">
        <v>-2.216025267</v>
      </c>
      <c r="O1530" s="132" t="str">
        <f t="shared" si="3"/>
        <v>Normal</v>
      </c>
    </row>
    <row r="1531" spans="1:15" ht="78">
      <c r="A1531" s="167" t="s">
        <v>3875</v>
      </c>
      <c r="B1531" s="126" t="s">
        <v>37</v>
      </c>
      <c r="C1531" s="168"/>
      <c r="D1531" s="139" t="s">
        <v>1122</v>
      </c>
      <c r="E1531" s="140" t="s">
        <v>1125</v>
      </c>
      <c r="F1531" s="159" t="s">
        <v>1013</v>
      </c>
      <c r="G1531" s="136">
        <v>2</v>
      </c>
      <c r="H1531" s="142">
        <v>2</v>
      </c>
      <c r="I1531" s="146">
        <v>11.2</v>
      </c>
      <c r="J1531" s="137">
        <v>94</v>
      </c>
      <c r="K1531" s="137">
        <v>16</v>
      </c>
      <c r="L1531" s="131">
        <v>-2.0292517999999999</v>
      </c>
      <c r="M1531" s="131">
        <v>-0.78896071440000004</v>
      </c>
      <c r="N1531" s="131">
        <v>-2.3052158299999999</v>
      </c>
      <c r="O1531" s="132" t="str">
        <f t="shared" si="3"/>
        <v>Gz.Krg</v>
      </c>
    </row>
    <row r="1532" spans="1:15" ht="78">
      <c r="A1532" s="167" t="s">
        <v>3876</v>
      </c>
      <c r="B1532" s="126" t="s">
        <v>37</v>
      </c>
      <c r="C1532" s="168"/>
      <c r="D1532" s="139" t="s">
        <v>1127</v>
      </c>
      <c r="E1532" s="140" t="s">
        <v>1130</v>
      </c>
      <c r="F1532" s="159" t="s">
        <v>1013</v>
      </c>
      <c r="G1532" s="136">
        <v>3</v>
      </c>
      <c r="H1532" s="142">
        <v>2</v>
      </c>
      <c r="I1532" s="146">
        <v>12</v>
      </c>
      <c r="J1532" s="137">
        <v>93</v>
      </c>
      <c r="K1532" s="137">
        <v>16</v>
      </c>
      <c r="L1532" s="131">
        <v>-1.4114402239999999</v>
      </c>
      <c r="M1532" s="131">
        <v>-0.94270517399999998</v>
      </c>
      <c r="N1532" s="131">
        <v>-1.281237489</v>
      </c>
      <c r="O1532" s="132" t="str">
        <f t="shared" si="3"/>
        <v>Normal</v>
      </c>
    </row>
    <row r="1533" spans="1:15" ht="78">
      <c r="A1533" s="167" t="s">
        <v>3877</v>
      </c>
      <c r="B1533" s="126" t="s">
        <v>48</v>
      </c>
      <c r="C1533" s="168"/>
      <c r="D1533" s="139" t="s">
        <v>1132</v>
      </c>
      <c r="E1533" s="140" t="s">
        <v>1135</v>
      </c>
      <c r="F1533" s="159" t="s">
        <v>1013</v>
      </c>
      <c r="G1533" s="136">
        <v>2</v>
      </c>
      <c r="H1533" s="142">
        <v>2</v>
      </c>
      <c r="I1533" s="146">
        <v>14</v>
      </c>
      <c r="J1533" s="137">
        <v>93</v>
      </c>
      <c r="K1533" s="137">
        <v>16</v>
      </c>
      <c r="L1533" s="131">
        <v>-0.25925712270000001</v>
      </c>
      <c r="M1533" s="131">
        <v>-0.92968948439999999</v>
      </c>
      <c r="N1533" s="131">
        <v>0.38567134850000001</v>
      </c>
      <c r="O1533" s="132" t="str">
        <f t="shared" si="3"/>
        <v>Normal</v>
      </c>
    </row>
    <row r="1534" spans="1:15" ht="78">
      <c r="A1534" s="167" t="s">
        <v>3878</v>
      </c>
      <c r="B1534" s="126" t="s">
        <v>37</v>
      </c>
      <c r="C1534" s="168"/>
      <c r="D1534" s="139" t="s">
        <v>1137</v>
      </c>
      <c r="E1534" s="140" t="s">
        <v>1140</v>
      </c>
      <c r="F1534" s="159" t="s">
        <v>1013</v>
      </c>
      <c r="G1534" s="136">
        <v>3</v>
      </c>
      <c r="H1534" s="142">
        <v>2</v>
      </c>
      <c r="I1534" s="146">
        <v>13.7</v>
      </c>
      <c r="J1534" s="137">
        <v>91</v>
      </c>
      <c r="K1534" s="137">
        <v>16</v>
      </c>
      <c r="L1534" s="131">
        <v>-0.1223510392</v>
      </c>
      <c r="M1534" s="131">
        <v>-1.1145523450000001</v>
      </c>
      <c r="N1534" s="131">
        <v>0.7084336711</v>
      </c>
      <c r="O1534" s="132" t="str">
        <f t="shared" si="3"/>
        <v>Normal</v>
      </c>
    </row>
    <row r="1535" spans="1:15" ht="78">
      <c r="A1535" s="167" t="s">
        <v>3879</v>
      </c>
      <c r="B1535" s="126" t="s">
        <v>48</v>
      </c>
      <c r="C1535" s="168"/>
      <c r="D1535" s="139" t="s">
        <v>1142</v>
      </c>
      <c r="E1535" s="140" t="s">
        <v>1145</v>
      </c>
      <c r="F1535" s="159" t="s">
        <v>1013</v>
      </c>
      <c r="G1535" s="136">
        <v>1</v>
      </c>
      <c r="H1535" s="142">
        <v>2</v>
      </c>
      <c r="I1535" s="146">
        <v>15.7</v>
      </c>
      <c r="J1535" s="137">
        <v>95</v>
      </c>
      <c r="K1535" s="137">
        <v>17</v>
      </c>
      <c r="L1535" s="131">
        <v>0.81848189090000001</v>
      </c>
      <c r="M1535" s="131">
        <v>-0.183523148</v>
      </c>
      <c r="N1535" s="131">
        <v>1.4171533460000001</v>
      </c>
      <c r="O1535" s="132" t="str">
        <f t="shared" si="3"/>
        <v>Normal</v>
      </c>
    </row>
    <row r="1536" spans="1:15" ht="78">
      <c r="A1536" s="167" t="s">
        <v>3880</v>
      </c>
      <c r="B1536" s="126" t="s">
        <v>37</v>
      </c>
      <c r="C1536" s="168"/>
      <c r="D1536" s="139" t="s">
        <v>1147</v>
      </c>
      <c r="E1536" s="140" t="s">
        <v>1150</v>
      </c>
      <c r="F1536" s="159" t="s">
        <v>1013</v>
      </c>
      <c r="G1536" s="136">
        <v>3</v>
      </c>
      <c r="H1536" s="142">
        <v>2</v>
      </c>
      <c r="I1536" s="146">
        <v>10.1</v>
      </c>
      <c r="J1536" s="137">
        <v>89</v>
      </c>
      <c r="K1536" s="137">
        <v>14</v>
      </c>
      <c r="L1536" s="131">
        <v>-2.4838347039999999</v>
      </c>
      <c r="M1536" s="131">
        <v>-1.397766262</v>
      </c>
      <c r="N1536" s="131">
        <v>-2.4151965720000002</v>
      </c>
      <c r="O1536" s="132" t="str">
        <f t="shared" si="3"/>
        <v>Gz.Krg</v>
      </c>
    </row>
    <row r="1537" spans="1:15" ht="78">
      <c r="A1537" s="167" t="s">
        <v>3881</v>
      </c>
      <c r="B1537" s="126" t="s">
        <v>37</v>
      </c>
      <c r="C1537" s="168"/>
      <c r="D1537" s="147" t="s">
        <v>1152</v>
      </c>
      <c r="E1537" s="140" t="s">
        <v>1154</v>
      </c>
      <c r="F1537" s="159" t="s">
        <v>1013</v>
      </c>
      <c r="G1537" s="136">
        <v>2</v>
      </c>
      <c r="H1537" s="142">
        <v>2</v>
      </c>
      <c r="I1537" s="144">
        <v>14.4</v>
      </c>
      <c r="J1537" s="135">
        <v>95</v>
      </c>
      <c r="K1537" s="135">
        <v>16</v>
      </c>
      <c r="L1537" s="131">
        <v>0.47225187029999999</v>
      </c>
      <c r="M1537" s="131">
        <v>0.2434503908</v>
      </c>
      <c r="N1537" s="131">
        <v>0.418805292</v>
      </c>
      <c r="O1537" s="132" t="str">
        <f t="shared" si="3"/>
        <v>Normal</v>
      </c>
    </row>
    <row r="1538" spans="1:15" ht="78">
      <c r="A1538" s="167" t="s">
        <v>3882</v>
      </c>
      <c r="B1538" s="126" t="s">
        <v>37</v>
      </c>
      <c r="C1538" s="168"/>
      <c r="D1538" s="147" t="s">
        <v>1156</v>
      </c>
      <c r="E1538" s="140" t="s">
        <v>1159</v>
      </c>
      <c r="F1538" s="159" t="s">
        <v>1013</v>
      </c>
      <c r="G1538" s="136">
        <v>1</v>
      </c>
      <c r="H1538" s="142">
        <v>2</v>
      </c>
      <c r="I1538" s="136">
        <v>12.1</v>
      </c>
      <c r="J1538" s="136">
        <v>91</v>
      </c>
      <c r="K1538" s="136">
        <v>14</v>
      </c>
      <c r="L1538" s="131">
        <v>-0.92736489649999998</v>
      </c>
      <c r="M1538" s="131">
        <v>-0.78866532840000003</v>
      </c>
      <c r="N1538" s="131">
        <v>-0.74416770379999997</v>
      </c>
      <c r="O1538" s="132" t="str">
        <f t="shared" si="3"/>
        <v>Normal</v>
      </c>
    </row>
    <row r="1539" spans="1:15" ht="78">
      <c r="A1539" s="167" t="s">
        <v>3883</v>
      </c>
      <c r="B1539" s="126" t="s">
        <v>37</v>
      </c>
      <c r="C1539" s="168"/>
      <c r="D1539" s="147" t="s">
        <v>1161</v>
      </c>
      <c r="E1539" s="140" t="s">
        <v>1164</v>
      </c>
      <c r="F1539" s="159" t="s">
        <v>1013</v>
      </c>
      <c r="G1539" s="136">
        <v>1</v>
      </c>
      <c r="H1539" s="142">
        <v>2</v>
      </c>
      <c r="I1539" s="136">
        <v>12.8</v>
      </c>
      <c r="J1539" s="136">
        <v>91</v>
      </c>
      <c r="K1539" s="136">
        <v>16</v>
      </c>
      <c r="L1539" s="131">
        <v>-0.2442103192</v>
      </c>
      <c r="M1539" s="131">
        <v>-0.42472051119999998</v>
      </c>
      <c r="N1539" s="131">
        <v>-8.5499232169999995E-2</v>
      </c>
      <c r="O1539" s="132" t="str">
        <f t="shared" si="3"/>
        <v>Normal</v>
      </c>
    </row>
    <row r="1540" spans="1:15" ht="78">
      <c r="A1540" s="167" t="s">
        <v>3884</v>
      </c>
      <c r="B1540" s="126" t="s">
        <v>37</v>
      </c>
      <c r="C1540" s="168"/>
      <c r="D1540" s="147" t="s">
        <v>1166</v>
      </c>
      <c r="E1540" s="140" t="s">
        <v>1169</v>
      </c>
      <c r="F1540" s="159" t="s">
        <v>1013</v>
      </c>
      <c r="G1540" s="136">
        <v>2</v>
      </c>
      <c r="H1540" s="142">
        <v>2</v>
      </c>
      <c r="I1540" s="144">
        <v>9.6999999999999993</v>
      </c>
      <c r="J1540" s="135">
        <v>84</v>
      </c>
      <c r="K1540" s="135">
        <v>16</v>
      </c>
      <c r="L1540" s="131">
        <v>-1.864453447</v>
      </c>
      <c r="M1540" s="131">
        <v>-1.3546885710000001</v>
      </c>
      <c r="N1540" s="131">
        <v>-1.6335703049999999</v>
      </c>
      <c r="O1540" s="132" t="str">
        <f t="shared" si="3"/>
        <v>Normal</v>
      </c>
    </row>
    <row r="1541" spans="1:15" ht="78">
      <c r="A1541" s="167" t="s">
        <v>3885</v>
      </c>
      <c r="B1541" s="126" t="s">
        <v>37</v>
      </c>
      <c r="C1541" s="168"/>
      <c r="D1541" s="147" t="s">
        <v>1171</v>
      </c>
      <c r="E1541" s="140" t="s">
        <v>1174</v>
      </c>
      <c r="F1541" s="159" t="s">
        <v>1013</v>
      </c>
      <c r="G1541" s="136">
        <v>3</v>
      </c>
      <c r="H1541" s="142">
        <v>2</v>
      </c>
      <c r="I1541" s="146">
        <v>12.2</v>
      </c>
      <c r="J1541" s="137">
        <v>85</v>
      </c>
      <c r="K1541" s="137">
        <v>16</v>
      </c>
      <c r="L1541" s="131">
        <v>0.1133375495</v>
      </c>
      <c r="M1541" s="131">
        <v>-0.89475396429999998</v>
      </c>
      <c r="N1541" s="131">
        <v>0.80178545290000003</v>
      </c>
      <c r="O1541" s="132" t="str">
        <f t="shared" si="3"/>
        <v>Normal</v>
      </c>
    </row>
    <row r="1542" spans="1:15" ht="78">
      <c r="A1542" s="167" t="s">
        <v>3886</v>
      </c>
      <c r="B1542" s="126" t="s">
        <v>37</v>
      </c>
      <c r="C1542" s="168"/>
      <c r="D1542" s="147" t="s">
        <v>1176</v>
      </c>
      <c r="E1542" s="140" t="s">
        <v>1179</v>
      </c>
      <c r="F1542" s="159" t="s">
        <v>1013</v>
      </c>
      <c r="G1542" s="136">
        <v>2</v>
      </c>
      <c r="H1542" s="142">
        <v>2</v>
      </c>
      <c r="I1542" s="146">
        <v>10.199999999999999</v>
      </c>
      <c r="J1542" s="137">
        <v>84.5</v>
      </c>
      <c r="K1542" s="137">
        <v>16</v>
      </c>
      <c r="L1542" s="131">
        <v>-1.302171757</v>
      </c>
      <c r="M1542" s="131">
        <v>-0.92032372510000005</v>
      </c>
      <c r="N1542" s="131">
        <v>-1.171465129</v>
      </c>
      <c r="O1542" s="132" t="str">
        <f t="shared" si="3"/>
        <v>Normal</v>
      </c>
    </row>
    <row r="1543" spans="1:15" ht="78">
      <c r="A1543" s="167" t="s">
        <v>3887</v>
      </c>
      <c r="B1543" s="126" t="s">
        <v>48</v>
      </c>
      <c r="C1543" s="168"/>
      <c r="D1543" s="147" t="s">
        <v>1181</v>
      </c>
      <c r="E1543" s="140" t="s">
        <v>1184</v>
      </c>
      <c r="F1543" s="159" t="s">
        <v>1013</v>
      </c>
      <c r="G1543" s="136">
        <v>3</v>
      </c>
      <c r="H1543" s="142">
        <v>2</v>
      </c>
      <c r="I1543" s="146">
        <v>14.1</v>
      </c>
      <c r="J1543" s="137">
        <v>87</v>
      </c>
      <c r="K1543" s="137">
        <v>18</v>
      </c>
      <c r="L1543" s="131">
        <v>1.5627567769999999</v>
      </c>
      <c r="M1543" s="131">
        <v>0.23065254139999999</v>
      </c>
      <c r="N1543" s="131">
        <v>2.0653123280000001</v>
      </c>
      <c r="O1543" s="132" t="str">
        <f t="shared" si="3"/>
        <v>R.Gz.Lbh</v>
      </c>
    </row>
    <row r="1544" spans="1:15" ht="78">
      <c r="A1544" s="167" t="s">
        <v>3888</v>
      </c>
      <c r="B1544" s="126" t="s">
        <v>37</v>
      </c>
      <c r="C1544" s="168"/>
      <c r="D1544" s="147" t="s">
        <v>1186</v>
      </c>
      <c r="E1544" s="140" t="s">
        <v>1189</v>
      </c>
      <c r="F1544" s="159" t="s">
        <v>1013</v>
      </c>
      <c r="G1544" s="136">
        <v>1</v>
      </c>
      <c r="H1544" s="142">
        <v>2</v>
      </c>
      <c r="I1544" s="146">
        <v>9.5</v>
      </c>
      <c r="J1544" s="137">
        <v>82</v>
      </c>
      <c r="K1544" s="137">
        <v>14</v>
      </c>
      <c r="L1544" s="131">
        <v>-1.101998992</v>
      </c>
      <c r="M1544" s="131">
        <v>-0.51056944959999995</v>
      </c>
      <c r="N1544" s="131">
        <v>-1.1884593569999999</v>
      </c>
      <c r="O1544" s="132" t="str">
        <f t="shared" si="3"/>
        <v>Normal</v>
      </c>
    </row>
    <row r="1545" spans="1:15" ht="78">
      <c r="A1545" s="167" t="s">
        <v>3889</v>
      </c>
      <c r="B1545" s="126" t="s">
        <v>48</v>
      </c>
      <c r="C1545" s="168"/>
      <c r="D1545" s="147" t="s">
        <v>1191</v>
      </c>
      <c r="E1545" s="158" t="s">
        <v>1194</v>
      </c>
      <c r="F1545" s="159" t="s">
        <v>1013</v>
      </c>
      <c r="G1545" s="136">
        <v>3</v>
      </c>
      <c r="H1545" s="142">
        <v>2</v>
      </c>
      <c r="I1545" s="146">
        <v>12.8</v>
      </c>
      <c r="J1545" s="137">
        <v>90</v>
      </c>
      <c r="K1545" s="137">
        <v>16</v>
      </c>
      <c r="L1545" s="131">
        <v>0.98253139860000005</v>
      </c>
      <c r="M1545" s="131">
        <v>1.8524266060000001</v>
      </c>
      <c r="N1545" s="131">
        <v>7.9976572400000001E-2</v>
      </c>
      <c r="O1545" s="132" t="str">
        <f t="shared" si="3"/>
        <v>Normal</v>
      </c>
    </row>
    <row r="1546" spans="1:15" ht="78">
      <c r="A1546" s="167" t="s">
        <v>3890</v>
      </c>
      <c r="B1546" s="126" t="s">
        <v>37</v>
      </c>
      <c r="C1546" s="168"/>
      <c r="D1546" s="147" t="s">
        <v>354</v>
      </c>
      <c r="E1546" s="140" t="s">
        <v>1100</v>
      </c>
      <c r="F1546" s="159" t="s">
        <v>1013</v>
      </c>
      <c r="G1546" s="136">
        <v>3</v>
      </c>
      <c r="H1546" s="142">
        <v>2</v>
      </c>
      <c r="I1546" s="146">
        <v>9</v>
      </c>
      <c r="J1546" s="137">
        <v>84</v>
      </c>
      <c r="K1546" s="137">
        <v>15</v>
      </c>
      <c r="L1546" s="131">
        <v>-1.086014526</v>
      </c>
      <c r="M1546" s="131">
        <v>1.072682849</v>
      </c>
      <c r="N1546" s="131">
        <v>-2.3392924179999999</v>
      </c>
      <c r="O1546" s="132" t="str">
        <f t="shared" ref="O1546:O1609" si="4">IF(D1546&gt;0,IF(E1546&gt;0,IF(L1546&lt;-3,"Gz.Brk",IF(L1546&lt;-2,"Gz.Krg",IF(L1546&lt;=1,"Normal",IF(L1546&lt;=2,"R.Gz.Lbh",IF(L1546&lt;=3,"Gz.Lbh","Obesitas")))))," "),"")</f>
        <v>Normal</v>
      </c>
    </row>
    <row r="1547" spans="1:15" ht="78">
      <c r="A1547" s="167" t="s">
        <v>3891</v>
      </c>
      <c r="B1547" s="126" t="s">
        <v>48</v>
      </c>
      <c r="C1547" s="168"/>
      <c r="D1547" s="147" t="s">
        <v>1198</v>
      </c>
      <c r="E1547" s="140" t="s">
        <v>1200</v>
      </c>
      <c r="F1547" s="159" t="s">
        <v>1013</v>
      </c>
      <c r="G1547" s="136">
        <v>2</v>
      </c>
      <c r="H1547" s="142">
        <v>2</v>
      </c>
      <c r="I1547" s="146">
        <v>11.7</v>
      </c>
      <c r="J1547" s="137">
        <v>88</v>
      </c>
      <c r="K1547" s="137">
        <v>15</v>
      </c>
      <c r="L1547" s="131">
        <v>0.80604420259999998</v>
      </c>
      <c r="M1547" s="131">
        <v>2.623369689</v>
      </c>
      <c r="N1547" s="131">
        <v>-0.57852175299999997</v>
      </c>
      <c r="O1547" s="132" t="str">
        <f t="shared" si="4"/>
        <v>Normal</v>
      </c>
    </row>
    <row r="1548" spans="1:15" ht="78">
      <c r="A1548" s="167" t="s">
        <v>3892</v>
      </c>
      <c r="B1548" s="126" t="s">
        <v>48</v>
      </c>
      <c r="C1548" s="168"/>
      <c r="D1548" s="147" t="s">
        <v>1202</v>
      </c>
      <c r="E1548" s="140" t="s">
        <v>1205</v>
      </c>
      <c r="F1548" s="159" t="s">
        <v>1013</v>
      </c>
      <c r="G1548" s="136">
        <v>1</v>
      </c>
      <c r="H1548" s="142">
        <v>2</v>
      </c>
      <c r="I1548" s="146">
        <v>10.5</v>
      </c>
      <c r="J1548" s="137">
        <v>78</v>
      </c>
      <c r="K1548" s="137">
        <v>16</v>
      </c>
      <c r="L1548" s="131">
        <v>9.4879313189999995E-2</v>
      </c>
      <c r="M1548" s="131">
        <v>-0.60419261619999998</v>
      </c>
      <c r="N1548" s="131">
        <v>0.50561738140000001</v>
      </c>
      <c r="O1548" s="132" t="str">
        <f t="shared" si="4"/>
        <v>Normal</v>
      </c>
    </row>
    <row r="1549" spans="1:15" ht="78">
      <c r="A1549" s="167" t="s">
        <v>3893</v>
      </c>
      <c r="B1549" s="126" t="s">
        <v>48</v>
      </c>
      <c r="C1549" s="168"/>
      <c r="D1549" s="147" t="s">
        <v>1207</v>
      </c>
      <c r="E1549" s="140" t="s">
        <v>1210</v>
      </c>
      <c r="F1549" s="159" t="s">
        <v>1013</v>
      </c>
      <c r="G1549" s="136">
        <v>3</v>
      </c>
      <c r="H1549" s="142">
        <v>2</v>
      </c>
      <c r="I1549" s="146">
        <v>9.5</v>
      </c>
      <c r="J1549" s="137">
        <v>76</v>
      </c>
      <c r="K1549" s="137">
        <v>15</v>
      </c>
      <c r="L1549" s="131">
        <v>-0.74041959859999995</v>
      </c>
      <c r="M1549" s="131">
        <v>-0.83337105850000004</v>
      </c>
      <c r="N1549" s="131">
        <v>-0.26477662959999998</v>
      </c>
      <c r="O1549" s="132" t="str">
        <f t="shared" si="4"/>
        <v>Normal</v>
      </c>
    </row>
    <row r="1550" spans="1:15" ht="78">
      <c r="A1550" s="167" t="s">
        <v>3894</v>
      </c>
      <c r="B1550" s="126" t="s">
        <v>37</v>
      </c>
      <c r="C1550" s="168"/>
      <c r="D1550" s="147" t="s">
        <v>1212</v>
      </c>
      <c r="E1550" s="140" t="s">
        <v>1215</v>
      </c>
      <c r="F1550" s="159" t="s">
        <v>1013</v>
      </c>
      <c r="G1550" s="136">
        <v>3</v>
      </c>
      <c r="H1550" s="142">
        <v>2</v>
      </c>
      <c r="I1550" s="146">
        <v>7.5</v>
      </c>
      <c r="J1550" s="137">
        <v>72</v>
      </c>
      <c r="K1550" s="137">
        <v>15</v>
      </c>
      <c r="L1550" s="131">
        <v>-1.592062138</v>
      </c>
      <c r="M1550" s="131">
        <v>-1.054239215</v>
      </c>
      <c r="N1550" s="131">
        <v>-1.541106691</v>
      </c>
      <c r="O1550" s="132" t="str">
        <f t="shared" si="4"/>
        <v>Normal</v>
      </c>
    </row>
    <row r="1551" spans="1:15" ht="78">
      <c r="A1551" s="167" t="s">
        <v>3895</v>
      </c>
      <c r="B1551" s="126" t="s">
        <v>37</v>
      </c>
      <c r="C1551" s="168"/>
      <c r="D1551" s="147" t="s">
        <v>1217</v>
      </c>
      <c r="E1551" s="140" t="s">
        <v>1219</v>
      </c>
      <c r="F1551" s="159" t="s">
        <v>1013</v>
      </c>
      <c r="G1551" s="136">
        <v>1</v>
      </c>
      <c r="H1551" s="142">
        <v>2</v>
      </c>
      <c r="I1551" s="146">
        <v>12.8</v>
      </c>
      <c r="J1551" s="137">
        <v>90</v>
      </c>
      <c r="K1551" s="137"/>
      <c r="L1551" s="131">
        <v>-1.182390359</v>
      </c>
      <c r="M1551" s="131">
        <v>-0.74111765080000003</v>
      </c>
      <c r="N1551" s="131">
        <v>-1.1208137760000001</v>
      </c>
      <c r="O1551" s="132" t="str">
        <f t="shared" si="4"/>
        <v>Normal</v>
      </c>
    </row>
    <row r="1552" spans="1:15" ht="78">
      <c r="A1552" s="167" t="s">
        <v>3896</v>
      </c>
      <c r="B1552" s="126" t="s">
        <v>37</v>
      </c>
      <c r="C1552" s="168"/>
      <c r="D1552" s="147" t="s">
        <v>1221</v>
      </c>
      <c r="E1552" s="140" t="s">
        <v>1135</v>
      </c>
      <c r="F1552" s="159" t="s">
        <v>1013</v>
      </c>
      <c r="G1552" s="136">
        <v>2</v>
      </c>
      <c r="H1552" s="142">
        <v>2</v>
      </c>
      <c r="I1552" s="146">
        <v>8</v>
      </c>
      <c r="J1552" s="137">
        <v>72</v>
      </c>
      <c r="K1552" s="137">
        <v>15</v>
      </c>
      <c r="L1552" s="131">
        <v>-1.903826013</v>
      </c>
      <c r="M1552" s="131">
        <v>-2.4419863730000002</v>
      </c>
      <c r="N1552" s="131">
        <v>-0.5415732942</v>
      </c>
      <c r="O1552" s="132" t="str">
        <f t="shared" si="4"/>
        <v>Normal</v>
      </c>
    </row>
    <row r="1553" spans="1:15" ht="78">
      <c r="A1553" s="167" t="s">
        <v>3897</v>
      </c>
      <c r="B1553" s="126" t="s">
        <v>37</v>
      </c>
      <c r="C1553" s="168"/>
      <c r="D1553" s="147" t="s">
        <v>1225</v>
      </c>
      <c r="E1553" s="140" t="s">
        <v>1227</v>
      </c>
      <c r="F1553" s="159" t="s">
        <v>1013</v>
      </c>
      <c r="G1553" s="136">
        <v>2</v>
      </c>
      <c r="H1553" s="142">
        <v>2</v>
      </c>
      <c r="I1553" s="146">
        <v>12.8</v>
      </c>
      <c r="J1553" s="137">
        <v>90</v>
      </c>
      <c r="K1553" s="137"/>
      <c r="L1553" s="131">
        <v>1.571784471E-3</v>
      </c>
      <c r="M1553" s="131">
        <v>-0.24446635629999999</v>
      </c>
      <c r="N1553" s="131">
        <v>0.2068849418</v>
      </c>
      <c r="O1553" s="132" t="str">
        <f t="shared" si="4"/>
        <v>Normal</v>
      </c>
    </row>
    <row r="1554" spans="1:15" ht="78">
      <c r="A1554" s="167" t="s">
        <v>3898</v>
      </c>
      <c r="B1554" s="126" t="s">
        <v>48</v>
      </c>
      <c r="C1554" s="168"/>
      <c r="D1554" s="147" t="s">
        <v>1229</v>
      </c>
      <c r="E1554" s="140" t="s">
        <v>1232</v>
      </c>
      <c r="F1554" s="159" t="s">
        <v>1013</v>
      </c>
      <c r="G1554" s="136">
        <v>1</v>
      </c>
      <c r="H1554" s="142">
        <v>2</v>
      </c>
      <c r="I1554" s="146">
        <v>7.7</v>
      </c>
      <c r="J1554" s="137">
        <v>69</v>
      </c>
      <c r="K1554" s="137">
        <v>16</v>
      </c>
      <c r="L1554" s="131">
        <v>-0.1745880897</v>
      </c>
      <c r="M1554" s="131">
        <v>9.8152294809999999E-2</v>
      </c>
      <c r="N1554" s="131">
        <v>-0.44396097140000002</v>
      </c>
      <c r="O1554" s="132" t="str">
        <f t="shared" si="4"/>
        <v>Normal</v>
      </c>
    </row>
    <row r="1555" spans="1:15" ht="78">
      <c r="A1555" s="167" t="s">
        <v>3899</v>
      </c>
      <c r="B1555" s="126" t="s">
        <v>37</v>
      </c>
      <c r="C1555" s="168"/>
      <c r="D1555" s="139" t="s">
        <v>1234</v>
      </c>
      <c r="E1555" s="140" t="s">
        <v>1237</v>
      </c>
      <c r="F1555" s="178" t="s">
        <v>1239</v>
      </c>
      <c r="G1555" s="136">
        <v>3</v>
      </c>
      <c r="H1555" s="136">
        <v>8</v>
      </c>
      <c r="I1555" s="136">
        <v>17.899999999999999</v>
      </c>
      <c r="J1555" s="136">
        <v>102.5</v>
      </c>
      <c r="K1555" s="136">
        <v>17.8</v>
      </c>
      <c r="L1555" s="131">
        <v>2.550320986</v>
      </c>
      <c r="M1555" s="131">
        <v>-0.49216492820000002</v>
      </c>
      <c r="N1555" s="131">
        <v>4.566085341</v>
      </c>
      <c r="O1555" s="132" t="str">
        <f t="shared" si="4"/>
        <v>Gz.Lbh</v>
      </c>
    </row>
    <row r="1556" spans="1:15" ht="78">
      <c r="A1556" s="167" t="s">
        <v>3900</v>
      </c>
      <c r="B1556" s="126" t="s">
        <v>37</v>
      </c>
      <c r="C1556" s="168"/>
      <c r="D1556" s="139" t="s">
        <v>1241</v>
      </c>
      <c r="E1556" s="140" t="s">
        <v>1244</v>
      </c>
      <c r="F1556" s="178" t="s">
        <v>1239</v>
      </c>
      <c r="G1556" s="141">
        <v>2</v>
      </c>
      <c r="H1556" s="141">
        <v>8</v>
      </c>
      <c r="I1556" s="136">
        <v>16.399999999999999</v>
      </c>
      <c r="J1556" s="136">
        <v>99</v>
      </c>
      <c r="K1556" s="136">
        <v>17.2</v>
      </c>
      <c r="L1556" s="131">
        <v>0.23532291</v>
      </c>
      <c r="M1556" s="131">
        <v>-0.25634206900000001</v>
      </c>
      <c r="N1556" s="131">
        <v>0.57688403730000004</v>
      </c>
      <c r="O1556" s="132" t="str">
        <f t="shared" si="4"/>
        <v>Normal</v>
      </c>
    </row>
    <row r="1557" spans="1:15" ht="78">
      <c r="A1557" s="167" t="s">
        <v>3901</v>
      </c>
      <c r="B1557" s="126" t="s">
        <v>48</v>
      </c>
      <c r="C1557" s="168"/>
      <c r="D1557" s="139" t="s">
        <v>1246</v>
      </c>
      <c r="E1557" s="143" t="s">
        <v>1249</v>
      </c>
      <c r="F1557" s="178" t="s">
        <v>1239</v>
      </c>
      <c r="G1557" s="141">
        <v>3</v>
      </c>
      <c r="H1557" s="141">
        <v>8</v>
      </c>
      <c r="I1557" s="136">
        <v>17.95</v>
      </c>
      <c r="J1557" s="136">
        <v>104.9</v>
      </c>
      <c r="K1557" s="136">
        <v>18.399999999999999</v>
      </c>
      <c r="L1557" s="131">
        <v>-9.2643335069999999E-2</v>
      </c>
      <c r="M1557" s="131">
        <v>-0.46719268139999998</v>
      </c>
      <c r="N1557" s="131">
        <v>0.31133046850000001</v>
      </c>
      <c r="O1557" s="132" t="str">
        <f t="shared" si="4"/>
        <v>Normal</v>
      </c>
    </row>
    <row r="1558" spans="1:15" ht="78">
      <c r="A1558" s="167" t="s">
        <v>3902</v>
      </c>
      <c r="B1558" s="126" t="s">
        <v>37</v>
      </c>
      <c r="C1558" s="168"/>
      <c r="D1558" s="139" t="s">
        <v>1252</v>
      </c>
      <c r="E1558" s="145" t="s">
        <v>1255</v>
      </c>
      <c r="F1558" s="178" t="s">
        <v>1239</v>
      </c>
      <c r="G1558" s="141">
        <v>3</v>
      </c>
      <c r="H1558" s="141">
        <v>8</v>
      </c>
      <c r="I1558" s="136">
        <v>15.9</v>
      </c>
      <c r="J1558" s="136">
        <v>104.7</v>
      </c>
      <c r="K1558" s="136">
        <v>17.2</v>
      </c>
      <c r="L1558" s="131">
        <v>-1.2983194570000001</v>
      </c>
      <c r="M1558" s="131">
        <v>-0.9299229094</v>
      </c>
      <c r="N1558" s="131">
        <v>-1.1208137760000001</v>
      </c>
      <c r="O1558" s="132" t="str">
        <f t="shared" si="4"/>
        <v>Normal</v>
      </c>
    </row>
    <row r="1559" spans="1:15" ht="78">
      <c r="A1559" s="167" t="s">
        <v>3903</v>
      </c>
      <c r="B1559" s="126" t="s">
        <v>37</v>
      </c>
      <c r="C1559" s="168"/>
      <c r="D1559" s="139" t="s">
        <v>1258</v>
      </c>
      <c r="E1559" s="145" t="s">
        <v>1261</v>
      </c>
      <c r="F1559" s="178" t="s">
        <v>1239</v>
      </c>
      <c r="G1559" s="141">
        <v>1</v>
      </c>
      <c r="H1559" s="141">
        <v>8</v>
      </c>
      <c r="I1559" s="136">
        <v>13.95</v>
      </c>
      <c r="J1559" s="136">
        <v>104.4</v>
      </c>
      <c r="K1559" s="136">
        <v>17.5</v>
      </c>
      <c r="L1559" s="131">
        <v>-0.58113056789999995</v>
      </c>
      <c r="M1559" s="131">
        <v>-0.62306468680000004</v>
      </c>
      <c r="N1559" s="131">
        <v>-0.29685188159999998</v>
      </c>
      <c r="O1559" s="132" t="str">
        <f t="shared" si="4"/>
        <v>Normal</v>
      </c>
    </row>
    <row r="1560" spans="1:15" ht="78">
      <c r="A1560" s="167" t="s">
        <v>3904</v>
      </c>
      <c r="B1560" s="126" t="s">
        <v>37</v>
      </c>
      <c r="C1560" s="168"/>
      <c r="D1560" s="139" t="s">
        <v>1263</v>
      </c>
      <c r="E1560" s="143" t="s">
        <v>1266</v>
      </c>
      <c r="F1560" s="178" t="s">
        <v>1239</v>
      </c>
      <c r="G1560" s="141">
        <v>4</v>
      </c>
      <c r="H1560" s="141">
        <v>8</v>
      </c>
      <c r="I1560" s="136">
        <v>17</v>
      </c>
      <c r="J1560" s="136">
        <v>112.6</v>
      </c>
      <c r="K1560" s="136">
        <v>16</v>
      </c>
      <c r="L1560" s="131">
        <v>-0.67203811300000005</v>
      </c>
      <c r="M1560" s="131">
        <v>0.85311179739999998</v>
      </c>
      <c r="N1560" s="131">
        <v>-1.8028723849999999</v>
      </c>
      <c r="O1560" s="132" t="str">
        <f t="shared" si="4"/>
        <v>Normal</v>
      </c>
    </row>
    <row r="1561" spans="1:15" ht="78">
      <c r="A1561" s="167" t="s">
        <v>3905</v>
      </c>
      <c r="B1561" s="126" t="s">
        <v>48</v>
      </c>
      <c r="C1561" s="168"/>
      <c r="D1561" s="139" t="s">
        <v>1268</v>
      </c>
      <c r="E1561" s="143" t="s">
        <v>1271</v>
      </c>
      <c r="F1561" s="178" t="s">
        <v>1239</v>
      </c>
      <c r="G1561" s="141">
        <v>3</v>
      </c>
      <c r="H1561" s="141">
        <v>8</v>
      </c>
      <c r="I1561" s="136">
        <v>17.399999999999999</v>
      </c>
      <c r="J1561" s="136">
        <v>108.7</v>
      </c>
      <c r="K1561" s="136">
        <v>17.3</v>
      </c>
      <c r="L1561" s="131">
        <v>0.5394291242</v>
      </c>
      <c r="M1561" s="131">
        <v>0.36528360059999998</v>
      </c>
      <c r="N1561" s="131">
        <v>0.48648791860000001</v>
      </c>
      <c r="O1561" s="132" t="str">
        <f t="shared" si="4"/>
        <v>Normal</v>
      </c>
    </row>
    <row r="1562" spans="1:15" ht="78">
      <c r="A1562" s="167" t="s">
        <v>3906</v>
      </c>
      <c r="B1562" s="126" t="s">
        <v>48</v>
      </c>
      <c r="C1562" s="168"/>
      <c r="D1562" s="139" t="s">
        <v>1273</v>
      </c>
      <c r="E1562" s="143" t="s">
        <v>1276</v>
      </c>
      <c r="F1562" s="178" t="s">
        <v>1239</v>
      </c>
      <c r="G1562" s="141">
        <v>4</v>
      </c>
      <c r="H1562" s="141">
        <v>8</v>
      </c>
      <c r="I1562" s="136">
        <v>22.5</v>
      </c>
      <c r="J1562" s="136">
        <v>104.4</v>
      </c>
      <c r="K1562" s="136">
        <v>22</v>
      </c>
      <c r="L1562" s="131">
        <v>-0.55543470009999996</v>
      </c>
      <c r="M1562" s="131">
        <v>-1.300319094</v>
      </c>
      <c r="N1562" s="131">
        <v>0.33768640329999999</v>
      </c>
      <c r="O1562" s="132" t="str">
        <f t="shared" si="4"/>
        <v>Normal</v>
      </c>
    </row>
    <row r="1563" spans="1:15" ht="78">
      <c r="A1563" s="167" t="s">
        <v>3907</v>
      </c>
      <c r="B1563" s="126" t="s">
        <v>37</v>
      </c>
      <c r="C1563" s="168"/>
      <c r="D1563" s="139" t="s">
        <v>1278</v>
      </c>
      <c r="E1563" s="143" t="s">
        <v>1281</v>
      </c>
      <c r="F1563" s="178" t="s">
        <v>1239</v>
      </c>
      <c r="G1563" s="141">
        <v>4</v>
      </c>
      <c r="H1563" s="141">
        <v>8</v>
      </c>
      <c r="I1563" s="136">
        <v>14.15</v>
      </c>
      <c r="J1563" s="136">
        <v>100.5</v>
      </c>
      <c r="K1563" s="136">
        <v>15.2</v>
      </c>
      <c r="L1563" s="131">
        <v>-1.086014526</v>
      </c>
      <c r="M1563" s="131">
        <v>1.072682849</v>
      </c>
      <c r="N1563" s="131">
        <v>-1.5923322279999999E-2</v>
      </c>
      <c r="O1563" s="132" t="str">
        <f t="shared" si="4"/>
        <v>Normal</v>
      </c>
    </row>
    <row r="1564" spans="1:15" ht="78">
      <c r="A1564" s="167" t="s">
        <v>3908</v>
      </c>
      <c r="B1564" s="126" t="s">
        <v>48</v>
      </c>
      <c r="C1564" s="168"/>
      <c r="D1564" s="139" t="s">
        <v>1283</v>
      </c>
      <c r="E1564" s="143" t="s">
        <v>1286</v>
      </c>
      <c r="F1564" s="178" t="s">
        <v>1239</v>
      </c>
      <c r="G1564" s="141">
        <v>2</v>
      </c>
      <c r="H1564" s="141">
        <v>8</v>
      </c>
      <c r="I1564" s="136">
        <v>14.7</v>
      </c>
      <c r="J1564" s="136">
        <v>96.2</v>
      </c>
      <c r="K1564" s="136">
        <v>16.899999999999999</v>
      </c>
      <c r="L1564" s="131">
        <v>0.80604420259999998</v>
      </c>
      <c r="M1564" s="131">
        <v>2.623369689</v>
      </c>
      <c r="N1564" s="131">
        <v>0.16534989480000001</v>
      </c>
      <c r="O1564" s="132" t="str">
        <f t="shared" si="4"/>
        <v>Normal</v>
      </c>
    </row>
    <row r="1565" spans="1:15" ht="78">
      <c r="A1565" s="167" t="s">
        <v>3909</v>
      </c>
      <c r="B1565" s="126" t="s">
        <v>48</v>
      </c>
      <c r="C1565" s="168"/>
      <c r="D1565" s="179">
        <v>44146</v>
      </c>
      <c r="E1565" s="143" t="s">
        <v>1291</v>
      </c>
      <c r="F1565" s="178" t="s">
        <v>1239</v>
      </c>
      <c r="G1565" s="141">
        <v>2</v>
      </c>
      <c r="H1565" s="141">
        <v>8</v>
      </c>
      <c r="I1565" s="136">
        <v>14.8</v>
      </c>
      <c r="J1565" s="136">
        <v>98.7</v>
      </c>
      <c r="K1565" s="136">
        <v>16.399999999999999</v>
      </c>
      <c r="L1565" s="131">
        <v>9.4879313189999995E-2</v>
      </c>
      <c r="M1565" s="131">
        <v>-0.60419261619999998</v>
      </c>
      <c r="N1565" s="131">
        <v>-0.9207139271</v>
      </c>
      <c r="O1565" s="132" t="str">
        <f t="shared" si="4"/>
        <v>Normal</v>
      </c>
    </row>
    <row r="1566" spans="1:15" ht="78">
      <c r="A1566" s="167" t="s">
        <v>3910</v>
      </c>
      <c r="B1566" s="126" t="s">
        <v>37</v>
      </c>
      <c r="C1566" s="168"/>
      <c r="D1566" s="139" t="s">
        <v>251</v>
      </c>
      <c r="E1566" s="143" t="s">
        <v>1295</v>
      </c>
      <c r="F1566" s="178" t="s">
        <v>1239</v>
      </c>
      <c r="G1566" s="141">
        <v>3</v>
      </c>
      <c r="H1566" s="141">
        <v>8</v>
      </c>
      <c r="I1566" s="136">
        <v>16.600000000000001</v>
      </c>
      <c r="J1566" s="136">
        <v>104.2</v>
      </c>
      <c r="K1566" s="136">
        <v>16.7</v>
      </c>
      <c r="L1566" s="131">
        <v>-0.74041959859999995</v>
      </c>
      <c r="M1566" s="131">
        <v>-0.83337105850000004</v>
      </c>
      <c r="N1566" s="131">
        <v>-0.2490686382</v>
      </c>
      <c r="O1566" s="132" t="str">
        <f t="shared" si="4"/>
        <v>Normal</v>
      </c>
    </row>
    <row r="1567" spans="1:15" ht="78">
      <c r="A1567" s="167" t="s">
        <v>3911</v>
      </c>
      <c r="B1567" s="151" t="s">
        <v>48</v>
      </c>
      <c r="C1567" s="168"/>
      <c r="D1567" s="152" t="s">
        <v>1297</v>
      </c>
      <c r="E1567" s="155" t="s">
        <v>1300</v>
      </c>
      <c r="F1567" s="180" t="s">
        <v>1239</v>
      </c>
      <c r="G1567" s="134">
        <v>1</v>
      </c>
      <c r="H1567" s="134">
        <v>8</v>
      </c>
      <c r="I1567" s="134">
        <v>13.4</v>
      </c>
      <c r="J1567" s="134">
        <v>94.8</v>
      </c>
      <c r="K1567" s="134">
        <v>15.6</v>
      </c>
      <c r="L1567" s="131">
        <v>-1.592062138</v>
      </c>
      <c r="M1567" s="131">
        <v>-1.054239215</v>
      </c>
      <c r="N1567" s="131">
        <v>-0.49680120449999998</v>
      </c>
      <c r="O1567" s="132" t="str">
        <f t="shared" si="4"/>
        <v>Normal</v>
      </c>
    </row>
    <row r="1568" spans="1:15" ht="78">
      <c r="A1568" s="167" t="s">
        <v>3912</v>
      </c>
      <c r="B1568" s="126" t="s">
        <v>37</v>
      </c>
      <c r="C1568" s="168"/>
      <c r="D1568" s="139" t="s">
        <v>1302</v>
      </c>
      <c r="E1568" s="143" t="s">
        <v>1305</v>
      </c>
      <c r="F1568" s="178" t="s">
        <v>1239</v>
      </c>
      <c r="G1568" s="141">
        <v>2</v>
      </c>
      <c r="H1568" s="141">
        <v>8</v>
      </c>
      <c r="I1568" s="181">
        <v>14.8</v>
      </c>
      <c r="J1568" s="181">
        <v>100.7</v>
      </c>
      <c r="K1568" s="136">
        <v>16.7</v>
      </c>
      <c r="L1568" s="131">
        <v>-1.182390359</v>
      </c>
      <c r="M1568" s="131">
        <v>-0.74111765080000003</v>
      </c>
      <c r="N1568" s="131">
        <v>4.5408002859999996</v>
      </c>
      <c r="O1568" s="132" t="str">
        <f t="shared" si="4"/>
        <v>Normal</v>
      </c>
    </row>
    <row r="1569" spans="1:15" ht="78">
      <c r="A1569" s="167" t="s">
        <v>3913</v>
      </c>
      <c r="B1569" s="126" t="s">
        <v>48</v>
      </c>
      <c r="C1569" s="168"/>
      <c r="D1569" s="139" t="s">
        <v>1307</v>
      </c>
      <c r="E1569" s="143" t="s">
        <v>1310</v>
      </c>
      <c r="F1569" s="178" t="s">
        <v>1239</v>
      </c>
      <c r="G1569" s="141">
        <v>4</v>
      </c>
      <c r="H1569" s="141">
        <v>8</v>
      </c>
      <c r="I1569" s="136">
        <v>19</v>
      </c>
      <c r="J1569" s="136">
        <v>110.5</v>
      </c>
      <c r="K1569" s="136">
        <v>18</v>
      </c>
      <c r="L1569" s="131">
        <v>-1.903826013</v>
      </c>
      <c r="M1569" s="131">
        <v>-2.4419863730000002</v>
      </c>
      <c r="N1569" s="131">
        <v>-0.29685188159999998</v>
      </c>
      <c r="O1569" s="132" t="str">
        <f t="shared" si="4"/>
        <v>Normal</v>
      </c>
    </row>
    <row r="1570" spans="1:15" ht="78">
      <c r="A1570" s="167" t="s">
        <v>3914</v>
      </c>
      <c r="B1570" s="126" t="s">
        <v>48</v>
      </c>
      <c r="C1570" s="168"/>
      <c r="D1570" s="139" t="s">
        <v>1312</v>
      </c>
      <c r="E1570" s="143" t="s">
        <v>1315</v>
      </c>
      <c r="F1570" s="178" t="s">
        <v>1239</v>
      </c>
      <c r="G1570" s="141">
        <v>2</v>
      </c>
      <c r="H1570" s="141">
        <v>8</v>
      </c>
      <c r="I1570" s="136">
        <v>20</v>
      </c>
      <c r="J1570" s="136">
        <v>107.5</v>
      </c>
      <c r="K1570" s="137">
        <v>18</v>
      </c>
      <c r="L1570" s="131">
        <v>1.571784471E-3</v>
      </c>
      <c r="M1570" s="131">
        <v>-0.24446635629999999</v>
      </c>
      <c r="N1570" s="131">
        <v>-1.8028723849999999</v>
      </c>
      <c r="O1570" s="132" t="str">
        <f t="shared" si="4"/>
        <v>Normal</v>
      </c>
    </row>
    <row r="1571" spans="1:15" ht="78">
      <c r="A1571" s="167" t="s">
        <v>3915</v>
      </c>
      <c r="B1571" s="126" t="s">
        <v>48</v>
      </c>
      <c r="C1571" s="168"/>
      <c r="D1571" s="139" t="s">
        <v>1317</v>
      </c>
      <c r="E1571" s="143" t="s">
        <v>1320</v>
      </c>
      <c r="F1571" s="178" t="s">
        <v>1239</v>
      </c>
      <c r="G1571" s="141">
        <v>3</v>
      </c>
      <c r="H1571" s="141">
        <v>8</v>
      </c>
      <c r="I1571" s="136">
        <v>19.899999999999999</v>
      </c>
      <c r="J1571" s="136">
        <v>99.7</v>
      </c>
      <c r="K1571" s="136">
        <v>21</v>
      </c>
      <c r="L1571" s="131">
        <v>-0.1745880897</v>
      </c>
      <c r="M1571" s="131">
        <v>9.8152294809999999E-2</v>
      </c>
      <c r="N1571" s="131">
        <v>0.48648791860000001</v>
      </c>
      <c r="O1571" s="132" t="str">
        <f t="shared" si="4"/>
        <v>Normal</v>
      </c>
    </row>
    <row r="1572" spans="1:15" ht="78">
      <c r="A1572" s="167" t="s">
        <v>3916</v>
      </c>
      <c r="B1572" s="126" t="s">
        <v>48</v>
      </c>
      <c r="C1572" s="168"/>
      <c r="D1572" s="139" t="s">
        <v>1321</v>
      </c>
      <c r="E1572" s="143" t="s">
        <v>1324</v>
      </c>
      <c r="F1572" s="178" t="s">
        <v>1239</v>
      </c>
      <c r="G1572" s="141">
        <v>4</v>
      </c>
      <c r="H1572" s="141">
        <v>8</v>
      </c>
      <c r="I1572" s="136">
        <v>17.600000000000001</v>
      </c>
      <c r="J1572" s="136">
        <v>94.6</v>
      </c>
      <c r="K1572" s="136">
        <v>20.2</v>
      </c>
      <c r="L1572" s="131">
        <v>2.550320986</v>
      </c>
      <c r="M1572" s="131">
        <v>-0.49216492820000002</v>
      </c>
      <c r="N1572" s="131">
        <v>0.33768640329999999</v>
      </c>
      <c r="O1572" s="132" t="str">
        <f t="shared" si="4"/>
        <v>Gz.Lbh</v>
      </c>
    </row>
    <row r="1573" spans="1:15" ht="78">
      <c r="A1573" s="167" t="s">
        <v>3917</v>
      </c>
      <c r="B1573" s="126" t="s">
        <v>37</v>
      </c>
      <c r="C1573" s="168"/>
      <c r="D1573" s="139" t="s">
        <v>1326</v>
      </c>
      <c r="E1573" s="143" t="s">
        <v>1329</v>
      </c>
      <c r="F1573" s="178" t="s">
        <v>1239</v>
      </c>
      <c r="G1573" s="141">
        <v>1</v>
      </c>
      <c r="H1573" s="141">
        <v>8</v>
      </c>
      <c r="I1573" s="136">
        <v>13.5</v>
      </c>
      <c r="J1573" s="136">
        <v>93.7</v>
      </c>
      <c r="K1573" s="137">
        <v>17.2</v>
      </c>
      <c r="L1573" s="131">
        <f>IF(E1573&gt;=1,AJ1573-((V1573-$BH1573)*(AJ1573-$BC1573)),"")</f>
        <v>0</v>
      </c>
      <c r="M1573" s="131">
        <v>-0.29685188159999998</v>
      </c>
      <c r="N1573" s="131">
        <v>-1.5923322279999999E-2</v>
      </c>
      <c r="O1573" s="132" t="str">
        <f t="shared" si="4"/>
        <v>Normal</v>
      </c>
    </row>
    <row r="1574" spans="1:15" ht="78">
      <c r="A1574" s="167" t="s">
        <v>3918</v>
      </c>
      <c r="B1574" s="126" t="s">
        <v>37</v>
      </c>
      <c r="C1574" s="168"/>
      <c r="D1574" s="139" t="s">
        <v>1330</v>
      </c>
      <c r="E1574" s="143" t="s">
        <v>1332</v>
      </c>
      <c r="F1574" s="178" t="s">
        <v>1239</v>
      </c>
      <c r="G1574" s="141">
        <v>3</v>
      </c>
      <c r="H1574" s="141">
        <v>8</v>
      </c>
      <c r="I1574" s="136">
        <v>17</v>
      </c>
      <c r="J1574" s="136">
        <v>112.6</v>
      </c>
      <c r="K1574" s="136">
        <v>16</v>
      </c>
      <c r="L1574" s="131">
        <v>0.80604420259999998</v>
      </c>
      <c r="M1574" s="131">
        <v>-1.8028723849999999</v>
      </c>
      <c r="N1574" s="131">
        <v>-1.8028723849999999</v>
      </c>
      <c r="O1574" s="132" t="str">
        <f t="shared" si="4"/>
        <v>Normal</v>
      </c>
    </row>
    <row r="1575" spans="1:15" ht="78">
      <c r="A1575" s="167" t="s">
        <v>3919</v>
      </c>
      <c r="B1575" s="126" t="s">
        <v>48</v>
      </c>
      <c r="C1575" s="168"/>
      <c r="D1575" s="139" t="s">
        <v>1333</v>
      </c>
      <c r="E1575" s="143" t="s">
        <v>1336</v>
      </c>
      <c r="F1575" s="178" t="s">
        <v>1239</v>
      </c>
      <c r="G1575" s="141">
        <v>3</v>
      </c>
      <c r="H1575" s="141">
        <v>8</v>
      </c>
      <c r="I1575" s="136">
        <v>12.3</v>
      </c>
      <c r="J1575" s="136">
        <v>95.5</v>
      </c>
      <c r="K1575" s="137">
        <v>16</v>
      </c>
      <c r="L1575" s="131">
        <v>0.5394291242</v>
      </c>
      <c r="M1575" s="131">
        <v>0.48648791860000001</v>
      </c>
      <c r="N1575" s="131">
        <v>0.48648791860000001</v>
      </c>
      <c r="O1575" s="132" t="str">
        <f t="shared" si="4"/>
        <v>Normal</v>
      </c>
    </row>
    <row r="1576" spans="1:15" ht="93.6">
      <c r="A1576" s="167" t="s">
        <v>3920</v>
      </c>
      <c r="B1576" s="126" t="s">
        <v>37</v>
      </c>
      <c r="C1576" s="168"/>
      <c r="D1576" s="139" t="s">
        <v>1338</v>
      </c>
      <c r="E1576" s="143" t="s">
        <v>1340</v>
      </c>
      <c r="F1576" s="178" t="s">
        <v>1239</v>
      </c>
      <c r="G1576" s="141">
        <v>3</v>
      </c>
      <c r="H1576" s="141">
        <v>8</v>
      </c>
      <c r="I1576" s="136">
        <v>12.9</v>
      </c>
      <c r="J1576" s="136">
        <v>101.5</v>
      </c>
      <c r="K1576" s="137">
        <v>15.2</v>
      </c>
      <c r="L1576" s="131">
        <v>-0.55543470009999996</v>
      </c>
      <c r="M1576" s="131">
        <v>0.33768640329999999</v>
      </c>
      <c r="N1576" s="131">
        <v>0.33768640329999999</v>
      </c>
      <c r="O1576" s="132" t="str">
        <f t="shared" si="4"/>
        <v>Normal</v>
      </c>
    </row>
    <row r="1577" spans="1:15" ht="78">
      <c r="A1577" s="167" t="s">
        <v>3921</v>
      </c>
      <c r="B1577" s="126" t="s">
        <v>37</v>
      </c>
      <c r="C1577" s="168"/>
      <c r="D1577" s="139" t="s">
        <v>1342</v>
      </c>
      <c r="E1577" s="143" t="s">
        <v>1345</v>
      </c>
      <c r="F1577" s="178" t="s">
        <v>1239</v>
      </c>
      <c r="G1577" s="141">
        <v>4</v>
      </c>
      <c r="H1577" s="141">
        <v>8</v>
      </c>
      <c r="I1577" s="136">
        <v>13.2</v>
      </c>
      <c r="J1577" s="136">
        <v>91.7</v>
      </c>
      <c r="K1577" s="137">
        <v>17.100000000000001</v>
      </c>
      <c r="L1577" s="131">
        <v>1.2210489099999999</v>
      </c>
      <c r="M1577" s="131">
        <v>-1.5923322279999999E-2</v>
      </c>
      <c r="N1577" s="131">
        <v>-1.5923322279999999E-2</v>
      </c>
      <c r="O1577" s="132" t="str">
        <f t="shared" si="4"/>
        <v>R.Gz.Lbh</v>
      </c>
    </row>
    <row r="1578" spans="1:15" ht="78">
      <c r="A1578" s="167" t="s">
        <v>3922</v>
      </c>
      <c r="B1578" s="126" t="s">
        <v>48</v>
      </c>
      <c r="C1578" s="168"/>
      <c r="D1578" s="139" t="s">
        <v>1347</v>
      </c>
      <c r="E1578" s="143" t="s">
        <v>1350</v>
      </c>
      <c r="F1578" s="178" t="s">
        <v>1239</v>
      </c>
      <c r="G1578" s="141">
        <v>2</v>
      </c>
      <c r="H1578" s="141">
        <v>8</v>
      </c>
      <c r="I1578" s="136">
        <v>12.21</v>
      </c>
      <c r="J1578" s="136">
        <v>88.9</v>
      </c>
      <c r="K1578" s="137">
        <v>15.7</v>
      </c>
      <c r="L1578" s="131">
        <v>-1.9882001659999999</v>
      </c>
      <c r="M1578" s="131">
        <v>-1.1101762749999999</v>
      </c>
      <c r="N1578" s="131">
        <v>-1.97729029</v>
      </c>
      <c r="O1578" s="132" t="str">
        <f t="shared" si="4"/>
        <v>Normal</v>
      </c>
    </row>
    <row r="1579" spans="1:15" ht="78">
      <c r="A1579" s="167" t="s">
        <v>3923</v>
      </c>
      <c r="B1579" s="126" t="s">
        <v>48</v>
      </c>
      <c r="C1579" s="168"/>
      <c r="D1579" s="139" t="s">
        <v>1351</v>
      </c>
      <c r="E1579" s="143" t="s">
        <v>1354</v>
      </c>
      <c r="F1579" s="178" t="s">
        <v>1239</v>
      </c>
      <c r="G1579" s="141">
        <v>3</v>
      </c>
      <c r="H1579" s="141">
        <v>8</v>
      </c>
      <c r="I1579" s="136">
        <v>15.5</v>
      </c>
      <c r="J1579" s="136">
        <v>95.7</v>
      </c>
      <c r="K1579" s="137">
        <v>17.100000000000001</v>
      </c>
      <c r="L1579" s="131">
        <v>1.528914103E-2</v>
      </c>
      <c r="M1579" s="131">
        <v>-0.3133050946</v>
      </c>
      <c r="N1579" s="131">
        <v>0.32543580290000002</v>
      </c>
      <c r="O1579" s="132" t="str">
        <f t="shared" si="4"/>
        <v>Normal</v>
      </c>
    </row>
    <row r="1580" spans="1:15" ht="78">
      <c r="A1580" s="167" t="s">
        <v>3924</v>
      </c>
      <c r="B1580" s="126" t="s">
        <v>37</v>
      </c>
      <c r="C1580" s="168"/>
      <c r="D1580" s="139" t="s">
        <v>1355</v>
      </c>
      <c r="E1580" s="143" t="s">
        <v>1358</v>
      </c>
      <c r="F1580" s="178" t="s">
        <v>1239</v>
      </c>
      <c r="G1580" s="141">
        <v>4</v>
      </c>
      <c r="H1580" s="141">
        <v>8</v>
      </c>
      <c r="I1580" s="136">
        <v>10.1</v>
      </c>
      <c r="J1580" s="136">
        <v>91.5</v>
      </c>
      <c r="K1580" s="137">
        <v>14.6</v>
      </c>
      <c r="L1580" s="131">
        <v>-0.62439422590000004</v>
      </c>
      <c r="M1580" s="131">
        <v>-0.44386636089999998</v>
      </c>
      <c r="N1580" s="131">
        <v>-0.54481594249999998</v>
      </c>
      <c r="O1580" s="132" t="str">
        <f t="shared" si="4"/>
        <v>Normal</v>
      </c>
    </row>
    <row r="1581" spans="1:15" ht="78">
      <c r="A1581" s="167" t="s">
        <v>3925</v>
      </c>
      <c r="B1581" s="126" t="s">
        <v>48</v>
      </c>
      <c r="C1581" s="168"/>
      <c r="D1581" s="139" t="s">
        <v>1359</v>
      </c>
      <c r="E1581" s="143" t="s">
        <v>1362</v>
      </c>
      <c r="F1581" s="178" t="s">
        <v>1239</v>
      </c>
      <c r="G1581" s="141">
        <v>1</v>
      </c>
      <c r="H1581" s="141">
        <v>8</v>
      </c>
      <c r="I1581" s="136">
        <v>13</v>
      </c>
      <c r="J1581" s="136">
        <v>94.5</v>
      </c>
      <c r="K1581" s="137">
        <v>16</v>
      </c>
      <c r="L1581" s="131">
        <v>-1.3171745909999999</v>
      </c>
      <c r="M1581" s="131">
        <v>-0.43918188689999998</v>
      </c>
      <c r="N1581" s="131">
        <v>-1.642726482</v>
      </c>
      <c r="O1581" s="132" t="str">
        <f t="shared" si="4"/>
        <v>Normal</v>
      </c>
    </row>
    <row r="1582" spans="1:15" ht="78">
      <c r="A1582" s="167" t="s">
        <v>3926</v>
      </c>
      <c r="B1582" s="126" t="s">
        <v>48</v>
      </c>
      <c r="C1582" s="168"/>
      <c r="D1582" s="139" t="s">
        <v>1363</v>
      </c>
      <c r="E1582" s="143" t="s">
        <v>1255</v>
      </c>
      <c r="F1582" s="178" t="s">
        <v>1239</v>
      </c>
      <c r="G1582" s="141">
        <v>3</v>
      </c>
      <c r="H1582" s="141">
        <v>8</v>
      </c>
      <c r="I1582" s="136">
        <v>11.93</v>
      </c>
      <c r="J1582" s="136">
        <v>87.4</v>
      </c>
      <c r="K1582" s="137">
        <v>15.6</v>
      </c>
      <c r="L1582" s="131">
        <v>-0.54484065140000004</v>
      </c>
      <c r="M1582" s="131">
        <v>24.162095220000001</v>
      </c>
      <c r="N1582" s="131">
        <v>-1.955509267E-2</v>
      </c>
      <c r="O1582" s="132" t="str">
        <f t="shared" si="4"/>
        <v>Normal</v>
      </c>
    </row>
    <row r="1583" spans="1:15" ht="78">
      <c r="A1583" s="167" t="s">
        <v>3927</v>
      </c>
      <c r="B1583" s="126" t="s">
        <v>48</v>
      </c>
      <c r="C1583" s="168"/>
      <c r="D1583" s="139" t="s">
        <v>1366</v>
      </c>
      <c r="E1583" s="143" t="s">
        <v>1369</v>
      </c>
      <c r="F1583" s="178" t="s">
        <v>1239</v>
      </c>
      <c r="G1583" s="141">
        <v>3</v>
      </c>
      <c r="H1583" s="141">
        <v>8</v>
      </c>
      <c r="I1583" s="146">
        <v>14.3</v>
      </c>
      <c r="J1583" s="137">
        <v>91.8</v>
      </c>
      <c r="K1583" s="137">
        <v>17.8</v>
      </c>
      <c r="L1583" s="131">
        <v>-1.519655771</v>
      </c>
      <c r="M1583" s="131">
        <v>20.42641995</v>
      </c>
      <c r="N1583" s="131">
        <v>-1.632755814</v>
      </c>
      <c r="O1583" s="132" t="str">
        <f t="shared" si="4"/>
        <v>Normal</v>
      </c>
    </row>
    <row r="1584" spans="1:15" ht="78">
      <c r="A1584" s="167" t="s">
        <v>3928</v>
      </c>
      <c r="B1584" s="126" t="s">
        <v>48</v>
      </c>
      <c r="C1584" s="168"/>
      <c r="D1584" s="139" t="s">
        <v>1161</v>
      </c>
      <c r="E1584" s="143" t="s">
        <v>1371</v>
      </c>
      <c r="F1584" s="178" t="s">
        <v>1239</v>
      </c>
      <c r="G1584" s="141">
        <v>3</v>
      </c>
      <c r="H1584" s="141">
        <v>8</v>
      </c>
      <c r="I1584" s="146">
        <v>6.92</v>
      </c>
      <c r="J1584" s="137">
        <v>68.5</v>
      </c>
      <c r="K1584" s="137"/>
      <c r="L1584" s="131">
        <v>-1.489707004</v>
      </c>
      <c r="M1584" s="131">
        <v>18.310755539999999</v>
      </c>
      <c r="N1584" s="131">
        <v>-0.22259590439999999</v>
      </c>
      <c r="O1584" s="132" t="str">
        <f t="shared" si="4"/>
        <v>Normal</v>
      </c>
    </row>
    <row r="1585" spans="1:15" ht="78">
      <c r="A1585" s="167" t="s">
        <v>3929</v>
      </c>
      <c r="B1585" s="126" t="s">
        <v>37</v>
      </c>
      <c r="C1585" s="168"/>
      <c r="D1585" s="147" t="s">
        <v>1372</v>
      </c>
      <c r="E1585" s="143" t="s">
        <v>1375</v>
      </c>
      <c r="F1585" s="178" t="s">
        <v>1239</v>
      </c>
      <c r="G1585" s="141">
        <v>4</v>
      </c>
      <c r="H1585" s="141">
        <v>8</v>
      </c>
      <c r="I1585" s="146">
        <v>10.55</v>
      </c>
      <c r="J1585" s="135">
        <v>87.5</v>
      </c>
      <c r="K1585" s="135">
        <v>14</v>
      </c>
      <c r="L1585" s="131">
        <v>-2.9658841790000001</v>
      </c>
      <c r="M1585" s="131">
        <v>-1.536101699</v>
      </c>
      <c r="N1585" s="131">
        <v>-3.129825447</v>
      </c>
      <c r="O1585" s="132" t="str">
        <f t="shared" si="4"/>
        <v>Gz.Krg</v>
      </c>
    </row>
    <row r="1586" spans="1:15" ht="78">
      <c r="A1586" s="167" t="s">
        <v>3930</v>
      </c>
      <c r="B1586" s="126" t="s">
        <v>37</v>
      </c>
      <c r="C1586" s="168"/>
      <c r="D1586" s="147" t="s">
        <v>1377</v>
      </c>
      <c r="E1586" s="143" t="s">
        <v>1380</v>
      </c>
      <c r="F1586" s="178" t="s">
        <v>1239</v>
      </c>
      <c r="G1586" s="141">
        <v>2</v>
      </c>
      <c r="H1586" s="141">
        <v>8</v>
      </c>
      <c r="I1586" s="146">
        <v>11.55</v>
      </c>
      <c r="J1586" s="136">
        <v>92</v>
      </c>
      <c r="K1586" s="136">
        <v>18</v>
      </c>
      <c r="L1586" s="131">
        <v>-1.7056263519999999</v>
      </c>
      <c r="M1586" s="131">
        <v>-1.104185038</v>
      </c>
      <c r="N1586" s="131">
        <v>-1.647633229</v>
      </c>
      <c r="O1586" s="132" t="str">
        <f t="shared" si="4"/>
        <v>Normal</v>
      </c>
    </row>
    <row r="1587" spans="1:15" ht="78">
      <c r="A1587" s="167" t="s">
        <v>3931</v>
      </c>
      <c r="B1587" s="126" t="s">
        <v>48</v>
      </c>
      <c r="C1587" s="168"/>
      <c r="D1587" s="147" t="s">
        <v>1382</v>
      </c>
      <c r="E1587" s="143" t="s">
        <v>1384</v>
      </c>
      <c r="F1587" s="178" t="s">
        <v>1239</v>
      </c>
      <c r="G1587" s="141">
        <v>3</v>
      </c>
      <c r="H1587" s="141">
        <v>8</v>
      </c>
      <c r="I1587" s="146">
        <v>10.7</v>
      </c>
      <c r="J1587" s="136">
        <v>87.5</v>
      </c>
      <c r="K1587" s="136">
        <v>14.5</v>
      </c>
      <c r="L1587" s="131">
        <v>-1.694545524</v>
      </c>
      <c r="M1587" s="131">
        <v>8.2254192899999995E-2</v>
      </c>
      <c r="N1587" s="131">
        <v>-2.556259448</v>
      </c>
      <c r="O1587" s="132" t="str">
        <f t="shared" si="4"/>
        <v>Normal</v>
      </c>
    </row>
    <row r="1588" spans="1:15" ht="78">
      <c r="A1588" s="167" t="s">
        <v>3932</v>
      </c>
      <c r="B1588" s="126" t="s">
        <v>37</v>
      </c>
      <c r="C1588" s="168"/>
      <c r="D1588" s="147" t="s">
        <v>1386</v>
      </c>
      <c r="E1588" s="148" t="s">
        <v>1389</v>
      </c>
      <c r="F1588" s="178" t="s">
        <v>1239</v>
      </c>
      <c r="G1588" s="141">
        <v>3</v>
      </c>
      <c r="H1588" s="141">
        <v>8</v>
      </c>
      <c r="I1588" s="146">
        <v>10.97</v>
      </c>
      <c r="J1588" s="135">
        <v>82.5</v>
      </c>
      <c r="K1588" s="135">
        <v>17.5</v>
      </c>
      <c r="L1588" s="131">
        <v>-0.99229210339999996</v>
      </c>
      <c r="M1588" s="131">
        <v>-0.30166111309999999</v>
      </c>
      <c r="N1588" s="131">
        <v>-1.1864656499999999</v>
      </c>
      <c r="O1588" s="132" t="str">
        <f t="shared" si="4"/>
        <v>Normal</v>
      </c>
    </row>
    <row r="1589" spans="1:15" ht="78">
      <c r="A1589" s="167" t="s">
        <v>3933</v>
      </c>
      <c r="B1589" s="126" t="s">
        <v>48</v>
      </c>
      <c r="C1589" s="168"/>
      <c r="D1589" s="147" t="s">
        <v>1391</v>
      </c>
      <c r="E1589" s="143" t="s">
        <v>1394</v>
      </c>
      <c r="F1589" s="178" t="s">
        <v>1239</v>
      </c>
      <c r="G1589" s="141">
        <v>2</v>
      </c>
      <c r="H1589" s="141">
        <v>8</v>
      </c>
      <c r="I1589" s="146">
        <v>10.1</v>
      </c>
      <c r="J1589" s="137">
        <v>83.3</v>
      </c>
      <c r="K1589" s="137">
        <v>15.1</v>
      </c>
      <c r="L1589" s="131">
        <v>-2.4405333279999999</v>
      </c>
      <c r="M1589" s="131">
        <v>-1.4241406400000001</v>
      </c>
      <c r="N1589" s="131">
        <v>-2.4127376300000001</v>
      </c>
      <c r="O1589" s="132" t="str">
        <f t="shared" si="4"/>
        <v>Gz.Krg</v>
      </c>
    </row>
    <row r="1590" spans="1:15" ht="78">
      <c r="A1590" s="167" t="s">
        <v>3934</v>
      </c>
      <c r="B1590" s="126" t="s">
        <v>37</v>
      </c>
      <c r="C1590" s="168"/>
      <c r="D1590" s="147" t="s">
        <v>1395</v>
      </c>
      <c r="E1590" s="143" t="s">
        <v>1398</v>
      </c>
      <c r="F1590" s="178" t="s">
        <v>1239</v>
      </c>
      <c r="G1590" s="141">
        <v>4</v>
      </c>
      <c r="H1590" s="141">
        <v>8</v>
      </c>
      <c r="I1590" s="146">
        <v>10.199999999999999</v>
      </c>
      <c r="J1590" s="137">
        <v>83.8</v>
      </c>
      <c r="K1590" s="137">
        <v>15</v>
      </c>
      <c r="L1590" s="131">
        <v>0.68580525619999999</v>
      </c>
      <c r="M1590" s="131">
        <v>-0.98674524129999996</v>
      </c>
      <c r="N1590" s="131">
        <v>1.6301473719999999</v>
      </c>
      <c r="O1590" s="132" t="str">
        <f t="shared" si="4"/>
        <v>Normal</v>
      </c>
    </row>
    <row r="1591" spans="1:15" ht="78">
      <c r="A1591" s="167" t="s">
        <v>3935</v>
      </c>
      <c r="B1591" s="126" t="s">
        <v>37</v>
      </c>
      <c r="C1591" s="168"/>
      <c r="D1591" s="147" t="s">
        <v>521</v>
      </c>
      <c r="E1591" s="143" t="s">
        <v>1402</v>
      </c>
      <c r="F1591" s="178" t="s">
        <v>1239</v>
      </c>
      <c r="G1591" s="141">
        <v>4</v>
      </c>
      <c r="H1591" s="141">
        <v>8</v>
      </c>
      <c r="I1591" s="146">
        <v>12</v>
      </c>
      <c r="J1591" s="137">
        <v>84</v>
      </c>
      <c r="K1591" s="137">
        <v>17.5</v>
      </c>
      <c r="L1591" s="131">
        <v>0.2384711092</v>
      </c>
      <c r="M1591" s="131">
        <v>1.029388008E-2</v>
      </c>
      <c r="N1591" s="131">
        <v>0.30854749770000001</v>
      </c>
      <c r="O1591" s="132" t="str">
        <f t="shared" si="4"/>
        <v>Normal</v>
      </c>
    </row>
    <row r="1592" spans="1:15" ht="78">
      <c r="A1592" s="167" t="s">
        <v>3936</v>
      </c>
      <c r="B1592" s="126" t="s">
        <v>48</v>
      </c>
      <c r="C1592" s="168"/>
      <c r="D1592" s="147" t="s">
        <v>1404</v>
      </c>
      <c r="E1592" s="143" t="s">
        <v>1407</v>
      </c>
      <c r="F1592" s="178" t="s">
        <v>1239</v>
      </c>
      <c r="G1592" s="141">
        <v>2</v>
      </c>
      <c r="H1592" s="141">
        <v>8</v>
      </c>
      <c r="I1592" s="146">
        <v>10.3</v>
      </c>
      <c r="J1592" s="137">
        <v>84.2</v>
      </c>
      <c r="K1592" s="137">
        <v>16</v>
      </c>
      <c r="L1592" s="131">
        <v>-1.8611162889999999</v>
      </c>
      <c r="M1592" s="131">
        <v>-0.78551049969999998</v>
      </c>
      <c r="N1592" s="131">
        <v>-2.008396517</v>
      </c>
      <c r="O1592" s="132" t="str">
        <f t="shared" si="4"/>
        <v>Normal</v>
      </c>
    </row>
    <row r="1593" spans="1:15" ht="78">
      <c r="A1593" s="167" t="s">
        <v>3937</v>
      </c>
      <c r="B1593" s="126" t="s">
        <v>48</v>
      </c>
      <c r="C1593" s="168"/>
      <c r="D1593" s="147" t="s">
        <v>1409</v>
      </c>
      <c r="E1593" s="143" t="s">
        <v>1412</v>
      </c>
      <c r="F1593" s="178" t="s">
        <v>1239</v>
      </c>
      <c r="G1593" s="141">
        <v>1</v>
      </c>
      <c r="H1593" s="141">
        <v>8</v>
      </c>
      <c r="I1593" s="146">
        <v>13.6</v>
      </c>
      <c r="J1593" s="137">
        <v>87</v>
      </c>
      <c r="K1593" s="137">
        <v>18.2</v>
      </c>
      <c r="L1593" s="131">
        <v>0.89430456359999999</v>
      </c>
      <c r="M1593" s="131">
        <v>0.3150790611</v>
      </c>
      <c r="N1593" s="131">
        <v>1.0539283399999999</v>
      </c>
      <c r="O1593" s="132" t="str">
        <f t="shared" si="4"/>
        <v>Normal</v>
      </c>
    </row>
    <row r="1594" spans="1:15" ht="78">
      <c r="A1594" s="167" t="s">
        <v>3938</v>
      </c>
      <c r="B1594" s="151" t="s">
        <v>37</v>
      </c>
      <c r="C1594" s="168"/>
      <c r="D1594" s="182" t="s">
        <v>1414</v>
      </c>
      <c r="E1594" s="155" t="s">
        <v>1417</v>
      </c>
      <c r="F1594" s="180" t="s">
        <v>1239</v>
      </c>
      <c r="G1594" s="134">
        <v>4</v>
      </c>
      <c r="H1594" s="134">
        <v>8</v>
      </c>
      <c r="I1594" s="156">
        <v>11</v>
      </c>
      <c r="J1594" s="157">
        <v>85.6</v>
      </c>
      <c r="K1594" s="157">
        <v>15.2</v>
      </c>
      <c r="L1594" s="131">
        <v>-0.17808580930000001</v>
      </c>
      <c r="M1594" s="131">
        <v>0.9024338529</v>
      </c>
      <c r="N1594" s="131">
        <v>-0.80989828389999996</v>
      </c>
      <c r="O1594" s="132" t="str">
        <f t="shared" si="4"/>
        <v>Normal</v>
      </c>
    </row>
    <row r="1595" spans="1:15" ht="78">
      <c r="A1595" s="167" t="s">
        <v>3939</v>
      </c>
      <c r="B1595" s="126" t="s">
        <v>37</v>
      </c>
      <c r="C1595" s="168"/>
      <c r="D1595" s="147" t="s">
        <v>1419</v>
      </c>
      <c r="E1595" s="143" t="s">
        <v>1422</v>
      </c>
      <c r="F1595" s="178" t="s">
        <v>1239</v>
      </c>
      <c r="G1595" s="141">
        <v>2</v>
      </c>
      <c r="H1595" s="141">
        <v>8</v>
      </c>
      <c r="I1595" s="146">
        <v>10.17</v>
      </c>
      <c r="J1595" s="137">
        <v>80.3</v>
      </c>
      <c r="K1595" s="137">
        <v>16.2</v>
      </c>
      <c r="L1595" s="131">
        <v>-0.58113056789999995</v>
      </c>
      <c r="M1595" s="131">
        <v>-0.62306468680000004</v>
      </c>
      <c r="N1595" s="131">
        <v>-0.29685188159999998</v>
      </c>
      <c r="O1595" s="132" t="str">
        <f t="shared" si="4"/>
        <v>Normal</v>
      </c>
    </row>
    <row r="1596" spans="1:15" ht="124.8">
      <c r="A1596" s="167" t="s">
        <v>3940</v>
      </c>
      <c r="B1596" s="126" t="s">
        <v>37</v>
      </c>
      <c r="C1596" s="168"/>
      <c r="D1596" s="147" t="s">
        <v>1425</v>
      </c>
      <c r="E1596" s="143" t="s">
        <v>1428</v>
      </c>
      <c r="F1596" s="178" t="s">
        <v>1239</v>
      </c>
      <c r="G1596" s="141">
        <v>2</v>
      </c>
      <c r="H1596" s="141">
        <v>8</v>
      </c>
      <c r="I1596" s="146">
        <v>12</v>
      </c>
      <c r="J1596" s="137">
        <v>84</v>
      </c>
      <c r="K1596" s="137">
        <v>14</v>
      </c>
      <c r="L1596" s="131">
        <v>0.5394291242</v>
      </c>
      <c r="M1596" s="131">
        <v>0.36528360059999998</v>
      </c>
      <c r="N1596" s="131">
        <v>0.48648791860000001</v>
      </c>
      <c r="O1596" s="132" t="str">
        <f t="shared" si="4"/>
        <v>Normal</v>
      </c>
    </row>
    <row r="1597" spans="1:15" ht="78">
      <c r="A1597" s="167" t="s">
        <v>3941</v>
      </c>
      <c r="B1597" s="151" t="s">
        <v>37</v>
      </c>
      <c r="C1597" s="168"/>
      <c r="D1597" s="182" t="s">
        <v>1430</v>
      </c>
      <c r="E1597" s="155" t="s">
        <v>1433</v>
      </c>
      <c r="F1597" s="180" t="s">
        <v>1239</v>
      </c>
      <c r="G1597" s="134">
        <v>1</v>
      </c>
      <c r="H1597" s="134">
        <v>8</v>
      </c>
      <c r="I1597" s="156">
        <v>8.1999999999999993</v>
      </c>
      <c r="J1597" s="157">
        <v>76.7</v>
      </c>
      <c r="K1597" s="157">
        <v>14.5</v>
      </c>
      <c r="L1597" s="131">
        <v>2.550320986</v>
      </c>
      <c r="M1597" s="131">
        <v>-0.49216492820000002</v>
      </c>
      <c r="N1597" s="131">
        <v>4.566085341</v>
      </c>
      <c r="O1597" s="132" t="str">
        <f t="shared" si="4"/>
        <v>Gz.Lbh</v>
      </c>
    </row>
    <row r="1598" spans="1:15" ht="78">
      <c r="A1598" s="167" t="s">
        <v>3942</v>
      </c>
      <c r="B1598" s="126" t="s">
        <v>37</v>
      </c>
      <c r="C1598" s="168"/>
      <c r="D1598" s="147" t="s">
        <v>572</v>
      </c>
      <c r="E1598" s="143" t="s">
        <v>1436</v>
      </c>
      <c r="F1598" s="178" t="s">
        <v>1239</v>
      </c>
      <c r="G1598" s="141">
        <v>4</v>
      </c>
      <c r="H1598" s="141">
        <v>8</v>
      </c>
      <c r="I1598" s="146">
        <v>14.3</v>
      </c>
      <c r="J1598" s="137">
        <v>82.6</v>
      </c>
      <c r="K1598" s="137">
        <v>19.05</v>
      </c>
      <c r="L1598" s="131">
        <v>0.5394291242</v>
      </c>
      <c r="M1598" s="131">
        <v>0.36528360059999998</v>
      </c>
      <c r="N1598" s="131">
        <v>0.48648791860000001</v>
      </c>
      <c r="O1598" s="132" t="str">
        <f t="shared" si="4"/>
        <v>Normal</v>
      </c>
    </row>
    <row r="1599" spans="1:15" ht="78">
      <c r="A1599" s="167" t="s">
        <v>3943</v>
      </c>
      <c r="B1599" s="126" t="s">
        <v>48</v>
      </c>
      <c r="C1599" s="168"/>
      <c r="D1599" s="147" t="s">
        <v>1438</v>
      </c>
      <c r="E1599" s="143" t="s">
        <v>1440</v>
      </c>
      <c r="F1599" s="178" t="s">
        <v>1239</v>
      </c>
      <c r="G1599" s="141">
        <v>4</v>
      </c>
      <c r="H1599" s="141">
        <v>8</v>
      </c>
      <c r="I1599" s="146">
        <v>9.4700000000000006</v>
      </c>
      <c r="J1599" s="137">
        <v>83.7</v>
      </c>
      <c r="K1599" s="137">
        <v>15.15</v>
      </c>
      <c r="L1599" s="131">
        <v>-1.182390359</v>
      </c>
      <c r="M1599" s="131">
        <v>-0.74111765080000003</v>
      </c>
      <c r="N1599" s="131">
        <v>-1.1208137760000001</v>
      </c>
      <c r="O1599" s="132" t="str">
        <f t="shared" si="4"/>
        <v>Normal</v>
      </c>
    </row>
    <row r="1600" spans="1:15" ht="78">
      <c r="A1600" s="167" t="s">
        <v>3944</v>
      </c>
      <c r="B1600" s="126" t="s">
        <v>37</v>
      </c>
      <c r="C1600" s="168"/>
      <c r="D1600" s="147" t="s">
        <v>1441</v>
      </c>
      <c r="E1600" s="143" t="s">
        <v>1237</v>
      </c>
      <c r="F1600" s="178" t="s">
        <v>1239</v>
      </c>
      <c r="G1600" s="141">
        <v>3</v>
      </c>
      <c r="H1600" s="141">
        <v>8</v>
      </c>
      <c r="I1600" s="146">
        <v>9.5</v>
      </c>
      <c r="J1600" s="137">
        <v>74.5</v>
      </c>
      <c r="K1600" s="137">
        <v>15.5</v>
      </c>
      <c r="L1600" s="131">
        <v>-1.903826013</v>
      </c>
      <c r="M1600" s="131">
        <v>-2.4419863730000002</v>
      </c>
      <c r="N1600" s="131">
        <v>-0.5415732942</v>
      </c>
      <c r="O1600" s="132" t="str">
        <f t="shared" si="4"/>
        <v>Normal</v>
      </c>
    </row>
    <row r="1601" spans="1:15" ht="78">
      <c r="A1601" s="167" t="s">
        <v>3945</v>
      </c>
      <c r="B1601" s="126" t="s">
        <v>48</v>
      </c>
      <c r="C1601" s="168"/>
      <c r="D1601" s="147" t="s">
        <v>1444</v>
      </c>
      <c r="E1601" s="143" t="s">
        <v>1447</v>
      </c>
      <c r="F1601" s="178" t="s">
        <v>1239</v>
      </c>
      <c r="G1601" s="141">
        <v>2</v>
      </c>
      <c r="H1601" s="141">
        <v>8</v>
      </c>
      <c r="I1601" s="146">
        <v>8.5500000000000007</v>
      </c>
      <c r="J1601" s="137">
        <v>75.7</v>
      </c>
      <c r="K1601" s="137">
        <v>19</v>
      </c>
      <c r="L1601" s="131">
        <v>1.571784471E-3</v>
      </c>
      <c r="M1601" s="131">
        <v>-0.24446635629999999</v>
      </c>
      <c r="N1601" s="131">
        <v>0.2068849418</v>
      </c>
      <c r="O1601" s="132" t="str">
        <f t="shared" si="4"/>
        <v>Normal</v>
      </c>
    </row>
    <row r="1602" spans="1:15" ht="78">
      <c r="A1602" s="167" t="s">
        <v>3946</v>
      </c>
      <c r="B1602" s="126" t="s">
        <v>37</v>
      </c>
      <c r="C1602" s="168"/>
      <c r="D1602" s="147" t="s">
        <v>1449</v>
      </c>
      <c r="E1602" s="143" t="s">
        <v>1452</v>
      </c>
      <c r="F1602" s="178" t="s">
        <v>1239</v>
      </c>
      <c r="G1602" s="141">
        <v>4</v>
      </c>
      <c r="H1602" s="141">
        <v>8</v>
      </c>
      <c r="I1602" s="146">
        <v>8.8699999999999992</v>
      </c>
      <c r="J1602" s="137">
        <v>75</v>
      </c>
      <c r="K1602" s="137">
        <v>15.6</v>
      </c>
      <c r="L1602" s="131">
        <v>-0.1745880897</v>
      </c>
      <c r="M1602" s="131">
        <v>9.8152294809999999E-2</v>
      </c>
      <c r="N1602" s="131">
        <v>-0.44396097140000002</v>
      </c>
      <c r="O1602" s="132" t="str">
        <f t="shared" si="4"/>
        <v>Normal</v>
      </c>
    </row>
    <row r="1603" spans="1:15" ht="78">
      <c r="A1603" s="167" t="s">
        <v>3947</v>
      </c>
      <c r="B1603" s="126" t="s">
        <v>37</v>
      </c>
      <c r="C1603" s="168"/>
      <c r="D1603" s="147" t="s">
        <v>1454</v>
      </c>
      <c r="E1603" s="143" t="s">
        <v>1456</v>
      </c>
      <c r="F1603" s="178" t="s">
        <v>1239</v>
      </c>
      <c r="G1603" s="141">
        <v>3</v>
      </c>
      <c r="H1603" s="141">
        <v>8</v>
      </c>
      <c r="I1603" s="146">
        <v>7.6</v>
      </c>
      <c r="J1603" s="137">
        <v>71.8</v>
      </c>
      <c r="K1603" s="137">
        <v>15.16</v>
      </c>
      <c r="L1603" s="131">
        <v>2.550320986</v>
      </c>
      <c r="M1603" s="131">
        <v>-0.49216492820000002</v>
      </c>
      <c r="N1603" s="131">
        <v>4.566085341</v>
      </c>
      <c r="O1603" s="132" t="str">
        <f t="shared" si="4"/>
        <v>Gz.Lbh</v>
      </c>
    </row>
    <row r="1604" spans="1:15" ht="78">
      <c r="A1604" s="167" t="s">
        <v>3948</v>
      </c>
      <c r="B1604" s="126" t="s">
        <v>37</v>
      </c>
      <c r="C1604" s="168"/>
      <c r="D1604" s="147" t="s">
        <v>1457</v>
      </c>
      <c r="E1604" s="143" t="s">
        <v>1459</v>
      </c>
      <c r="F1604" s="178" t="s">
        <v>1239</v>
      </c>
      <c r="G1604" s="141">
        <v>1</v>
      </c>
      <c r="H1604" s="141">
        <v>8</v>
      </c>
      <c r="I1604" s="146">
        <v>9.81</v>
      </c>
      <c r="J1604" s="137">
        <v>75</v>
      </c>
      <c r="K1604" s="137">
        <v>17</v>
      </c>
      <c r="L1604" s="131">
        <v>0.23532291</v>
      </c>
      <c r="M1604" s="131">
        <v>-0.25634206900000001</v>
      </c>
      <c r="N1604" s="131">
        <v>0.57688403730000004</v>
      </c>
      <c r="O1604" s="132" t="str">
        <f t="shared" si="4"/>
        <v>Normal</v>
      </c>
    </row>
    <row r="1605" spans="1:15" ht="78">
      <c r="A1605" s="167" t="s">
        <v>3949</v>
      </c>
      <c r="B1605" s="151" t="s">
        <v>48</v>
      </c>
      <c r="C1605" s="168"/>
      <c r="D1605" s="182" t="s">
        <v>1461</v>
      </c>
      <c r="E1605" s="155" t="s">
        <v>1464</v>
      </c>
      <c r="F1605" s="180" t="s">
        <v>1239</v>
      </c>
      <c r="G1605" s="134">
        <v>3</v>
      </c>
      <c r="H1605" s="134">
        <v>8</v>
      </c>
      <c r="I1605" s="156">
        <v>9.3000000000000007</v>
      </c>
      <c r="J1605" s="157">
        <v>71.5</v>
      </c>
      <c r="K1605" s="157">
        <v>15.17</v>
      </c>
      <c r="L1605" s="131">
        <v>-9.2643335069999999E-2</v>
      </c>
      <c r="M1605" s="131">
        <v>-0.46719268139999998</v>
      </c>
      <c r="N1605" s="131">
        <v>0.31133046850000001</v>
      </c>
      <c r="O1605" s="132" t="str">
        <f t="shared" si="4"/>
        <v>Normal</v>
      </c>
    </row>
    <row r="1606" spans="1:15" ht="109.2">
      <c r="A1606" s="167" t="s">
        <v>3950</v>
      </c>
      <c r="B1606" s="126" t="s">
        <v>48</v>
      </c>
      <c r="C1606" s="168"/>
      <c r="D1606" s="147" t="s">
        <v>1466</v>
      </c>
      <c r="E1606" s="143" t="s">
        <v>1468</v>
      </c>
      <c r="F1606" s="178" t="s">
        <v>1239</v>
      </c>
      <c r="G1606" s="141">
        <v>1</v>
      </c>
      <c r="H1606" s="141">
        <v>8</v>
      </c>
      <c r="I1606" s="146">
        <v>9.3000000000000007</v>
      </c>
      <c r="J1606" s="137">
        <v>76.5</v>
      </c>
      <c r="K1606" s="183">
        <v>45732</v>
      </c>
      <c r="L1606" s="131">
        <v>-1.2983194570000001</v>
      </c>
      <c r="M1606" s="131">
        <v>-0.9299229094</v>
      </c>
      <c r="N1606" s="131">
        <v>-1.1208137760000001</v>
      </c>
      <c r="O1606" s="132" t="str">
        <f t="shared" si="4"/>
        <v>Normal</v>
      </c>
    </row>
    <row r="1607" spans="1:15" ht="78">
      <c r="A1607" s="167" t="s">
        <v>3951</v>
      </c>
      <c r="B1607" s="126" t="s">
        <v>37</v>
      </c>
      <c r="C1607" s="168"/>
      <c r="D1607" s="147" t="s">
        <v>1470</v>
      </c>
      <c r="E1607" s="143" t="s">
        <v>1472</v>
      </c>
      <c r="F1607" s="178" t="s">
        <v>1239</v>
      </c>
      <c r="G1607" s="141">
        <v>1</v>
      </c>
      <c r="H1607" s="141">
        <v>8</v>
      </c>
      <c r="I1607" s="146">
        <v>7.7</v>
      </c>
      <c r="J1607" s="137">
        <v>69</v>
      </c>
      <c r="K1607" s="137">
        <v>15.5</v>
      </c>
      <c r="L1607" s="131">
        <v>-0.58113056789999995</v>
      </c>
      <c r="M1607" s="131">
        <v>-0.62306468680000004</v>
      </c>
      <c r="N1607" s="131">
        <v>-0.29685188159999998</v>
      </c>
      <c r="O1607" s="132" t="str">
        <f t="shared" si="4"/>
        <v>Normal</v>
      </c>
    </row>
    <row r="1608" spans="1:15" ht="93.6">
      <c r="A1608" s="167" t="s">
        <v>3952</v>
      </c>
      <c r="B1608" s="126" t="s">
        <v>37</v>
      </c>
      <c r="C1608" s="168"/>
      <c r="D1608" s="147" t="s">
        <v>1474</v>
      </c>
      <c r="E1608" s="143" t="s">
        <v>1477</v>
      </c>
      <c r="F1608" s="178" t="s">
        <v>1239</v>
      </c>
      <c r="G1608" s="141">
        <v>2</v>
      </c>
      <c r="H1608" s="141">
        <v>8</v>
      </c>
      <c r="I1608" s="146">
        <v>6.92</v>
      </c>
      <c r="J1608" s="137">
        <v>68.5</v>
      </c>
      <c r="K1608" s="137">
        <v>15</v>
      </c>
      <c r="L1608" s="131">
        <v>-0.67203811300000005</v>
      </c>
      <c r="M1608" s="131">
        <v>0.85311179739999998</v>
      </c>
      <c r="N1608" s="131">
        <v>-1.8028723849999999</v>
      </c>
      <c r="O1608" s="132" t="str">
        <f t="shared" si="4"/>
        <v>Normal</v>
      </c>
    </row>
    <row r="1609" spans="1:15" ht="78">
      <c r="A1609" s="167" t="s">
        <v>3953</v>
      </c>
      <c r="B1609" s="151" t="s">
        <v>37</v>
      </c>
      <c r="C1609" s="168"/>
      <c r="D1609" s="182" t="s">
        <v>1479</v>
      </c>
      <c r="E1609" s="155" t="s">
        <v>1481</v>
      </c>
      <c r="F1609" s="180" t="s">
        <v>1239</v>
      </c>
      <c r="G1609" s="134">
        <v>3</v>
      </c>
      <c r="H1609" s="134">
        <v>8</v>
      </c>
      <c r="I1609" s="156">
        <v>9.6</v>
      </c>
      <c r="J1609" s="157">
        <v>67.7</v>
      </c>
      <c r="K1609" s="157">
        <v>14.5</v>
      </c>
      <c r="L1609" s="131">
        <v>0.5394291242</v>
      </c>
      <c r="M1609" s="131">
        <v>0.36528360059999998</v>
      </c>
      <c r="N1609" s="131">
        <v>0.48648791860000001</v>
      </c>
      <c r="O1609" s="132" t="str">
        <f t="shared" si="4"/>
        <v>Normal</v>
      </c>
    </row>
    <row r="1610" spans="1:15" ht="78">
      <c r="A1610" s="167" t="s">
        <v>3954</v>
      </c>
      <c r="B1610" s="126" t="s">
        <v>37</v>
      </c>
      <c r="C1610" s="168"/>
      <c r="D1610" s="147" t="s">
        <v>1483</v>
      </c>
      <c r="E1610" s="143" t="s">
        <v>1485</v>
      </c>
      <c r="F1610" s="178" t="s">
        <v>1239</v>
      </c>
      <c r="G1610" s="141">
        <v>4</v>
      </c>
      <c r="H1610" s="141">
        <v>8</v>
      </c>
      <c r="I1610" s="146">
        <v>7.18</v>
      </c>
      <c r="J1610" s="137">
        <v>70.2</v>
      </c>
      <c r="K1610" s="137">
        <v>14.3</v>
      </c>
      <c r="L1610" s="131">
        <v>-0.55543470009999996</v>
      </c>
      <c r="M1610" s="131">
        <v>-1.300319094</v>
      </c>
      <c r="N1610" s="131">
        <v>0.33768640329999999</v>
      </c>
      <c r="O1610" s="132" t="str">
        <f t="shared" ref="O1610:O1667" si="5">IF(D1610&gt;0,IF(E1610&gt;0,IF(L1610&lt;-3,"Gz.Brk",IF(L1610&lt;-2,"Gz.Krg",IF(L1610&lt;=1,"Normal",IF(L1610&lt;=2,"R.Gz.Lbh",IF(L1610&lt;=3,"Gz.Lbh","Obesitas")))))," "),"")</f>
        <v>Normal</v>
      </c>
    </row>
    <row r="1611" spans="1:15" ht="78">
      <c r="A1611" s="167" t="s">
        <v>3955</v>
      </c>
      <c r="B1611" s="126" t="s">
        <v>48</v>
      </c>
      <c r="C1611" s="168"/>
      <c r="D1611" s="147" t="s">
        <v>1487</v>
      </c>
      <c r="E1611" s="143" t="s">
        <v>1490</v>
      </c>
      <c r="F1611" s="178" t="s">
        <v>1239</v>
      </c>
      <c r="G1611" s="141">
        <v>3</v>
      </c>
      <c r="H1611" s="141">
        <v>8</v>
      </c>
      <c r="I1611" s="146">
        <v>6.92</v>
      </c>
      <c r="J1611" s="137">
        <v>68.5</v>
      </c>
      <c r="K1611" s="137"/>
      <c r="L1611" s="131">
        <v>-2.0292517999999999</v>
      </c>
      <c r="M1611" s="131">
        <v>-0.78896071440000004</v>
      </c>
      <c r="N1611" s="131">
        <v>-1.541106691</v>
      </c>
      <c r="O1611" s="132" t="str">
        <f t="shared" si="5"/>
        <v>Gz.Krg</v>
      </c>
    </row>
    <row r="1612" spans="1:15" ht="78">
      <c r="A1612" s="167" t="s">
        <v>3956</v>
      </c>
      <c r="B1612" s="151" t="s">
        <v>37</v>
      </c>
      <c r="C1612" s="168"/>
      <c r="D1612" s="182" t="s">
        <v>1492</v>
      </c>
      <c r="E1612" s="155" t="s">
        <v>1494</v>
      </c>
      <c r="F1612" s="180" t="s">
        <v>1239</v>
      </c>
      <c r="G1612" s="134">
        <v>4</v>
      </c>
      <c r="H1612" s="134">
        <v>8</v>
      </c>
      <c r="I1612" s="156">
        <v>7.9</v>
      </c>
      <c r="J1612" s="157">
        <v>64.7</v>
      </c>
      <c r="K1612" s="157">
        <v>16</v>
      </c>
      <c r="L1612" s="131">
        <v>-1.4114402239999999</v>
      </c>
      <c r="M1612" s="131">
        <v>-0.94270517399999998</v>
      </c>
      <c r="N1612" s="131">
        <v>-1.1208137760000001</v>
      </c>
      <c r="O1612" s="132" t="str">
        <f t="shared" si="5"/>
        <v>Normal</v>
      </c>
    </row>
    <row r="1613" spans="1:15" ht="78">
      <c r="A1613" s="167" t="s">
        <v>3957</v>
      </c>
      <c r="B1613" s="151" t="s">
        <v>48</v>
      </c>
      <c r="C1613" s="168"/>
      <c r="D1613" s="182" t="s">
        <v>1496</v>
      </c>
      <c r="E1613" s="155" t="s">
        <v>1498</v>
      </c>
      <c r="F1613" s="180" t="s">
        <v>1239</v>
      </c>
      <c r="G1613" s="134"/>
      <c r="H1613" s="134">
        <v>8</v>
      </c>
      <c r="I1613" s="156">
        <v>7.16</v>
      </c>
      <c r="J1613" s="157">
        <v>67.5</v>
      </c>
      <c r="K1613" s="157">
        <v>14</v>
      </c>
      <c r="L1613" s="131">
        <v>-0.25925712270000001</v>
      </c>
      <c r="M1613" s="131">
        <v>-0.92968948439999999</v>
      </c>
      <c r="N1613" s="131">
        <v>-0.5415732942</v>
      </c>
      <c r="O1613" s="132" t="str">
        <f t="shared" si="5"/>
        <v>Normal</v>
      </c>
    </row>
    <row r="1614" spans="1:15" ht="78">
      <c r="A1614" s="167" t="s">
        <v>3958</v>
      </c>
      <c r="B1614" s="126" t="s">
        <v>37</v>
      </c>
      <c r="C1614" s="168"/>
      <c r="D1614" s="147" t="s">
        <v>1499</v>
      </c>
      <c r="E1614" s="143" t="s">
        <v>1501</v>
      </c>
      <c r="F1614" s="178" t="s">
        <v>1239</v>
      </c>
      <c r="G1614" s="141">
        <v>2</v>
      </c>
      <c r="H1614" s="141">
        <v>8</v>
      </c>
      <c r="I1614" s="184">
        <v>45938</v>
      </c>
      <c r="J1614" s="137">
        <v>68</v>
      </c>
      <c r="K1614" s="137">
        <v>15.6</v>
      </c>
      <c r="L1614" s="131">
        <v>-0.1223510392</v>
      </c>
      <c r="M1614" s="131">
        <v>-1.1145523450000001</v>
      </c>
      <c r="N1614" s="131">
        <v>0.2068849418</v>
      </c>
      <c r="O1614" s="132" t="str">
        <f t="shared" si="5"/>
        <v>Normal</v>
      </c>
    </row>
    <row r="1615" spans="1:15" ht="78">
      <c r="A1615" s="167" t="s">
        <v>3959</v>
      </c>
      <c r="B1615" s="126" t="s">
        <v>48</v>
      </c>
      <c r="C1615" s="168"/>
      <c r="D1615" s="147" t="s">
        <v>1502</v>
      </c>
      <c r="E1615" s="143" t="s">
        <v>1504</v>
      </c>
      <c r="F1615" s="178" t="s">
        <v>1239</v>
      </c>
      <c r="G1615" s="141"/>
      <c r="H1615" s="141">
        <v>8</v>
      </c>
      <c r="I1615" s="146">
        <v>7.73</v>
      </c>
      <c r="J1615" s="137">
        <v>68.7</v>
      </c>
      <c r="K1615" s="137">
        <v>14.5</v>
      </c>
      <c r="L1615" s="131">
        <v>0.81848189090000001</v>
      </c>
      <c r="M1615" s="131">
        <v>-0.183523148</v>
      </c>
      <c r="N1615" s="131">
        <v>-0.44396097140000002</v>
      </c>
      <c r="O1615" s="132" t="str">
        <f t="shared" si="5"/>
        <v>Normal</v>
      </c>
    </row>
    <row r="1616" spans="1:15" ht="78">
      <c r="A1616" s="167" t="s">
        <v>3960</v>
      </c>
      <c r="B1616" s="126" t="s">
        <v>48</v>
      </c>
      <c r="C1616" s="168"/>
      <c r="D1616" s="147" t="s">
        <v>1505</v>
      </c>
      <c r="E1616" s="143" t="s">
        <v>1508</v>
      </c>
      <c r="F1616" s="178" t="s">
        <v>1239</v>
      </c>
      <c r="G1616" s="141">
        <v>4</v>
      </c>
      <c r="H1616" s="141">
        <v>8</v>
      </c>
      <c r="I1616" s="146">
        <v>6.92</v>
      </c>
      <c r="J1616" s="137">
        <v>68.5</v>
      </c>
      <c r="K1616" s="137"/>
      <c r="L1616" s="131">
        <v>-2.4838347039999999</v>
      </c>
      <c r="M1616" s="131">
        <v>-1.397766262</v>
      </c>
      <c r="N1616" s="131">
        <v>4.566085341</v>
      </c>
      <c r="O1616" s="132" t="str">
        <f t="shared" si="5"/>
        <v>Gz.Krg</v>
      </c>
    </row>
    <row r="1617" spans="1:15" ht="78">
      <c r="A1617" s="167" t="s">
        <v>3961</v>
      </c>
      <c r="B1617" s="151" t="s">
        <v>37</v>
      </c>
      <c r="C1617" s="168"/>
      <c r="D1617" s="182" t="s">
        <v>1510</v>
      </c>
      <c r="E1617" s="155" t="s">
        <v>1512</v>
      </c>
      <c r="F1617" s="180" t="s">
        <v>1239</v>
      </c>
      <c r="G1617" s="134">
        <v>3</v>
      </c>
      <c r="H1617" s="134">
        <v>8</v>
      </c>
      <c r="I1617" s="156">
        <v>7.2</v>
      </c>
      <c r="J1617" s="157">
        <v>62.5</v>
      </c>
      <c r="K1617" s="157">
        <v>15.2</v>
      </c>
      <c r="L1617" s="131">
        <v>0.47225187029999999</v>
      </c>
      <c r="M1617" s="131">
        <v>0.2434503908</v>
      </c>
      <c r="N1617" s="131">
        <v>0.57688403730000004</v>
      </c>
      <c r="O1617" s="132" t="str">
        <f t="shared" si="5"/>
        <v>Normal</v>
      </c>
    </row>
    <row r="1618" spans="1:15" ht="78">
      <c r="A1618" s="167" t="s">
        <v>3962</v>
      </c>
      <c r="B1618" s="126" t="s">
        <v>48</v>
      </c>
      <c r="C1618" s="168"/>
      <c r="D1618" s="147" t="s">
        <v>1514</v>
      </c>
      <c r="E1618" s="143" t="s">
        <v>1516</v>
      </c>
      <c r="F1618" s="178" t="s">
        <v>1239</v>
      </c>
      <c r="G1618" s="141">
        <v>4</v>
      </c>
      <c r="H1618" s="141">
        <v>8</v>
      </c>
      <c r="I1618" s="146">
        <v>6.92</v>
      </c>
      <c r="J1618" s="137">
        <v>68.5</v>
      </c>
      <c r="K1618" s="137"/>
      <c r="L1618" s="131">
        <v>-0.92736489649999998</v>
      </c>
      <c r="M1618" s="131">
        <v>-0.78866532840000003</v>
      </c>
      <c r="N1618" s="131">
        <v>0.31133046850000001</v>
      </c>
      <c r="O1618" s="132" t="str">
        <f t="shared" si="5"/>
        <v>Normal</v>
      </c>
    </row>
    <row r="1619" spans="1:15" ht="78">
      <c r="A1619" s="167" t="s">
        <v>3963</v>
      </c>
      <c r="B1619" s="126" t="s">
        <v>48</v>
      </c>
      <c r="C1619" s="168"/>
      <c r="D1619" s="147" t="s">
        <v>1517</v>
      </c>
      <c r="E1619" s="143" t="s">
        <v>1519</v>
      </c>
      <c r="F1619" s="178" t="s">
        <v>1239</v>
      </c>
      <c r="G1619" s="141">
        <v>4</v>
      </c>
      <c r="H1619" s="141">
        <v>8</v>
      </c>
      <c r="I1619" s="146">
        <v>6.95</v>
      </c>
      <c r="J1619" s="137">
        <v>66.599999999999994</v>
      </c>
      <c r="K1619" s="137">
        <v>15</v>
      </c>
      <c r="L1619" s="131">
        <v>-0.2442103192</v>
      </c>
      <c r="M1619" s="131">
        <v>-0.42472051119999998</v>
      </c>
      <c r="N1619" s="131">
        <v>-1.1208137760000001</v>
      </c>
      <c r="O1619" s="132" t="str">
        <f t="shared" si="5"/>
        <v>Normal</v>
      </c>
    </row>
    <row r="1620" spans="1:15" ht="78">
      <c r="A1620" s="167" t="s">
        <v>3964</v>
      </c>
      <c r="B1620" s="126" t="s">
        <v>48</v>
      </c>
      <c r="C1620" s="168"/>
      <c r="D1620" s="147" t="s">
        <v>1521</v>
      </c>
      <c r="E1620" s="143" t="s">
        <v>1523</v>
      </c>
      <c r="F1620" s="178" t="s">
        <v>1239</v>
      </c>
      <c r="G1620" s="141">
        <v>3</v>
      </c>
      <c r="H1620" s="141">
        <v>8</v>
      </c>
      <c r="I1620" s="146">
        <v>7.65</v>
      </c>
      <c r="J1620" s="137">
        <v>65.3</v>
      </c>
      <c r="K1620" s="137">
        <v>14.6</v>
      </c>
      <c r="L1620" s="131">
        <v>-1.864453447</v>
      </c>
      <c r="M1620" s="131">
        <v>-1.3546885710000001</v>
      </c>
      <c r="N1620" s="131">
        <v>-0.29685188159999998</v>
      </c>
      <c r="O1620" s="132" t="str">
        <f t="shared" si="5"/>
        <v>Normal</v>
      </c>
    </row>
    <row r="1621" spans="1:15" ht="78">
      <c r="A1621" s="167" t="s">
        <v>3965</v>
      </c>
      <c r="B1621" s="126" t="s">
        <v>37</v>
      </c>
      <c r="C1621" s="168"/>
      <c r="D1621" s="147" t="s">
        <v>1517</v>
      </c>
      <c r="E1621" s="143" t="s">
        <v>1526</v>
      </c>
      <c r="F1621" s="178" t="s">
        <v>1239</v>
      </c>
      <c r="G1621" s="141">
        <v>3</v>
      </c>
      <c r="H1621" s="141">
        <v>8</v>
      </c>
      <c r="I1621" s="146">
        <v>7.2</v>
      </c>
      <c r="J1621" s="137">
        <v>63.5</v>
      </c>
      <c r="K1621" s="137">
        <v>15.2</v>
      </c>
      <c r="L1621" s="131">
        <v>0.1133375495</v>
      </c>
      <c r="M1621" s="131">
        <v>-0.89475396429999998</v>
      </c>
      <c r="N1621" s="131">
        <v>-1.8028723849999999</v>
      </c>
      <c r="O1621" s="132" t="str">
        <f t="shared" si="5"/>
        <v>Normal</v>
      </c>
    </row>
    <row r="1622" spans="1:15" ht="78">
      <c r="A1622" s="167" t="s">
        <v>3966</v>
      </c>
      <c r="B1622" s="126" t="s">
        <v>48</v>
      </c>
      <c r="C1622" s="168"/>
      <c r="D1622" s="147" t="s">
        <v>1521</v>
      </c>
      <c r="E1622" s="143" t="s">
        <v>1529</v>
      </c>
      <c r="F1622" s="178" t="s">
        <v>1239</v>
      </c>
      <c r="G1622" s="141">
        <v>1</v>
      </c>
      <c r="H1622" s="141">
        <v>8</v>
      </c>
      <c r="I1622" s="146">
        <v>8.24</v>
      </c>
      <c r="J1622" s="137">
        <v>69.8</v>
      </c>
      <c r="K1622" s="137">
        <v>15</v>
      </c>
      <c r="L1622" s="131">
        <v>-1.086014526</v>
      </c>
      <c r="M1622" s="131">
        <v>1.072682849</v>
      </c>
      <c r="N1622" s="131">
        <v>0.48648791860000001</v>
      </c>
      <c r="O1622" s="132" t="str">
        <f t="shared" si="5"/>
        <v>Normal</v>
      </c>
    </row>
    <row r="1623" spans="1:15" ht="78">
      <c r="A1623" s="167" t="s">
        <v>3967</v>
      </c>
      <c r="B1623" s="126" t="s">
        <v>48</v>
      </c>
      <c r="C1623" s="168"/>
      <c r="D1623" s="147" t="s">
        <v>1531</v>
      </c>
      <c r="E1623" s="143" t="s">
        <v>1533</v>
      </c>
      <c r="F1623" s="178" t="s">
        <v>1239</v>
      </c>
      <c r="G1623" s="141">
        <v>1</v>
      </c>
      <c r="H1623" s="141">
        <v>8</v>
      </c>
      <c r="I1623" s="146">
        <v>7.72</v>
      </c>
      <c r="J1623" s="137">
        <v>65.2</v>
      </c>
      <c r="K1623" s="137">
        <v>16.2</v>
      </c>
      <c r="L1623" s="131">
        <v>0.80604420259999998</v>
      </c>
      <c r="M1623" s="131">
        <v>2.623369689</v>
      </c>
      <c r="N1623" s="131">
        <v>0.5394291242</v>
      </c>
      <c r="O1623" s="132" t="str">
        <f t="shared" si="5"/>
        <v>Normal</v>
      </c>
    </row>
    <row r="1624" spans="1:15" ht="78">
      <c r="A1624" s="167" t="s">
        <v>3968</v>
      </c>
      <c r="B1624" s="151" t="s">
        <v>37</v>
      </c>
      <c r="C1624" s="168"/>
      <c r="D1624" s="182" t="s">
        <v>1534</v>
      </c>
      <c r="E1624" s="155" t="s">
        <v>1536</v>
      </c>
      <c r="F1624" s="180" t="s">
        <v>1239</v>
      </c>
      <c r="G1624" s="134">
        <v>4</v>
      </c>
      <c r="H1624" s="134">
        <v>8</v>
      </c>
      <c r="I1624" s="156">
        <v>6.6</v>
      </c>
      <c r="J1624" s="157">
        <v>61.2</v>
      </c>
      <c r="K1624" s="157">
        <v>14.8</v>
      </c>
      <c r="L1624" s="131">
        <v>9.4879313189999995E-2</v>
      </c>
      <c r="M1624" s="131">
        <v>-0.60419261619999998</v>
      </c>
      <c r="N1624" s="131">
        <v>-0.55543470009999996</v>
      </c>
      <c r="O1624" s="132" t="str">
        <f t="shared" si="5"/>
        <v>Normal</v>
      </c>
    </row>
    <row r="1625" spans="1:15" ht="78">
      <c r="A1625" s="167" t="s">
        <v>3969</v>
      </c>
      <c r="B1625" s="126" t="s">
        <v>48</v>
      </c>
      <c r="C1625" s="168"/>
      <c r="D1625" s="147" t="s">
        <v>1538</v>
      </c>
      <c r="E1625" s="143" t="s">
        <v>1541</v>
      </c>
      <c r="F1625" s="178" t="s">
        <v>1239</v>
      </c>
      <c r="G1625" s="141">
        <v>1</v>
      </c>
      <c r="H1625" s="141">
        <v>8</v>
      </c>
      <c r="I1625" s="146">
        <v>6.74</v>
      </c>
      <c r="J1625" s="137">
        <v>63.4</v>
      </c>
      <c r="K1625" s="137">
        <v>15.5</v>
      </c>
      <c r="L1625" s="131">
        <v>-0.74041959859999995</v>
      </c>
      <c r="M1625" s="131">
        <v>-0.83337105850000004</v>
      </c>
      <c r="N1625" s="131">
        <v>1.2210489099999999</v>
      </c>
      <c r="O1625" s="132" t="str">
        <f t="shared" si="5"/>
        <v>Normal</v>
      </c>
    </row>
    <row r="1626" spans="1:15" ht="78">
      <c r="A1626" s="167" t="s">
        <v>3970</v>
      </c>
      <c r="B1626" s="126" t="s">
        <v>37</v>
      </c>
      <c r="C1626" s="168"/>
      <c r="D1626" s="147" t="s">
        <v>1542</v>
      </c>
      <c r="E1626" s="143" t="s">
        <v>1545</v>
      </c>
      <c r="F1626" s="178" t="s">
        <v>1239</v>
      </c>
      <c r="G1626" s="141">
        <v>3</v>
      </c>
      <c r="H1626" s="141">
        <v>8</v>
      </c>
      <c r="I1626" s="146">
        <v>6.78</v>
      </c>
      <c r="J1626" s="137">
        <v>64.5</v>
      </c>
      <c r="K1626" s="137">
        <v>15</v>
      </c>
      <c r="L1626" s="131">
        <v>-1.592062138</v>
      </c>
      <c r="M1626" s="131">
        <v>-1.054239215</v>
      </c>
      <c r="N1626" s="131">
        <v>2.5298765049999998</v>
      </c>
      <c r="O1626" s="132" t="str">
        <f t="shared" si="5"/>
        <v>Normal</v>
      </c>
    </row>
    <row r="1627" spans="1:15" ht="78">
      <c r="A1627" s="167" t="s">
        <v>3971</v>
      </c>
      <c r="B1627" s="126" t="s">
        <v>37</v>
      </c>
      <c r="C1627" s="168"/>
      <c r="D1627" s="147" t="s">
        <v>1547</v>
      </c>
      <c r="E1627" s="143" t="s">
        <v>1549</v>
      </c>
      <c r="F1627" s="178" t="s">
        <v>1239</v>
      </c>
      <c r="G1627" s="141">
        <v>2</v>
      </c>
      <c r="H1627" s="141">
        <v>8</v>
      </c>
      <c r="I1627" s="146">
        <v>6</v>
      </c>
      <c r="J1627" s="137">
        <v>61</v>
      </c>
      <c r="K1627" s="137">
        <v>14</v>
      </c>
      <c r="L1627" s="131">
        <v>-1.182390359</v>
      </c>
      <c r="M1627" s="131">
        <v>-0.74111765080000003</v>
      </c>
      <c r="N1627" s="131">
        <v>-1.236476943</v>
      </c>
      <c r="O1627" s="132" t="str">
        <f t="shared" si="5"/>
        <v>Normal</v>
      </c>
    </row>
    <row r="1628" spans="1:15" ht="78">
      <c r="A1628" s="167" t="s">
        <v>3972</v>
      </c>
      <c r="B1628" s="126" t="s">
        <v>37</v>
      </c>
      <c r="C1628" s="168"/>
      <c r="D1628" s="139" t="s">
        <v>734</v>
      </c>
      <c r="E1628" s="140" t="s">
        <v>1553</v>
      </c>
      <c r="F1628" s="159" t="s">
        <v>1554</v>
      </c>
      <c r="G1628" s="136">
        <v>3</v>
      </c>
      <c r="H1628" s="136">
        <v>1</v>
      </c>
      <c r="I1628" s="136">
        <v>11.1</v>
      </c>
      <c r="J1628" s="136">
        <v>96.6</v>
      </c>
      <c r="K1628" s="136">
        <v>13</v>
      </c>
      <c r="L1628" s="131">
        <v>-1.903826013</v>
      </c>
      <c r="M1628" s="131">
        <v>-2.4419863730000002</v>
      </c>
      <c r="N1628" s="131">
        <v>8.4531443670000008E-3</v>
      </c>
      <c r="O1628" s="132" t="str">
        <f t="shared" si="5"/>
        <v>Normal</v>
      </c>
    </row>
    <row r="1629" spans="1:15" ht="78">
      <c r="A1629" s="167" t="s">
        <v>3973</v>
      </c>
      <c r="B1629" s="126" t="s">
        <v>37</v>
      </c>
      <c r="C1629" s="168"/>
      <c r="D1629" s="139" t="s">
        <v>1555</v>
      </c>
      <c r="E1629" s="140" t="s">
        <v>1558</v>
      </c>
      <c r="F1629" s="159" t="s">
        <v>1554</v>
      </c>
      <c r="G1629" s="141">
        <v>1</v>
      </c>
      <c r="H1629" s="142">
        <v>1</v>
      </c>
      <c r="I1629" s="136">
        <v>15.2</v>
      </c>
      <c r="J1629" s="136">
        <v>105</v>
      </c>
      <c r="K1629" s="136">
        <v>15</v>
      </c>
      <c r="L1629" s="131">
        <v>1.571784471E-3</v>
      </c>
      <c r="M1629" s="131">
        <v>-0.24446635629999999</v>
      </c>
      <c r="N1629" s="131">
        <v>-2.2622906610000002</v>
      </c>
      <c r="O1629" s="132" t="str">
        <f t="shared" si="5"/>
        <v>Normal</v>
      </c>
    </row>
    <row r="1630" spans="1:15" ht="78">
      <c r="A1630" s="167" t="s">
        <v>3974</v>
      </c>
      <c r="B1630" s="126" t="s">
        <v>37</v>
      </c>
      <c r="C1630" s="168"/>
      <c r="D1630" s="139" t="s">
        <v>1252</v>
      </c>
      <c r="E1630" s="143" t="s">
        <v>1562</v>
      </c>
      <c r="F1630" s="160" t="s">
        <v>1554</v>
      </c>
      <c r="G1630" s="144">
        <v>3</v>
      </c>
      <c r="H1630" s="135">
        <v>1</v>
      </c>
      <c r="I1630" s="136">
        <v>13.7</v>
      </c>
      <c r="J1630" s="136">
        <v>96.8</v>
      </c>
      <c r="K1630" s="136">
        <v>17</v>
      </c>
      <c r="L1630" s="131">
        <v>-0.1745880897</v>
      </c>
      <c r="M1630" s="131">
        <v>9.8152294809999999E-2</v>
      </c>
      <c r="N1630" s="131">
        <v>-2.0885723650000001</v>
      </c>
      <c r="O1630" s="132" t="str">
        <f t="shared" si="5"/>
        <v>Normal</v>
      </c>
    </row>
    <row r="1631" spans="1:15" ht="78">
      <c r="A1631" s="167" t="s">
        <v>3975</v>
      </c>
      <c r="B1631" s="126" t="s">
        <v>37</v>
      </c>
      <c r="C1631" s="168"/>
      <c r="D1631" s="139" t="s">
        <v>1563</v>
      </c>
      <c r="E1631" s="145" t="s">
        <v>1566</v>
      </c>
      <c r="F1631" s="160" t="s">
        <v>1554</v>
      </c>
      <c r="G1631" s="142">
        <v>1</v>
      </c>
      <c r="H1631" s="142">
        <v>1</v>
      </c>
      <c r="I1631" s="136">
        <v>17.8</v>
      </c>
      <c r="J1631" s="136">
        <v>107</v>
      </c>
      <c r="K1631" s="136">
        <v>17</v>
      </c>
      <c r="L1631" s="131">
        <v>2.550320986</v>
      </c>
      <c r="M1631" s="131">
        <v>-0.49216492820000002</v>
      </c>
      <c r="N1631" s="131">
        <v>0.2068849418</v>
      </c>
      <c r="O1631" s="132" t="str">
        <f t="shared" si="5"/>
        <v>Gz.Lbh</v>
      </c>
    </row>
    <row r="1632" spans="1:15" ht="78">
      <c r="A1632" s="167" t="s">
        <v>3976</v>
      </c>
      <c r="B1632" s="126" t="s">
        <v>48</v>
      </c>
      <c r="C1632" s="168"/>
      <c r="D1632" s="139" t="s">
        <v>1568</v>
      </c>
      <c r="E1632" s="145" t="s">
        <v>1571</v>
      </c>
      <c r="F1632" s="160" t="s">
        <v>1554</v>
      </c>
      <c r="G1632" s="142">
        <v>2</v>
      </c>
      <c r="H1632" s="142">
        <v>1</v>
      </c>
      <c r="I1632" s="136">
        <v>17.5</v>
      </c>
      <c r="J1632" s="136">
        <v>109</v>
      </c>
      <c r="K1632" s="136">
        <v>17</v>
      </c>
      <c r="L1632" s="131">
        <v>-0.1745880897</v>
      </c>
      <c r="M1632" s="131">
        <v>9.8152294809999999E-2</v>
      </c>
      <c r="N1632" s="131">
        <v>-0.44396097140000002</v>
      </c>
      <c r="O1632" s="132" t="str">
        <f t="shared" si="5"/>
        <v>Normal</v>
      </c>
    </row>
    <row r="1633" spans="1:15" ht="78">
      <c r="A1633" s="167" t="s">
        <v>3977</v>
      </c>
      <c r="B1633" s="126" t="s">
        <v>48</v>
      </c>
      <c r="C1633" s="168"/>
      <c r="D1633" s="139" t="s">
        <v>239</v>
      </c>
      <c r="E1633" s="143" t="s">
        <v>1576</v>
      </c>
      <c r="F1633" s="160" t="s">
        <v>1554</v>
      </c>
      <c r="G1633" s="144">
        <v>1</v>
      </c>
      <c r="H1633" s="135">
        <v>1</v>
      </c>
      <c r="I1633" s="136">
        <v>24.5</v>
      </c>
      <c r="J1633" s="136">
        <v>105</v>
      </c>
      <c r="K1633" s="136">
        <v>21</v>
      </c>
      <c r="L1633" s="131">
        <v>2.550320986</v>
      </c>
      <c r="M1633" s="131">
        <v>-0.49216492820000002</v>
      </c>
      <c r="N1633" s="131">
        <v>4.566085341</v>
      </c>
      <c r="O1633" s="132" t="str">
        <f t="shared" si="5"/>
        <v>Gz.Lbh</v>
      </c>
    </row>
    <row r="1634" spans="1:15" ht="78">
      <c r="A1634" s="167" t="s">
        <v>3978</v>
      </c>
      <c r="B1634" s="126" t="s">
        <v>48</v>
      </c>
      <c r="C1634" s="168"/>
      <c r="D1634" s="139" t="s">
        <v>1578</v>
      </c>
      <c r="E1634" s="143" t="s">
        <v>1581</v>
      </c>
      <c r="F1634" s="160" t="s">
        <v>1554</v>
      </c>
      <c r="G1634" s="144">
        <v>1</v>
      </c>
      <c r="H1634" s="135">
        <v>1</v>
      </c>
      <c r="I1634" s="136">
        <v>18</v>
      </c>
      <c r="J1634" s="136">
        <v>106</v>
      </c>
      <c r="K1634" s="136">
        <v>19</v>
      </c>
      <c r="L1634" s="131">
        <v>0.23532291</v>
      </c>
      <c r="M1634" s="131">
        <v>-0.25634206900000001</v>
      </c>
      <c r="N1634" s="131">
        <v>0.57688403730000004</v>
      </c>
      <c r="O1634" s="132" t="str">
        <f t="shared" si="5"/>
        <v>Normal</v>
      </c>
    </row>
    <row r="1635" spans="1:15" ht="78">
      <c r="A1635" s="167" t="s">
        <v>3979</v>
      </c>
      <c r="B1635" s="126" t="s">
        <v>48</v>
      </c>
      <c r="C1635" s="168"/>
      <c r="D1635" s="139" t="s">
        <v>1584</v>
      </c>
      <c r="E1635" s="143" t="s">
        <v>1587</v>
      </c>
      <c r="F1635" s="160" t="s">
        <v>1554</v>
      </c>
      <c r="G1635" s="144">
        <v>1</v>
      </c>
      <c r="H1635" s="135">
        <v>1</v>
      </c>
      <c r="I1635" s="136">
        <v>16.8</v>
      </c>
      <c r="J1635" s="136">
        <v>103.5</v>
      </c>
      <c r="K1635" s="136">
        <v>17</v>
      </c>
      <c r="L1635" s="131">
        <v>-9.2643335069999999E-2</v>
      </c>
      <c r="M1635" s="131">
        <v>-0.46719268139999998</v>
      </c>
      <c r="N1635" s="131">
        <v>0.31133046850000001</v>
      </c>
      <c r="O1635" s="132" t="str">
        <f t="shared" si="5"/>
        <v>Normal</v>
      </c>
    </row>
    <row r="1636" spans="1:15" ht="78">
      <c r="A1636" s="167" t="s">
        <v>3980</v>
      </c>
      <c r="B1636" s="126" t="s">
        <v>37</v>
      </c>
      <c r="C1636" s="168"/>
      <c r="D1636" s="139" t="s">
        <v>1590</v>
      </c>
      <c r="E1636" s="143" t="s">
        <v>1593</v>
      </c>
      <c r="F1636" s="160" t="s">
        <v>1554</v>
      </c>
      <c r="G1636" s="144">
        <v>2</v>
      </c>
      <c r="H1636" s="135">
        <v>1</v>
      </c>
      <c r="I1636" s="136">
        <v>15.2</v>
      </c>
      <c r="J1636" s="136">
        <v>105</v>
      </c>
      <c r="K1636" s="136">
        <v>17</v>
      </c>
      <c r="L1636" s="131">
        <v>-1.2983194570000001</v>
      </c>
      <c r="M1636" s="131">
        <v>-0.9299229094</v>
      </c>
      <c r="N1636" s="131">
        <v>-1.1208137760000001</v>
      </c>
      <c r="O1636" s="132" t="str">
        <f t="shared" si="5"/>
        <v>Normal</v>
      </c>
    </row>
    <row r="1637" spans="1:15" ht="78">
      <c r="A1637" s="167" t="s">
        <v>3981</v>
      </c>
      <c r="B1637" s="126" t="s">
        <v>48</v>
      </c>
      <c r="C1637" s="168"/>
      <c r="D1637" s="139" t="s">
        <v>1596</v>
      </c>
      <c r="E1637" s="143" t="s">
        <v>1599</v>
      </c>
      <c r="F1637" s="160" t="s">
        <v>1554</v>
      </c>
      <c r="G1637" s="144">
        <v>2</v>
      </c>
      <c r="H1637" s="135">
        <v>1</v>
      </c>
      <c r="I1637" s="136">
        <v>15</v>
      </c>
      <c r="J1637" s="136">
        <v>100</v>
      </c>
      <c r="K1637" s="136">
        <v>17</v>
      </c>
      <c r="L1637" s="131">
        <v>-0.58113056789999995</v>
      </c>
      <c r="M1637" s="131">
        <v>-0.62306468680000004</v>
      </c>
      <c r="N1637" s="131">
        <v>-0.29685188159999998</v>
      </c>
      <c r="O1637" s="132" t="str">
        <f t="shared" si="5"/>
        <v>Normal</v>
      </c>
    </row>
    <row r="1638" spans="1:15" ht="78">
      <c r="A1638" s="167" t="s">
        <v>3982</v>
      </c>
      <c r="B1638" s="126" t="s">
        <v>48</v>
      </c>
      <c r="C1638" s="168"/>
      <c r="D1638" s="139" t="s">
        <v>1601</v>
      </c>
      <c r="E1638" s="143" t="s">
        <v>1604</v>
      </c>
      <c r="F1638" s="160" t="s">
        <v>1554</v>
      </c>
      <c r="G1638" s="144">
        <v>2</v>
      </c>
      <c r="H1638" s="135">
        <v>1</v>
      </c>
      <c r="I1638" s="136">
        <v>14.8</v>
      </c>
      <c r="J1638" s="136">
        <v>106</v>
      </c>
      <c r="K1638" s="136">
        <v>18</v>
      </c>
      <c r="L1638" s="131">
        <v>-0.67203811300000005</v>
      </c>
      <c r="M1638" s="131">
        <v>0.85311179739999998</v>
      </c>
      <c r="N1638" s="131">
        <v>-1.8028723849999999</v>
      </c>
      <c r="O1638" s="132" t="str">
        <f t="shared" si="5"/>
        <v>Normal</v>
      </c>
    </row>
    <row r="1639" spans="1:15" ht="78">
      <c r="A1639" s="167" t="s">
        <v>3983</v>
      </c>
      <c r="B1639" s="126" t="s">
        <v>37</v>
      </c>
      <c r="C1639" s="168"/>
      <c r="D1639" s="139" t="s">
        <v>1596</v>
      </c>
      <c r="E1639" s="143" t="s">
        <v>1610</v>
      </c>
      <c r="F1639" s="160" t="s">
        <v>1554</v>
      </c>
      <c r="G1639" s="144">
        <v>1</v>
      </c>
      <c r="H1639" s="135">
        <v>1</v>
      </c>
      <c r="I1639" s="136">
        <v>17</v>
      </c>
      <c r="J1639" s="136">
        <v>103.5</v>
      </c>
      <c r="K1639" s="136">
        <v>17</v>
      </c>
      <c r="L1639" s="131">
        <v>0.5394291242</v>
      </c>
      <c r="M1639" s="131">
        <v>0.36528360059999998</v>
      </c>
      <c r="N1639" s="131">
        <v>0.48648791860000001</v>
      </c>
      <c r="O1639" s="132" t="str">
        <f t="shared" si="5"/>
        <v>Normal</v>
      </c>
    </row>
    <row r="1640" spans="1:15" ht="78">
      <c r="A1640" s="167" t="s">
        <v>3984</v>
      </c>
      <c r="B1640" s="126" t="s">
        <v>37</v>
      </c>
      <c r="C1640" s="168"/>
      <c r="D1640" s="139" t="s">
        <v>440</v>
      </c>
      <c r="E1640" s="143" t="s">
        <v>1614</v>
      </c>
      <c r="F1640" s="160" t="s">
        <v>1554</v>
      </c>
      <c r="G1640" s="144">
        <v>1</v>
      </c>
      <c r="H1640" s="135">
        <v>1</v>
      </c>
      <c r="I1640" s="136">
        <v>14.3</v>
      </c>
      <c r="J1640" s="136">
        <v>95</v>
      </c>
      <c r="K1640" s="136">
        <v>15</v>
      </c>
      <c r="L1640" s="131">
        <v>-0.55543470009999996</v>
      </c>
      <c r="M1640" s="131">
        <v>-1.300319094</v>
      </c>
      <c r="N1640" s="131">
        <v>0.33768640329999999</v>
      </c>
      <c r="O1640" s="132" t="str">
        <f t="shared" si="5"/>
        <v>Normal</v>
      </c>
    </row>
    <row r="1641" spans="1:15" ht="78">
      <c r="A1641" s="167" t="s">
        <v>3985</v>
      </c>
      <c r="B1641" s="126" t="s">
        <v>37</v>
      </c>
      <c r="C1641" s="168"/>
      <c r="D1641" s="139" t="s">
        <v>1617</v>
      </c>
      <c r="E1641" s="143" t="s">
        <v>1620</v>
      </c>
      <c r="F1641" s="160" t="s">
        <v>1554</v>
      </c>
      <c r="G1641" s="144">
        <v>3</v>
      </c>
      <c r="H1641" s="135">
        <v>1</v>
      </c>
      <c r="I1641" s="136">
        <v>16.5</v>
      </c>
      <c r="J1641" s="136">
        <v>97.5</v>
      </c>
      <c r="K1641" s="136">
        <v>18</v>
      </c>
      <c r="L1641" s="131">
        <v>1.2210489099999999</v>
      </c>
      <c r="M1641" s="131">
        <v>0.32834093269999998</v>
      </c>
      <c r="N1641" s="131">
        <v>1.463675619</v>
      </c>
      <c r="O1641" s="132" t="str">
        <f t="shared" si="5"/>
        <v>R.Gz.Lbh</v>
      </c>
    </row>
    <row r="1642" spans="1:15" ht="78">
      <c r="A1642" s="167" t="s">
        <v>3986</v>
      </c>
      <c r="B1642" s="126" t="s">
        <v>37</v>
      </c>
      <c r="C1642" s="168"/>
      <c r="D1642" s="139" t="s">
        <v>1622</v>
      </c>
      <c r="E1642" s="143" t="s">
        <v>1625</v>
      </c>
      <c r="F1642" s="160" t="s">
        <v>1554</v>
      </c>
      <c r="G1642" s="135">
        <v>2</v>
      </c>
      <c r="H1642" s="135">
        <v>1</v>
      </c>
      <c r="I1642" s="136">
        <v>16.8</v>
      </c>
      <c r="J1642" s="136">
        <v>100</v>
      </c>
      <c r="K1642" s="136">
        <v>18</v>
      </c>
      <c r="L1642" s="131">
        <v>2.5298765049999998</v>
      </c>
      <c r="M1642" s="131">
        <v>3.245337159</v>
      </c>
      <c r="N1642" s="131">
        <v>1.132266851</v>
      </c>
      <c r="O1642" s="132" t="str">
        <f t="shared" si="5"/>
        <v>Gz.Lbh</v>
      </c>
    </row>
    <row r="1643" spans="1:15" ht="78">
      <c r="A1643" s="167" t="s">
        <v>3987</v>
      </c>
      <c r="B1643" s="126" t="s">
        <v>48</v>
      </c>
      <c r="C1643" s="168"/>
      <c r="D1643" s="139" t="s">
        <v>1628</v>
      </c>
      <c r="E1643" s="143" t="s">
        <v>1631</v>
      </c>
      <c r="F1643" s="160" t="s">
        <v>1632</v>
      </c>
      <c r="G1643" s="144">
        <v>1</v>
      </c>
      <c r="H1643" s="135">
        <v>1</v>
      </c>
      <c r="I1643" s="146">
        <v>12</v>
      </c>
      <c r="J1643" s="137">
        <v>83.5</v>
      </c>
      <c r="K1643" s="137">
        <v>14.5</v>
      </c>
      <c r="L1643" s="131">
        <v>-1.236476943</v>
      </c>
      <c r="M1643" s="131">
        <v>-3.018764601</v>
      </c>
      <c r="N1643" s="131">
        <v>0.74538060539999995</v>
      </c>
      <c r="O1643" s="132" t="str">
        <f t="shared" si="5"/>
        <v>Normal</v>
      </c>
    </row>
    <row r="1644" spans="1:15" ht="78">
      <c r="A1644" s="167" t="s">
        <v>3988</v>
      </c>
      <c r="B1644" s="126" t="s">
        <v>37</v>
      </c>
      <c r="C1644" s="168"/>
      <c r="D1644" s="139" t="s">
        <v>1634</v>
      </c>
      <c r="E1644" s="143" t="s">
        <v>1636</v>
      </c>
      <c r="F1644" s="160" t="s">
        <v>1632</v>
      </c>
      <c r="G1644" s="144">
        <v>2</v>
      </c>
      <c r="H1644" s="135">
        <v>1</v>
      </c>
      <c r="I1644" s="136">
        <v>13.1</v>
      </c>
      <c r="J1644" s="136">
        <v>93</v>
      </c>
      <c r="K1644" s="136">
        <v>16</v>
      </c>
      <c r="L1644" s="131">
        <v>8.4531443670000008E-3</v>
      </c>
      <c r="M1644" s="131">
        <v>0.2301921385</v>
      </c>
      <c r="N1644" s="131">
        <v>-0.2552534635</v>
      </c>
      <c r="O1644" s="132" t="str">
        <f t="shared" si="5"/>
        <v>Normal</v>
      </c>
    </row>
    <row r="1645" spans="1:15" ht="78">
      <c r="A1645" s="167" t="s">
        <v>3989</v>
      </c>
      <c r="B1645" s="126" t="s">
        <v>48</v>
      </c>
      <c r="C1645" s="168"/>
      <c r="D1645" s="139" t="s">
        <v>1639</v>
      </c>
      <c r="E1645" s="143" t="s">
        <v>1642</v>
      </c>
      <c r="F1645" s="160" t="s">
        <v>1632</v>
      </c>
      <c r="G1645" s="144">
        <v>1</v>
      </c>
      <c r="H1645" s="135">
        <v>1</v>
      </c>
      <c r="I1645" s="136">
        <v>10.4</v>
      </c>
      <c r="J1645" s="136">
        <v>82.5</v>
      </c>
      <c r="K1645" s="136">
        <v>16</v>
      </c>
      <c r="L1645" s="131">
        <v>-2.2622906610000002</v>
      </c>
      <c r="M1645" s="131">
        <v>-3.0498275119999998</v>
      </c>
      <c r="N1645" s="131">
        <v>-0.8013521079</v>
      </c>
      <c r="O1645" s="132" t="str">
        <f t="shared" si="5"/>
        <v>Gz.Krg</v>
      </c>
    </row>
    <row r="1646" spans="1:15" ht="78">
      <c r="A1646" s="167" t="s">
        <v>3990</v>
      </c>
      <c r="B1646" s="126" t="s">
        <v>48</v>
      </c>
      <c r="C1646" s="168"/>
      <c r="D1646" s="139" t="s">
        <v>1645</v>
      </c>
      <c r="E1646" s="143" t="s">
        <v>1648</v>
      </c>
      <c r="F1646" s="160" t="s">
        <v>1632</v>
      </c>
      <c r="G1646" s="144">
        <v>2</v>
      </c>
      <c r="H1646" s="135">
        <v>1</v>
      </c>
      <c r="I1646" s="146">
        <v>10.6</v>
      </c>
      <c r="J1646" s="137">
        <v>88</v>
      </c>
      <c r="K1646" s="137">
        <v>14</v>
      </c>
      <c r="L1646" s="131">
        <v>-2.0885723650000001</v>
      </c>
      <c r="M1646" s="131">
        <v>-1.452648639</v>
      </c>
      <c r="N1646" s="131">
        <v>-2.0308202039999999</v>
      </c>
      <c r="O1646" s="132" t="str">
        <f t="shared" si="5"/>
        <v>Gz.Krg</v>
      </c>
    </row>
    <row r="1647" spans="1:15" ht="78">
      <c r="A1647" s="167" t="s">
        <v>3991</v>
      </c>
      <c r="B1647" s="126" t="s">
        <v>37</v>
      </c>
      <c r="C1647" s="168"/>
      <c r="D1647" s="139" t="s">
        <v>1650</v>
      </c>
      <c r="E1647" s="143" t="s">
        <v>1653</v>
      </c>
      <c r="F1647" s="160" t="s">
        <v>1632</v>
      </c>
      <c r="G1647" s="144">
        <v>2</v>
      </c>
      <c r="H1647" s="135">
        <v>1</v>
      </c>
      <c r="I1647" s="146">
        <v>9.4</v>
      </c>
      <c r="J1647" s="137">
        <v>83</v>
      </c>
      <c r="K1647" s="137">
        <v>14</v>
      </c>
      <c r="L1647" s="131">
        <v>-2.1884324980000001</v>
      </c>
      <c r="M1647" s="131">
        <v>-1.80303686</v>
      </c>
      <c r="N1647" s="131">
        <v>-1.746124666</v>
      </c>
      <c r="O1647" s="132" t="str">
        <f t="shared" si="5"/>
        <v>Gz.Krg</v>
      </c>
    </row>
    <row r="1648" spans="1:15" ht="78">
      <c r="A1648" s="167" t="s">
        <v>3992</v>
      </c>
      <c r="B1648" s="126" t="s">
        <v>48</v>
      </c>
      <c r="C1648" s="168"/>
      <c r="D1648" s="139" t="s">
        <v>1655</v>
      </c>
      <c r="E1648" s="143" t="s">
        <v>1658</v>
      </c>
      <c r="F1648" s="160" t="s">
        <v>1632</v>
      </c>
      <c r="G1648" s="144">
        <v>1</v>
      </c>
      <c r="H1648" s="135">
        <v>1</v>
      </c>
      <c r="I1648" s="146">
        <v>10</v>
      </c>
      <c r="J1648" s="137">
        <v>81.5</v>
      </c>
      <c r="K1648" s="137">
        <v>13</v>
      </c>
      <c r="L1648" s="131">
        <v>-1.8124375690000001</v>
      </c>
      <c r="M1648" s="131">
        <v>-2.0304579500000002</v>
      </c>
      <c r="N1648" s="131">
        <v>-1.0475319949999999</v>
      </c>
      <c r="O1648" s="132" t="str">
        <f t="shared" si="5"/>
        <v>Normal</v>
      </c>
    </row>
    <row r="1649" spans="1:15" ht="78">
      <c r="A1649" s="167" t="s">
        <v>3993</v>
      </c>
      <c r="B1649" s="126" t="s">
        <v>37</v>
      </c>
      <c r="C1649" s="168"/>
      <c r="D1649" s="139" t="s">
        <v>1660</v>
      </c>
      <c r="E1649" s="143" t="s">
        <v>1576</v>
      </c>
      <c r="F1649" s="160" t="s">
        <v>1632</v>
      </c>
      <c r="G1649" s="144">
        <v>3</v>
      </c>
      <c r="H1649" s="135">
        <v>1</v>
      </c>
      <c r="I1649" s="146">
        <v>9</v>
      </c>
      <c r="J1649" s="137">
        <v>77.900000000000006</v>
      </c>
      <c r="K1649" s="137">
        <v>15</v>
      </c>
      <c r="L1649" s="131">
        <v>-1.9632199779999999</v>
      </c>
      <c r="M1649" s="131">
        <v>-2.4115208560000001</v>
      </c>
      <c r="N1649" s="131">
        <v>-0.85432808380000003</v>
      </c>
      <c r="O1649" s="132" t="str">
        <f t="shared" si="5"/>
        <v>Normal</v>
      </c>
    </row>
    <row r="1650" spans="1:15" ht="78">
      <c r="A1650" s="167" t="s">
        <v>3994</v>
      </c>
      <c r="B1650" s="126" t="s">
        <v>48</v>
      </c>
      <c r="C1650" s="168"/>
      <c r="D1650" s="139" t="s">
        <v>1664</v>
      </c>
      <c r="E1650" s="143" t="s">
        <v>1667</v>
      </c>
      <c r="F1650" s="160" t="s">
        <v>1632</v>
      </c>
      <c r="G1650" s="144">
        <v>3</v>
      </c>
      <c r="H1650" s="135">
        <v>1</v>
      </c>
      <c r="I1650" s="146">
        <v>16.8</v>
      </c>
      <c r="J1650" s="137">
        <v>86.8</v>
      </c>
      <c r="K1650" s="137">
        <v>21.5</v>
      </c>
      <c r="L1650" s="131">
        <v>3.1908095950000002</v>
      </c>
      <c r="M1650" s="131">
        <v>0.31607673870000003</v>
      </c>
      <c r="N1650" s="131">
        <v>4.3340306880000004</v>
      </c>
      <c r="O1650" s="132" t="str">
        <f t="shared" si="5"/>
        <v>Obesitas</v>
      </c>
    </row>
    <row r="1651" spans="1:15" ht="78">
      <c r="A1651" s="167" t="s">
        <v>3995</v>
      </c>
      <c r="B1651" s="126" t="s">
        <v>48</v>
      </c>
      <c r="C1651" s="168"/>
      <c r="D1651" s="139" t="s">
        <v>1669</v>
      </c>
      <c r="E1651" s="143" t="s">
        <v>1672</v>
      </c>
      <c r="F1651" s="160" t="s">
        <v>1632</v>
      </c>
      <c r="G1651" s="144">
        <v>1</v>
      </c>
      <c r="H1651" s="135">
        <v>1</v>
      </c>
      <c r="I1651" s="146">
        <v>9.6</v>
      </c>
      <c r="J1651" s="137">
        <v>78.5</v>
      </c>
      <c r="K1651" s="137">
        <v>16</v>
      </c>
      <c r="L1651" s="131">
        <v>-1.3682834020000001</v>
      </c>
      <c r="M1651" s="131">
        <v>-1.787876077</v>
      </c>
      <c r="N1651" s="131">
        <v>-0.72608939770000003</v>
      </c>
      <c r="O1651" s="132" t="str">
        <f t="shared" si="5"/>
        <v>Normal</v>
      </c>
    </row>
    <row r="1652" spans="1:15" ht="78">
      <c r="A1652" s="167" t="s">
        <v>3996</v>
      </c>
      <c r="B1652" s="126" t="s">
        <v>48</v>
      </c>
      <c r="C1652" s="168"/>
      <c r="D1652" s="139" t="s">
        <v>1674</v>
      </c>
      <c r="E1652" s="143" t="s">
        <v>1553</v>
      </c>
      <c r="F1652" s="160" t="s">
        <v>1632</v>
      </c>
      <c r="G1652" s="144">
        <v>3</v>
      </c>
      <c r="H1652" s="135">
        <v>1</v>
      </c>
      <c r="I1652" s="146">
        <v>8</v>
      </c>
      <c r="J1652" s="137">
        <v>79</v>
      </c>
      <c r="K1652" s="137">
        <v>13</v>
      </c>
      <c r="L1652" s="131">
        <v>-2.9658841790000001</v>
      </c>
      <c r="M1652" s="131">
        <v>-1.536101699</v>
      </c>
      <c r="N1652" s="131">
        <v>-3.129825447</v>
      </c>
      <c r="O1652" s="132" t="str">
        <f t="shared" si="5"/>
        <v>Gz.Krg</v>
      </c>
    </row>
    <row r="1653" spans="1:15" ht="78">
      <c r="A1653" s="167" t="s">
        <v>3997</v>
      </c>
      <c r="B1653" s="126" t="s">
        <v>48</v>
      </c>
      <c r="C1653" s="168"/>
      <c r="D1653" s="139" t="s">
        <v>1676</v>
      </c>
      <c r="E1653" s="143" t="s">
        <v>1679</v>
      </c>
      <c r="F1653" s="160" t="s">
        <v>1632</v>
      </c>
      <c r="G1653" s="144">
        <v>1</v>
      </c>
      <c r="H1653" s="135">
        <v>1</v>
      </c>
      <c r="I1653" s="146">
        <v>9</v>
      </c>
      <c r="J1653" s="137">
        <v>79</v>
      </c>
      <c r="K1653" s="137">
        <v>16</v>
      </c>
      <c r="L1653" s="131">
        <v>-1.7056263519999999</v>
      </c>
      <c r="M1653" s="131">
        <v>-1.104185038</v>
      </c>
      <c r="N1653" s="131">
        <v>-1.647633229</v>
      </c>
      <c r="O1653" s="132" t="str">
        <f t="shared" si="5"/>
        <v>Normal</v>
      </c>
    </row>
    <row r="1654" spans="1:15" ht="78">
      <c r="A1654" s="167" t="s">
        <v>3998</v>
      </c>
      <c r="B1654" s="126" t="s">
        <v>37</v>
      </c>
      <c r="C1654" s="168"/>
      <c r="D1654" s="139" t="s">
        <v>1207</v>
      </c>
      <c r="E1654" s="143" t="s">
        <v>1683</v>
      </c>
      <c r="F1654" s="160" t="s">
        <v>1632</v>
      </c>
      <c r="G1654" s="144">
        <v>1</v>
      </c>
      <c r="H1654" s="135">
        <v>1</v>
      </c>
      <c r="I1654" s="146">
        <v>7.8</v>
      </c>
      <c r="J1654" s="137">
        <v>78</v>
      </c>
      <c r="K1654" s="137">
        <v>14</v>
      </c>
      <c r="L1654" s="131">
        <v>-1.694545524</v>
      </c>
      <c r="M1654" s="131">
        <v>8.2254192899999995E-2</v>
      </c>
      <c r="N1654" s="131">
        <v>-2.556259448</v>
      </c>
      <c r="O1654" s="132" t="str">
        <f t="shared" si="5"/>
        <v>Normal</v>
      </c>
    </row>
    <row r="1655" spans="1:15" ht="78">
      <c r="A1655" s="167" t="s">
        <v>3999</v>
      </c>
      <c r="B1655" s="126" t="s">
        <v>48</v>
      </c>
      <c r="C1655" s="168"/>
      <c r="D1655" s="139" t="s">
        <v>1685</v>
      </c>
      <c r="E1655" s="143" t="s">
        <v>1587</v>
      </c>
      <c r="F1655" s="160" t="s">
        <v>1632</v>
      </c>
      <c r="G1655" s="144">
        <v>2</v>
      </c>
      <c r="H1655" s="135">
        <v>1</v>
      </c>
      <c r="I1655" s="146">
        <v>9</v>
      </c>
      <c r="J1655" s="137">
        <v>77</v>
      </c>
      <c r="K1655" s="137">
        <v>14</v>
      </c>
      <c r="L1655" s="131">
        <v>-0.99229210339999996</v>
      </c>
      <c r="M1655" s="131">
        <v>-0.30166111309999999</v>
      </c>
      <c r="N1655" s="131">
        <v>-1.1864656499999999</v>
      </c>
      <c r="O1655" s="132" t="str">
        <f t="shared" si="5"/>
        <v>Normal</v>
      </c>
    </row>
    <row r="1656" spans="1:15" ht="78">
      <c r="A1656" s="167" t="s">
        <v>4000</v>
      </c>
      <c r="B1656" s="126" t="s">
        <v>48</v>
      </c>
      <c r="C1656" s="168"/>
      <c r="D1656" s="139" t="s">
        <v>1688</v>
      </c>
      <c r="E1656" s="143" t="s">
        <v>1648</v>
      </c>
      <c r="F1656" s="160" t="s">
        <v>1632</v>
      </c>
      <c r="G1656" s="144">
        <v>2</v>
      </c>
      <c r="H1656" s="135">
        <v>1</v>
      </c>
      <c r="I1656" s="146">
        <v>7.5</v>
      </c>
      <c r="J1656" s="137">
        <v>73</v>
      </c>
      <c r="K1656" s="137">
        <v>14.5</v>
      </c>
      <c r="L1656" s="131">
        <v>-2.4405333279999999</v>
      </c>
      <c r="M1656" s="131">
        <v>-1.4241406400000001</v>
      </c>
      <c r="N1656" s="131">
        <v>-2.4127376300000001</v>
      </c>
      <c r="O1656" s="132" t="str">
        <f t="shared" si="5"/>
        <v>Gz.Krg</v>
      </c>
    </row>
    <row r="1657" spans="1:15" ht="78">
      <c r="A1657" s="167" t="s">
        <v>4001</v>
      </c>
      <c r="B1657" s="126" t="s">
        <v>48</v>
      </c>
      <c r="C1657" s="168"/>
      <c r="D1657" s="139" t="s">
        <v>1691</v>
      </c>
      <c r="E1657" s="143" t="s">
        <v>1694</v>
      </c>
      <c r="F1657" s="160" t="s">
        <v>1632</v>
      </c>
      <c r="G1657" s="144">
        <v>3</v>
      </c>
      <c r="H1657" s="135">
        <v>1</v>
      </c>
      <c r="I1657" s="146">
        <v>10.4</v>
      </c>
      <c r="J1657" s="137">
        <v>73.2</v>
      </c>
      <c r="K1657" s="137">
        <v>17</v>
      </c>
      <c r="L1657" s="131">
        <v>0.68580525619999999</v>
      </c>
      <c r="M1657" s="131">
        <v>-0.98674524129999996</v>
      </c>
      <c r="N1657" s="131">
        <v>1.6301473719999999</v>
      </c>
      <c r="O1657" s="132" t="str">
        <f t="shared" si="5"/>
        <v>Normal</v>
      </c>
    </row>
    <row r="1658" spans="1:15" ht="78">
      <c r="A1658" s="167" t="s">
        <v>4002</v>
      </c>
      <c r="B1658" s="126" t="s">
        <v>37</v>
      </c>
      <c r="C1658" s="168"/>
      <c r="D1658" s="147" t="s">
        <v>1696</v>
      </c>
      <c r="E1658" s="143" t="s">
        <v>1698</v>
      </c>
      <c r="F1658" s="160" t="s">
        <v>1632</v>
      </c>
      <c r="G1658" s="144">
        <v>1</v>
      </c>
      <c r="H1658" s="135">
        <v>1</v>
      </c>
      <c r="I1658" s="144">
        <v>9.3000000000000007</v>
      </c>
      <c r="J1658" s="135">
        <v>74.5</v>
      </c>
      <c r="K1658" s="135">
        <v>15</v>
      </c>
      <c r="L1658" s="131">
        <v>0.2384711092</v>
      </c>
      <c r="M1658" s="131">
        <v>1.029388008E-2</v>
      </c>
      <c r="N1658" s="131">
        <v>0.30854749770000001</v>
      </c>
      <c r="O1658" s="132" t="str">
        <f t="shared" si="5"/>
        <v>Normal</v>
      </c>
    </row>
    <row r="1659" spans="1:15" ht="78">
      <c r="A1659" s="167" t="s">
        <v>4003</v>
      </c>
      <c r="B1659" s="126" t="s">
        <v>37</v>
      </c>
      <c r="C1659" s="168"/>
      <c r="D1659" s="147" t="s">
        <v>1700</v>
      </c>
      <c r="E1659" s="143" t="s">
        <v>1702</v>
      </c>
      <c r="F1659" s="160" t="s">
        <v>1632</v>
      </c>
      <c r="G1659" s="144">
        <v>3</v>
      </c>
      <c r="H1659" s="135">
        <v>1</v>
      </c>
      <c r="I1659" s="136">
        <v>6.6</v>
      </c>
      <c r="J1659" s="136">
        <v>68.5</v>
      </c>
      <c r="K1659" s="136">
        <v>14</v>
      </c>
      <c r="L1659" s="131">
        <v>-1.8611162889999999</v>
      </c>
      <c r="M1659" s="131">
        <v>-0.78551049969999998</v>
      </c>
      <c r="N1659" s="131">
        <v>-2.008396517</v>
      </c>
      <c r="O1659" s="132" t="str">
        <f t="shared" si="5"/>
        <v>Normal</v>
      </c>
    </row>
    <row r="1660" spans="1:15" ht="78">
      <c r="A1660" s="167" t="s">
        <v>4004</v>
      </c>
      <c r="B1660" s="126" t="s">
        <v>48</v>
      </c>
      <c r="C1660" s="168"/>
      <c r="D1660" s="147" t="s">
        <v>1703</v>
      </c>
      <c r="E1660" s="143" t="s">
        <v>1705</v>
      </c>
      <c r="F1660" s="160" t="s">
        <v>1632</v>
      </c>
      <c r="G1660" s="144">
        <v>2</v>
      </c>
      <c r="H1660" s="135">
        <v>1</v>
      </c>
      <c r="I1660" s="136">
        <v>10</v>
      </c>
      <c r="J1660" s="136">
        <v>73.5</v>
      </c>
      <c r="K1660" s="136">
        <v>17</v>
      </c>
      <c r="L1660" s="131">
        <v>0.89430456359999999</v>
      </c>
      <c r="M1660" s="131">
        <v>0.3150790611</v>
      </c>
      <c r="N1660" s="131">
        <v>1.0539283399999999</v>
      </c>
      <c r="O1660" s="132" t="str">
        <f t="shared" si="5"/>
        <v>Normal</v>
      </c>
    </row>
    <row r="1661" spans="1:15" ht="78">
      <c r="A1661" s="167" t="s">
        <v>4005</v>
      </c>
      <c r="B1661" s="126" t="s">
        <v>37</v>
      </c>
      <c r="C1661" s="168"/>
      <c r="D1661" s="147" t="s">
        <v>1706</v>
      </c>
      <c r="E1661" s="148" t="s">
        <v>1708</v>
      </c>
      <c r="F1661" s="160" t="s">
        <v>1632</v>
      </c>
      <c r="G1661" s="135">
        <v>1</v>
      </c>
      <c r="H1661" s="135">
        <v>1</v>
      </c>
      <c r="I1661" s="144">
        <v>7.8</v>
      </c>
      <c r="J1661" s="135">
        <v>71</v>
      </c>
      <c r="K1661" s="135">
        <v>13</v>
      </c>
      <c r="L1661" s="131">
        <v>-0.17808580930000001</v>
      </c>
      <c r="M1661" s="131">
        <v>0.9024338529</v>
      </c>
      <c r="N1661" s="131">
        <v>-0.80989828389999996</v>
      </c>
      <c r="O1661" s="132" t="str">
        <f t="shared" si="5"/>
        <v>Normal</v>
      </c>
    </row>
    <row r="1662" spans="1:15" ht="78">
      <c r="A1662" s="167" t="s">
        <v>4006</v>
      </c>
      <c r="B1662" s="126" t="s">
        <v>37</v>
      </c>
      <c r="C1662" s="168"/>
      <c r="D1662" s="147" t="s">
        <v>1710</v>
      </c>
      <c r="E1662" s="143" t="s">
        <v>1712</v>
      </c>
      <c r="F1662" s="160" t="s">
        <v>1632</v>
      </c>
      <c r="G1662" s="144">
        <v>1</v>
      </c>
      <c r="H1662" s="135">
        <v>1</v>
      </c>
      <c r="I1662" s="146">
        <v>7</v>
      </c>
      <c r="J1662" s="137">
        <v>60</v>
      </c>
      <c r="K1662" s="137">
        <v>11</v>
      </c>
      <c r="L1662" s="131">
        <v>-0.82974075290000004</v>
      </c>
      <c r="M1662" s="131">
        <v>-3.3277095710000002</v>
      </c>
      <c r="N1662" s="131">
        <v>2.0851861349999998</v>
      </c>
      <c r="O1662" s="132" t="str">
        <f t="shared" si="5"/>
        <v>Normal</v>
      </c>
    </row>
    <row r="1663" spans="1:15" ht="78">
      <c r="A1663" s="167" t="s">
        <v>4007</v>
      </c>
      <c r="B1663" s="126" t="s">
        <v>48</v>
      </c>
      <c r="C1663" s="168"/>
      <c r="D1663" s="147" t="s">
        <v>618</v>
      </c>
      <c r="E1663" s="143" t="s">
        <v>1571</v>
      </c>
      <c r="F1663" s="160" t="s">
        <v>1632</v>
      </c>
      <c r="G1663" s="144">
        <v>2</v>
      </c>
      <c r="H1663" s="135">
        <v>1</v>
      </c>
      <c r="I1663" s="146">
        <v>5.2</v>
      </c>
      <c r="J1663" s="137">
        <v>57</v>
      </c>
      <c r="K1663" s="137">
        <v>12.5</v>
      </c>
      <c r="L1663" s="131">
        <v>-2.0828434150000001</v>
      </c>
      <c r="M1663" s="131">
        <v>-2.642910294</v>
      </c>
      <c r="N1663" s="131">
        <v>0.25166184029999999</v>
      </c>
      <c r="O1663" s="132" t="str">
        <f t="shared" si="5"/>
        <v>Gz.Krg</v>
      </c>
    </row>
    <row r="1664" spans="1:15" ht="78">
      <c r="A1664" s="167" t="s">
        <v>4008</v>
      </c>
      <c r="B1664" s="126" t="s">
        <v>48</v>
      </c>
      <c r="C1664" s="168"/>
      <c r="D1664" s="147"/>
      <c r="E1664" s="143" t="s">
        <v>1716</v>
      </c>
      <c r="F1664" s="160" t="s">
        <v>1632</v>
      </c>
      <c r="G1664" s="144">
        <v>1</v>
      </c>
      <c r="H1664" s="135">
        <v>1</v>
      </c>
      <c r="I1664" s="146">
        <v>6</v>
      </c>
      <c r="J1664" s="137">
        <v>65</v>
      </c>
      <c r="K1664" s="137">
        <v>14</v>
      </c>
      <c r="L1664" s="131">
        <v>-1.409371234</v>
      </c>
      <c r="M1664" s="131">
        <v>0.46420415450000002</v>
      </c>
      <c r="N1664" s="131">
        <v>-2.4211364369999999</v>
      </c>
      <c r="O1664" s="132" t="str">
        <f t="shared" si="5"/>
        <v/>
      </c>
    </row>
    <row r="1665" spans="1:15" ht="78">
      <c r="A1665" s="167" t="s">
        <v>4009</v>
      </c>
      <c r="B1665" s="126" t="s">
        <v>48</v>
      </c>
      <c r="C1665" s="168"/>
      <c r="D1665" s="147" t="s">
        <v>622</v>
      </c>
      <c r="E1665" s="143" t="s">
        <v>1719</v>
      </c>
      <c r="F1665" s="160" t="s">
        <v>1632</v>
      </c>
      <c r="G1665" s="144">
        <v>2</v>
      </c>
      <c r="H1665" s="135">
        <v>1</v>
      </c>
      <c r="I1665" s="146">
        <v>4.9000000000000004</v>
      </c>
      <c r="J1665" s="137">
        <v>57</v>
      </c>
      <c r="K1665" s="137">
        <v>14</v>
      </c>
      <c r="L1665" s="131">
        <v>-1.5021918080000001</v>
      </c>
      <c r="M1665" s="131">
        <v>-1.339376275</v>
      </c>
      <c r="N1665" s="131">
        <v>-0.49371236860000001</v>
      </c>
      <c r="O1665" s="132" t="str">
        <f t="shared" si="5"/>
        <v>Normal</v>
      </c>
    </row>
    <row r="1666" spans="1:15" ht="78">
      <c r="A1666" s="167" t="s">
        <v>4010</v>
      </c>
      <c r="B1666" s="126" t="s">
        <v>37</v>
      </c>
      <c r="C1666" s="168"/>
      <c r="D1666" s="147" t="s">
        <v>1721</v>
      </c>
      <c r="E1666" s="143" t="s">
        <v>1723</v>
      </c>
      <c r="F1666" s="160" t="s">
        <v>1632</v>
      </c>
      <c r="G1666" s="144">
        <v>2</v>
      </c>
      <c r="H1666" s="135">
        <v>1</v>
      </c>
      <c r="I1666" s="146">
        <v>4.9000000000000004</v>
      </c>
      <c r="J1666" s="137">
        <v>56.7</v>
      </c>
      <c r="K1666" s="137">
        <v>25</v>
      </c>
      <c r="L1666" s="131">
        <v>-0.42324131879999999</v>
      </c>
      <c r="M1666" s="131">
        <v>-0.27070348109999998</v>
      </c>
      <c r="N1666" s="131">
        <v>-0.1817855468</v>
      </c>
      <c r="O1666" s="132" t="str">
        <f t="shared" si="5"/>
        <v>Normal</v>
      </c>
    </row>
    <row r="1667" spans="1:15" ht="78">
      <c r="A1667" s="167" t="s">
        <v>4011</v>
      </c>
      <c r="B1667" s="126" t="s">
        <v>48</v>
      </c>
      <c r="C1667" s="168"/>
      <c r="D1667" s="147" t="s">
        <v>1724</v>
      </c>
      <c r="E1667" s="143" t="s">
        <v>1726</v>
      </c>
      <c r="F1667" s="160" t="s">
        <v>1727</v>
      </c>
      <c r="G1667" s="144">
        <v>3</v>
      </c>
      <c r="H1667" s="135">
        <v>1</v>
      </c>
      <c r="I1667" s="146">
        <v>7.3</v>
      </c>
      <c r="J1667" s="137">
        <v>66</v>
      </c>
      <c r="K1667" s="137">
        <v>14</v>
      </c>
      <c r="L1667" s="131">
        <v>0.83671350369999997</v>
      </c>
      <c r="M1667" s="131">
        <v>1.767409352</v>
      </c>
      <c r="N1667" s="131">
        <v>-0.31088290169999999</v>
      </c>
      <c r="O1667" s="132" t="str">
        <f t="shared" si="5"/>
        <v>Normal</v>
      </c>
    </row>
  </sheetData>
  <autoFilter ref="O1:O1667" xr:uid="{88554CEC-7A25-43FF-81B1-E33B2D5EF061}"/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simogirang</vt:lpstr>
      <vt:lpstr>data tambahan</vt:lpstr>
      <vt:lpstr>data fiks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sefiaanandya@gmail.com</dc:creator>
  <cp:lastModifiedBy>Rizqiya Ivada</cp:lastModifiedBy>
  <dcterms:created xsi:type="dcterms:W3CDTF">2025-09-12T16:53:59Z</dcterms:created>
  <dcterms:modified xsi:type="dcterms:W3CDTF">2025-10-24T17:48:44Z</dcterms:modified>
</cp:coreProperties>
</file>